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zhengxie.info\common\py\csv\"/>
    </mc:Choice>
  </mc:AlternateContent>
  <xr:revisionPtr revIDLastSave="0" documentId="13_ncr:1_{23BC2ADE-D2B6-4696-BB7D-9B6222D7A88B}" xr6:coauthVersionLast="46" xr6:coauthVersionMax="46" xr10:uidLastSave="{00000000-0000-0000-0000-000000000000}"/>
  <bookViews>
    <workbookView xWindow="-120" yWindow="-120" windowWidth="29040" windowHeight="15840" xr2:uid="{4F19F987-9B40-45E6-99AF-79FFED8AE7A7}"/>
  </bookViews>
  <sheets>
    <sheet name="网址" sheetId="1" r:id="rId1"/>
    <sheet name="暂时不录" sheetId="5" r:id="rId2"/>
    <sheet name="版层分类" sheetId="2" r:id="rId3"/>
    <sheet name="首次要关键词" sheetId="3" r:id="rId4"/>
    <sheet name="重点关键词" sheetId="4" r:id="rId5"/>
    <sheet name="Sheet2" sheetId="6" r:id="rId6"/>
  </sheets>
  <definedNames>
    <definedName name="数量_次要关键词">OFFSET(首次要关键词!$C$1,MATCH(网址!$K1,表_首次要关键词[首要关键词],0),-1,1,1)</definedName>
    <definedName name="数量_首要关键词">OFFSET(版层分类!$C$1,MATCH(网址!$J1,序列_版层分类,0),-1,1,1)</definedName>
    <definedName name="数量_重点关键词">OFFSET(重点关键词!$C$1,MATCH(网址!$K1,表4[首次要关键词],0)+MATCH(网址!$L1,序列_次要关键词,0),-1,1,1)</definedName>
    <definedName name="序列_版层分类">OFFSET(版层分类!$C$1,1,0,COUNTIF(版层分类!$C:$C,"&lt;&gt;")-1,1)</definedName>
    <definedName name="序列_次要关键词">OFFSET(首次要关键词!$C$1,MATCH(网址!$K1,表_首次要关键词[首要关键词],0),1,1,数量_次要关键词)</definedName>
    <definedName name="序列_首要关键词">OFFSET(版层分类!$C$1,MATCH(网址!$J1,序列_版层分类,0),1,1,数量_首要关键词)</definedName>
    <definedName name="序列_重点关键词">OFFSET(重点关键词!$C$1,MATCH(网址!$K1,表4[首次要关键词],0)+MATCH(网址!$L1,序列_次要关键词,0),1,1,数量_重点关键词)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1" i="1" l="1"/>
  <c r="E131" i="1"/>
  <c r="E132" i="1"/>
  <c r="E133" i="1" s="1"/>
  <c r="E134" i="1" s="1"/>
  <c r="E135" i="1" s="1"/>
  <c r="E136" i="1" s="1"/>
  <c r="E137" i="1" s="1"/>
  <c r="C129" i="1"/>
  <c r="D129" i="1"/>
  <c r="C128" i="1"/>
  <c r="D128" i="1"/>
  <c r="C127" i="1"/>
  <c r="D127" i="1"/>
  <c r="E127" i="1"/>
  <c r="E128" i="1" s="1"/>
  <c r="E129" i="1" s="1"/>
  <c r="D16" i="1"/>
  <c r="E16" i="1"/>
  <c r="E17" i="1"/>
  <c r="E18" i="1"/>
  <c r="E19" i="1"/>
  <c r="E20" i="1"/>
  <c r="D21" i="1"/>
  <c r="E21" i="1"/>
  <c r="E22" i="1"/>
  <c r="D23" i="1"/>
  <c r="E23" i="1"/>
  <c r="D25" i="1"/>
  <c r="D3" i="1"/>
  <c r="E3" i="1"/>
  <c r="E4" i="1" s="1"/>
  <c r="D4" i="1"/>
  <c r="D5" i="1"/>
  <c r="E5" i="1"/>
  <c r="D6" i="1"/>
  <c r="E6" i="1"/>
  <c r="D7" i="1"/>
  <c r="E7" i="1"/>
  <c r="D8" i="1"/>
  <c r="E8" i="1"/>
  <c r="D9" i="1"/>
  <c r="E9" i="1"/>
  <c r="C10" i="1"/>
  <c r="D10" i="1"/>
  <c r="E10" i="1"/>
  <c r="D11" i="1"/>
  <c r="E11" i="1"/>
  <c r="E12" i="1" s="1"/>
  <c r="E13" i="1" s="1"/>
  <c r="E14" i="1" s="1"/>
  <c r="E15" i="1" s="1"/>
  <c r="D12" i="1"/>
  <c r="D13" i="1"/>
  <c r="D14" i="1"/>
  <c r="D15" i="1"/>
  <c r="D27" i="1"/>
  <c r="E27" i="1"/>
  <c r="E28" i="1" s="1"/>
  <c r="E29" i="1" s="1"/>
  <c r="E30" i="1" s="1"/>
  <c r="E31" i="1" s="1"/>
  <c r="E32" i="1" s="1"/>
  <c r="E33" i="1" s="1"/>
  <c r="E34" i="1" s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6" i="1"/>
  <c r="D24" i="1"/>
  <c r="C46" i="1"/>
  <c r="D46" i="1"/>
  <c r="E46" i="1"/>
  <c r="E47" i="1" s="1"/>
  <c r="C47" i="1"/>
  <c r="D47" i="1"/>
  <c r="C48" i="1"/>
  <c r="D48" i="1"/>
  <c r="C49" i="1"/>
  <c r="D49" i="1"/>
  <c r="E49" i="1"/>
  <c r="D50" i="1"/>
  <c r="E50" i="1"/>
  <c r="D51" i="1"/>
  <c r="E51" i="1"/>
  <c r="E52" i="1" s="1"/>
  <c r="E53" i="1" s="1"/>
  <c r="D52" i="1"/>
  <c r="D53" i="1"/>
  <c r="D54" i="1"/>
  <c r="E54" i="1"/>
  <c r="D55" i="1"/>
  <c r="E55" i="1"/>
  <c r="E56" i="1" s="1"/>
  <c r="E57" i="1" s="1"/>
  <c r="E58" i="1" s="1"/>
  <c r="E59" i="1" s="1"/>
  <c r="D56" i="1"/>
  <c r="D57" i="1"/>
  <c r="D58" i="1"/>
  <c r="D59" i="1"/>
  <c r="D60" i="1"/>
  <c r="E60" i="1"/>
  <c r="E61" i="1" s="1"/>
  <c r="E62" i="1" s="1"/>
  <c r="E63" i="1" s="1"/>
  <c r="E64" i="1" s="1"/>
  <c r="E65" i="1" s="1"/>
  <c r="E66" i="1" s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C92" i="1"/>
  <c r="D92" i="1"/>
  <c r="E92" i="1"/>
  <c r="E93" i="1" s="1"/>
  <c r="E94" i="1" s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E99" i="1"/>
  <c r="E100" i="1" s="1"/>
  <c r="E101" i="1" s="1"/>
  <c r="E102" i="1" s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E110" i="1"/>
  <c r="E111" i="1" s="1"/>
  <c r="E112" i="1" s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E117" i="1"/>
  <c r="E118" i="1" s="1"/>
  <c r="E119" i="1" s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E124" i="1"/>
  <c r="C125" i="1"/>
  <c r="D125" i="1"/>
  <c r="E125" i="1"/>
  <c r="C126" i="1"/>
  <c r="D126" i="1"/>
  <c r="E126" i="1"/>
  <c r="C130" i="1"/>
  <c r="D130" i="1"/>
  <c r="E130" i="1"/>
  <c r="C139" i="1"/>
  <c r="D139" i="1"/>
  <c r="E139" i="1"/>
  <c r="C140" i="1"/>
  <c r="D140" i="1"/>
  <c r="E140" i="1"/>
  <c r="D141" i="1"/>
  <c r="E141" i="1"/>
  <c r="E142" i="1"/>
  <c r="E143" i="1" s="1"/>
  <c r="E172" i="1"/>
  <c r="E173" i="1"/>
  <c r="E174" i="1" s="1"/>
  <c r="E175" i="1" s="1"/>
  <c r="E176" i="1" s="1"/>
  <c r="E177" i="1" s="1"/>
  <c r="E187" i="1"/>
  <c r="E188" i="1" s="1"/>
  <c r="E189" i="1" s="1"/>
  <c r="E193" i="1"/>
  <c r="E194" i="1" s="1"/>
  <c r="E195" i="1" s="1"/>
  <c r="E196" i="1" s="1"/>
  <c r="E197" i="1" s="1"/>
  <c r="E202" i="1"/>
  <c r="E203" i="1" s="1"/>
  <c r="E204" i="1" s="1"/>
  <c r="E205" i="1" s="1"/>
  <c r="E206" i="1" s="1"/>
  <c r="E207" i="1" s="1"/>
  <c r="E208" i="1" s="1"/>
  <c r="E209" i="1" s="1"/>
  <c r="E222" i="1"/>
  <c r="E223" i="1" s="1"/>
  <c r="E224" i="1" s="1"/>
  <c r="C225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E239" i="1"/>
  <c r="E240" i="1"/>
  <c r="E241" i="1"/>
  <c r="E242" i="1"/>
  <c r="E243" i="1" s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D260" i="1"/>
  <c r="E260" i="1"/>
  <c r="D261" i="1"/>
  <c r="E261" i="1"/>
  <c r="D262" i="1"/>
  <c r="E262" i="1"/>
  <c r="D263" i="1"/>
  <c r="E263" i="1"/>
  <c r="D264" i="1"/>
  <c r="E264" i="1"/>
  <c r="E265" i="1"/>
  <c r="D266" i="1"/>
  <c r="E266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C280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C289" i="1"/>
  <c r="D289" i="1"/>
  <c r="E289" i="1"/>
  <c r="D290" i="1"/>
  <c r="E290" i="1"/>
  <c r="E291" i="1"/>
  <c r="E292" i="1" s="1"/>
  <c r="E293" i="1" s="1"/>
  <c r="E309" i="1"/>
  <c r="E310" i="1" s="1"/>
  <c r="B42" i="4"/>
  <c r="B43" i="4"/>
  <c r="B44" i="4"/>
  <c r="B41" i="4"/>
  <c r="B45" i="4"/>
  <c r="B46" i="4"/>
  <c r="B40" i="4"/>
  <c r="C2" i="1"/>
  <c r="D2" i="1"/>
  <c r="E2" i="1"/>
  <c r="B38" i="4"/>
  <c r="B35" i="3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13" i="4"/>
  <c r="C12" i="3"/>
  <c r="B4" i="2"/>
  <c r="B5" i="2"/>
  <c r="D137" i="1" l="1"/>
  <c r="E138" i="1"/>
  <c r="E144" i="1"/>
  <c r="E145" i="1" s="1"/>
  <c r="E146" i="1" s="1"/>
  <c r="E147" i="1" s="1"/>
  <c r="E148" i="1" s="1"/>
  <c r="E149" i="1" s="1"/>
  <c r="E150" i="1" s="1"/>
  <c r="E151" i="1" s="1"/>
  <c r="E152" i="1" s="1"/>
  <c r="E153" i="1" s="1"/>
  <c r="E198" i="1"/>
  <c r="E199" i="1" s="1"/>
  <c r="E200" i="1" s="1"/>
  <c r="E201" i="1" s="1"/>
  <c r="E178" i="1"/>
  <c r="E48" i="1"/>
  <c r="E67" i="1"/>
  <c r="E68" i="1" s="1"/>
  <c r="E69" i="1" s="1"/>
  <c r="E70" i="1" s="1"/>
  <c r="E71" i="1" s="1"/>
  <c r="E35" i="1"/>
  <c r="E36" i="1" s="1"/>
  <c r="E37" i="1" s="1"/>
  <c r="E38" i="1" s="1"/>
  <c r="E311" i="1"/>
  <c r="E312" i="1" s="1"/>
  <c r="E210" i="1"/>
  <c r="E211" i="1" s="1"/>
  <c r="E212" i="1" s="1"/>
  <c r="E213" i="1" s="1"/>
  <c r="E103" i="1"/>
  <c r="E104" i="1" s="1"/>
  <c r="E105" i="1" s="1"/>
  <c r="E106" i="1" s="1"/>
  <c r="E294" i="1"/>
  <c r="E295" i="1" s="1"/>
  <c r="E296" i="1" s="1"/>
  <c r="E297" i="1" s="1"/>
  <c r="E190" i="1"/>
  <c r="E95" i="1"/>
  <c r="E120" i="1"/>
  <c r="E113" i="1"/>
  <c r="E114" i="1" s="1"/>
  <c r="C14" i="3"/>
  <c r="C13" i="3"/>
  <c r="B6" i="2"/>
  <c r="B3" i="2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E31" i="5"/>
  <c r="D31" i="5"/>
  <c r="E30" i="5"/>
  <c r="D30" i="5"/>
  <c r="E29" i="5"/>
  <c r="D29" i="5"/>
  <c r="E28" i="5"/>
  <c r="D28" i="5"/>
  <c r="E27" i="5"/>
  <c r="D27" i="5"/>
  <c r="E26" i="5"/>
  <c r="D26" i="5"/>
  <c r="E25" i="5"/>
  <c r="D25" i="5"/>
  <c r="E24" i="5"/>
  <c r="D24" i="5"/>
  <c r="E23" i="5"/>
  <c r="D23" i="5"/>
  <c r="E22" i="5"/>
  <c r="E21" i="5"/>
  <c r="D21" i="5"/>
  <c r="E20" i="5"/>
  <c r="E19" i="5"/>
  <c r="E18" i="5"/>
  <c r="E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C10" i="5"/>
  <c r="E9" i="5"/>
  <c r="D9" i="5"/>
  <c r="E8" i="5"/>
  <c r="D8" i="5"/>
  <c r="E7" i="5"/>
  <c r="D7" i="5"/>
  <c r="E6" i="5"/>
  <c r="D6" i="5"/>
  <c r="E5" i="5"/>
  <c r="D5" i="5"/>
  <c r="E4" i="5"/>
  <c r="D4" i="5"/>
  <c r="E3" i="5"/>
  <c r="D3" i="5"/>
  <c r="E2" i="5"/>
  <c r="D2" i="5"/>
  <c r="C2" i="5"/>
  <c r="E1" i="5"/>
  <c r="D1" i="5"/>
  <c r="C1" i="5"/>
  <c r="B1" i="5"/>
  <c r="A1" i="5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48" i="4"/>
  <c r="B34" i="3"/>
  <c r="B2" i="2"/>
  <c r="B39" i="4"/>
  <c r="B37" i="4"/>
  <c r="B36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" i="3"/>
  <c r="B4" i="3"/>
  <c r="B5" i="3"/>
  <c r="B6" i="3"/>
  <c r="D19" i="5" s="1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2" i="3"/>
  <c r="B9" i="2"/>
  <c r="B8" i="2"/>
  <c r="B7" i="2"/>
  <c r="B10" i="2"/>
  <c r="C135" i="1" l="1"/>
  <c r="C137" i="1"/>
  <c r="D134" i="1"/>
  <c r="C132" i="1"/>
  <c r="D138" i="1"/>
  <c r="C138" i="1"/>
  <c r="D132" i="1"/>
  <c r="D133" i="1"/>
  <c r="C131" i="1"/>
  <c r="D135" i="1"/>
  <c r="D136" i="1"/>
  <c r="C133" i="1"/>
  <c r="B131" i="1"/>
  <c r="A131" i="1" s="1"/>
  <c r="B132" i="1"/>
  <c r="B133" i="1"/>
  <c r="B134" i="1"/>
  <c r="B135" i="1"/>
  <c r="A135" i="1" s="1"/>
  <c r="B136" i="1"/>
  <c r="B137" i="1"/>
  <c r="A137" i="1" s="1"/>
  <c r="B138" i="1"/>
  <c r="A138" i="1" s="1"/>
  <c r="C134" i="1"/>
  <c r="C136" i="1"/>
  <c r="D17" i="5"/>
  <c r="B22" i="1"/>
  <c r="B5" i="1"/>
  <c r="B9" i="1"/>
  <c r="B13" i="1"/>
  <c r="B17" i="1"/>
  <c r="B30" i="1"/>
  <c r="B36" i="1"/>
  <c r="B42" i="1"/>
  <c r="B46" i="1"/>
  <c r="A46" i="1" s="1"/>
  <c r="B23" i="1"/>
  <c r="B14" i="1"/>
  <c r="B18" i="1"/>
  <c r="B6" i="1"/>
  <c r="B10" i="1"/>
  <c r="A10" i="1" s="1"/>
  <c r="B31" i="1"/>
  <c r="B37" i="1"/>
  <c r="B43" i="1"/>
  <c r="B15" i="1"/>
  <c r="B19" i="1"/>
  <c r="B25" i="1"/>
  <c r="B32" i="1"/>
  <c r="B38" i="1"/>
  <c r="B44" i="1"/>
  <c r="B47" i="1"/>
  <c r="A47" i="1" s="1"/>
  <c r="B7" i="1"/>
  <c r="B27" i="1"/>
  <c r="B20" i="1"/>
  <c r="B3" i="1"/>
  <c r="B11" i="1"/>
  <c r="B33" i="1"/>
  <c r="B39" i="1"/>
  <c r="B45" i="1"/>
  <c r="B48" i="1"/>
  <c r="A48" i="1" s="1"/>
  <c r="B21" i="1"/>
  <c r="B8" i="1"/>
  <c r="B28" i="1"/>
  <c r="B34" i="1"/>
  <c r="B40" i="1"/>
  <c r="B26" i="1"/>
  <c r="B16" i="1"/>
  <c r="B4" i="1"/>
  <c r="B12" i="1"/>
  <c r="B29" i="1"/>
  <c r="B35" i="1"/>
  <c r="B41" i="1"/>
  <c r="B24" i="1"/>
  <c r="B143" i="1"/>
  <c r="B155" i="1"/>
  <c r="B167" i="1"/>
  <c r="B177" i="1"/>
  <c r="B188" i="1"/>
  <c r="B199" i="1"/>
  <c r="B210" i="1"/>
  <c r="B222" i="1"/>
  <c r="B246" i="1"/>
  <c r="B252" i="1"/>
  <c r="B258" i="1"/>
  <c r="B267" i="1"/>
  <c r="B283" i="1"/>
  <c r="B287" i="1"/>
  <c r="B301" i="1"/>
  <c r="B312" i="1"/>
  <c r="B278" i="1"/>
  <c r="B144" i="1"/>
  <c r="B156" i="1"/>
  <c r="B168" i="1"/>
  <c r="B178" i="1"/>
  <c r="B189" i="1"/>
  <c r="B200" i="1"/>
  <c r="B211" i="1"/>
  <c r="B240" i="1"/>
  <c r="B263" i="1"/>
  <c r="B291" i="1"/>
  <c r="B302" i="1"/>
  <c r="B253" i="1"/>
  <c r="B268" i="1"/>
  <c r="B276" i="1"/>
  <c r="B292" i="1"/>
  <c r="B264" i="1"/>
  <c r="B309" i="1"/>
  <c r="B145" i="1"/>
  <c r="B157" i="1"/>
  <c r="B169" i="1"/>
  <c r="B179" i="1"/>
  <c r="B190" i="1"/>
  <c r="B201" i="1"/>
  <c r="B212" i="1"/>
  <c r="B223" i="1"/>
  <c r="B228" i="1"/>
  <c r="B232" i="1"/>
  <c r="B236" i="1"/>
  <c r="B247" i="1"/>
  <c r="B259" i="1"/>
  <c r="B272" i="1"/>
  <c r="B280" i="1"/>
  <c r="A280" i="1" s="1"/>
  <c r="B303" i="1"/>
  <c r="B304" i="1"/>
  <c r="B293" i="1"/>
  <c r="B140" i="1"/>
  <c r="A140" i="1" s="1"/>
  <c r="B146" i="1"/>
  <c r="B158" i="1"/>
  <c r="B170" i="1"/>
  <c r="B180" i="1"/>
  <c r="B191" i="1"/>
  <c r="B202" i="1"/>
  <c r="B213" i="1"/>
  <c r="B224" i="1"/>
  <c r="B241" i="1"/>
  <c r="B284" i="1"/>
  <c r="B288" i="1"/>
  <c r="B260" i="1"/>
  <c r="B147" i="1"/>
  <c r="B159" i="1"/>
  <c r="B171" i="1"/>
  <c r="B181" i="1"/>
  <c r="B192" i="1"/>
  <c r="B214" i="1"/>
  <c r="B225" i="1"/>
  <c r="A225" i="1" s="1"/>
  <c r="B248" i="1"/>
  <c r="B254" i="1"/>
  <c r="B305" i="1"/>
  <c r="B148" i="1"/>
  <c r="B160" i="1"/>
  <c r="B172" i="1"/>
  <c r="B182" i="1"/>
  <c r="B193" i="1"/>
  <c r="B203" i="1"/>
  <c r="B215" i="1"/>
  <c r="B229" i="1"/>
  <c r="B233" i="1"/>
  <c r="B237" i="1"/>
  <c r="B242" i="1"/>
  <c r="B269" i="1"/>
  <c r="B273" i="1"/>
  <c r="B277" i="1"/>
  <c r="B294" i="1"/>
  <c r="B306" i="1"/>
  <c r="B265" i="1"/>
  <c r="B230" i="1"/>
  <c r="B250" i="1"/>
  <c r="B149" i="1"/>
  <c r="B161" i="1"/>
  <c r="B183" i="1"/>
  <c r="B204" i="1"/>
  <c r="B216" i="1"/>
  <c r="B249" i="1"/>
  <c r="B255" i="1"/>
  <c r="B281" i="1"/>
  <c r="B285" i="1"/>
  <c r="B289" i="1"/>
  <c r="A289" i="1" s="1"/>
  <c r="B295" i="1"/>
  <c r="B307" i="1"/>
  <c r="B308" i="1"/>
  <c r="B234" i="1"/>
  <c r="B256" i="1"/>
  <c r="B297" i="1"/>
  <c r="B130" i="1"/>
  <c r="A130" i="1" s="1"/>
  <c r="B141" i="1"/>
  <c r="B150" i="1"/>
  <c r="B162" i="1"/>
  <c r="B173" i="1"/>
  <c r="B184" i="1"/>
  <c r="B194" i="1"/>
  <c r="B205" i="1"/>
  <c r="B217" i="1"/>
  <c r="B243" i="1"/>
  <c r="B261" i="1"/>
  <c r="B296" i="1"/>
  <c r="B238" i="1"/>
  <c r="B270" i="1"/>
  <c r="B151" i="1"/>
  <c r="B163" i="1"/>
  <c r="B185" i="1"/>
  <c r="B195" i="1"/>
  <c r="B206" i="1"/>
  <c r="B218" i="1"/>
  <c r="B226" i="1"/>
  <c r="B244" i="1"/>
  <c r="B274" i="1"/>
  <c r="B152" i="1"/>
  <c r="B164" i="1"/>
  <c r="B174" i="1"/>
  <c r="B186" i="1"/>
  <c r="B196" i="1"/>
  <c r="B207" i="1"/>
  <c r="B219" i="1"/>
  <c r="B266" i="1"/>
  <c r="B282" i="1"/>
  <c r="B286" i="1"/>
  <c r="B298" i="1"/>
  <c r="B208" i="1"/>
  <c r="B245" i="1"/>
  <c r="B257" i="1"/>
  <c r="B299" i="1"/>
  <c r="B142" i="1"/>
  <c r="B153" i="1"/>
  <c r="B165" i="1"/>
  <c r="B175" i="1"/>
  <c r="B187" i="1"/>
  <c r="B197" i="1"/>
  <c r="B220" i="1"/>
  <c r="B251" i="1"/>
  <c r="B262" i="1"/>
  <c r="B290" i="1"/>
  <c r="B310" i="1"/>
  <c r="B139" i="1"/>
  <c r="A139" i="1" s="1"/>
  <c r="B154" i="1"/>
  <c r="B166" i="1"/>
  <c r="B176" i="1"/>
  <c r="B198" i="1"/>
  <c r="B209" i="1"/>
  <c r="B221" i="1"/>
  <c r="B227" i="1"/>
  <c r="B231" i="1"/>
  <c r="B235" i="1"/>
  <c r="B239" i="1"/>
  <c r="B271" i="1"/>
  <c r="B275" i="1"/>
  <c r="B279" i="1"/>
  <c r="B300" i="1"/>
  <c r="B311" i="1"/>
  <c r="D18" i="5"/>
  <c r="D20" i="5"/>
  <c r="B64" i="1"/>
  <c r="B70" i="1"/>
  <c r="B76" i="1"/>
  <c r="B82" i="1"/>
  <c r="B88" i="1"/>
  <c r="B93" i="1"/>
  <c r="A93" i="1" s="1"/>
  <c r="B97" i="1"/>
  <c r="B54" i="1"/>
  <c r="B59" i="1"/>
  <c r="B101" i="1"/>
  <c r="A101" i="1" s="1"/>
  <c r="B105" i="1"/>
  <c r="B109" i="1"/>
  <c r="B65" i="1"/>
  <c r="B71" i="1"/>
  <c r="B77" i="1"/>
  <c r="B83" i="1"/>
  <c r="B89" i="1"/>
  <c r="B50" i="1"/>
  <c r="B60" i="1"/>
  <c r="B94" i="1"/>
  <c r="A94" i="1" s="1"/>
  <c r="B98" i="1"/>
  <c r="B55" i="1"/>
  <c r="B66" i="1"/>
  <c r="B72" i="1"/>
  <c r="B78" i="1"/>
  <c r="B84" i="1"/>
  <c r="B90" i="1"/>
  <c r="B102" i="1"/>
  <c r="A102" i="1" s="1"/>
  <c r="B106" i="1"/>
  <c r="A106" i="1" s="1"/>
  <c r="B51" i="1"/>
  <c r="B61" i="1"/>
  <c r="B67" i="1"/>
  <c r="B73" i="1"/>
  <c r="B79" i="1"/>
  <c r="B85" i="1"/>
  <c r="B91" i="1"/>
  <c r="B95" i="1"/>
  <c r="A95" i="1" s="1"/>
  <c r="B99" i="1"/>
  <c r="A99" i="1" s="1"/>
  <c r="B56" i="1"/>
  <c r="B103" i="1"/>
  <c r="A103" i="1" s="1"/>
  <c r="B107" i="1"/>
  <c r="B62" i="1"/>
  <c r="B68" i="1"/>
  <c r="B74" i="1"/>
  <c r="B80" i="1"/>
  <c r="B86" i="1"/>
  <c r="B92" i="1"/>
  <c r="A92" i="1" s="1"/>
  <c r="B52" i="1"/>
  <c r="B57" i="1"/>
  <c r="B96" i="1"/>
  <c r="B63" i="1"/>
  <c r="B69" i="1"/>
  <c r="B75" i="1"/>
  <c r="B81" i="1"/>
  <c r="B87" i="1"/>
  <c r="B100" i="1"/>
  <c r="A100" i="1" s="1"/>
  <c r="B104" i="1"/>
  <c r="A104" i="1" s="1"/>
  <c r="B108" i="1"/>
  <c r="B49" i="1"/>
  <c r="A49" i="1" s="1"/>
  <c r="B53" i="1"/>
  <c r="B58" i="1"/>
  <c r="B129" i="1"/>
  <c r="A129" i="1" s="1"/>
  <c r="B128" i="1"/>
  <c r="A128" i="1" s="1"/>
  <c r="B127" i="1"/>
  <c r="A127" i="1" s="1"/>
  <c r="C62" i="1"/>
  <c r="C66" i="1"/>
  <c r="C70" i="1"/>
  <c r="C74" i="1"/>
  <c r="C78" i="1"/>
  <c r="C82" i="1"/>
  <c r="C86" i="1"/>
  <c r="C90" i="1"/>
  <c r="C55" i="1"/>
  <c r="C59" i="1"/>
  <c r="A59" i="1" s="1"/>
  <c r="C52" i="1"/>
  <c r="C63" i="1"/>
  <c r="C67" i="1"/>
  <c r="A67" i="1" s="1"/>
  <c r="C71" i="1"/>
  <c r="C75" i="1"/>
  <c r="C79" i="1"/>
  <c r="C83" i="1"/>
  <c r="C87" i="1"/>
  <c r="C91" i="1"/>
  <c r="C56" i="1"/>
  <c r="C60" i="1"/>
  <c r="C53" i="1"/>
  <c r="C64" i="1"/>
  <c r="C68" i="1"/>
  <c r="A68" i="1" s="1"/>
  <c r="C72" i="1"/>
  <c r="C76" i="1"/>
  <c r="C80" i="1"/>
  <c r="C84" i="1"/>
  <c r="C88" i="1"/>
  <c r="C50" i="1"/>
  <c r="C57" i="1"/>
  <c r="C54" i="1"/>
  <c r="C61" i="1"/>
  <c r="C65" i="1"/>
  <c r="C69" i="1"/>
  <c r="C73" i="1"/>
  <c r="C77" i="1"/>
  <c r="C81" i="1"/>
  <c r="C85" i="1"/>
  <c r="C89" i="1"/>
  <c r="C51" i="1"/>
  <c r="C58" i="1"/>
  <c r="D22" i="5"/>
  <c r="C174" i="1"/>
  <c r="C178" i="1"/>
  <c r="C182" i="1"/>
  <c r="C186" i="1"/>
  <c r="D197" i="1"/>
  <c r="D201" i="1"/>
  <c r="C205" i="1"/>
  <c r="C209" i="1"/>
  <c r="C213" i="1"/>
  <c r="C217" i="1"/>
  <c r="C221" i="1"/>
  <c r="C143" i="1"/>
  <c r="C147" i="1"/>
  <c r="C151" i="1"/>
  <c r="C155" i="1"/>
  <c r="C159" i="1"/>
  <c r="C163" i="1"/>
  <c r="C167" i="1"/>
  <c r="C171" i="1"/>
  <c r="D174" i="1"/>
  <c r="D178" i="1"/>
  <c r="D182" i="1"/>
  <c r="D186" i="1"/>
  <c r="C190" i="1"/>
  <c r="D205" i="1"/>
  <c r="D209" i="1"/>
  <c r="D213" i="1"/>
  <c r="D217" i="1"/>
  <c r="D221" i="1"/>
  <c r="D143" i="1"/>
  <c r="D147" i="1"/>
  <c r="D151" i="1"/>
  <c r="D155" i="1"/>
  <c r="D159" i="1"/>
  <c r="D163" i="1"/>
  <c r="D167" i="1"/>
  <c r="D171" i="1"/>
  <c r="D190" i="1"/>
  <c r="C194" i="1"/>
  <c r="C198" i="1"/>
  <c r="C202" i="1"/>
  <c r="C175" i="1"/>
  <c r="C179" i="1"/>
  <c r="C183" i="1"/>
  <c r="C187" i="1"/>
  <c r="D194" i="1"/>
  <c r="D198" i="1"/>
  <c r="D202" i="1"/>
  <c r="C206" i="1"/>
  <c r="C210" i="1"/>
  <c r="C214" i="1"/>
  <c r="C218" i="1"/>
  <c r="C222" i="1"/>
  <c r="C144" i="1"/>
  <c r="C148" i="1"/>
  <c r="C152" i="1"/>
  <c r="C156" i="1"/>
  <c r="C160" i="1"/>
  <c r="C164" i="1"/>
  <c r="C168" i="1"/>
  <c r="C172" i="1"/>
  <c r="D175" i="1"/>
  <c r="D179" i="1"/>
  <c r="D183" i="1"/>
  <c r="D187" i="1"/>
  <c r="C191" i="1"/>
  <c r="D206" i="1"/>
  <c r="D210" i="1"/>
  <c r="D214" i="1"/>
  <c r="D218" i="1"/>
  <c r="D222" i="1"/>
  <c r="C141" i="1"/>
  <c r="A141" i="1" s="1"/>
  <c r="D144" i="1"/>
  <c r="D148" i="1"/>
  <c r="D152" i="1"/>
  <c r="D156" i="1"/>
  <c r="D160" i="1"/>
  <c r="D164" i="1"/>
  <c r="D168" i="1"/>
  <c r="D172" i="1"/>
  <c r="D191" i="1"/>
  <c r="C195" i="1"/>
  <c r="C199" i="1"/>
  <c r="C176" i="1"/>
  <c r="C180" i="1"/>
  <c r="C184" i="1"/>
  <c r="D195" i="1"/>
  <c r="D199" i="1"/>
  <c r="C203" i="1"/>
  <c r="C207" i="1"/>
  <c r="C211" i="1"/>
  <c r="C215" i="1"/>
  <c r="C219" i="1"/>
  <c r="C145" i="1"/>
  <c r="C149" i="1"/>
  <c r="C153" i="1"/>
  <c r="C157" i="1"/>
  <c r="C161" i="1"/>
  <c r="C165" i="1"/>
  <c r="C169" i="1"/>
  <c r="D176" i="1"/>
  <c r="D180" i="1"/>
  <c r="D184" i="1"/>
  <c r="C188" i="1"/>
  <c r="C192" i="1"/>
  <c r="D203" i="1"/>
  <c r="D207" i="1"/>
  <c r="D211" i="1"/>
  <c r="D215" i="1"/>
  <c r="D219" i="1"/>
  <c r="C223" i="1"/>
  <c r="D145" i="1"/>
  <c r="D149" i="1"/>
  <c r="D153" i="1"/>
  <c r="D157" i="1"/>
  <c r="D161" i="1"/>
  <c r="D165" i="1"/>
  <c r="D169" i="1"/>
  <c r="C173" i="1"/>
  <c r="D188" i="1"/>
  <c r="D192" i="1"/>
  <c r="C196" i="1"/>
  <c r="C200" i="1"/>
  <c r="D223" i="1"/>
  <c r="C142" i="1"/>
  <c r="D173" i="1"/>
  <c r="C177" i="1"/>
  <c r="C181" i="1"/>
  <c r="C185" i="1"/>
  <c r="D196" i="1"/>
  <c r="D200" i="1"/>
  <c r="C204" i="1"/>
  <c r="C208" i="1"/>
  <c r="C212" i="1"/>
  <c r="C216" i="1"/>
  <c r="C220" i="1"/>
  <c r="D142" i="1"/>
  <c r="C146" i="1"/>
  <c r="C150" i="1"/>
  <c r="C154" i="1"/>
  <c r="C158" i="1"/>
  <c r="C162" i="1"/>
  <c r="C166" i="1"/>
  <c r="C170" i="1"/>
  <c r="D177" i="1"/>
  <c r="D181" i="1"/>
  <c r="D185" i="1"/>
  <c r="C189" i="1"/>
  <c r="C193" i="1"/>
  <c r="D204" i="1"/>
  <c r="D208" i="1"/>
  <c r="D212" i="1"/>
  <c r="D216" i="1"/>
  <c r="D220" i="1"/>
  <c r="C224" i="1"/>
  <c r="D146" i="1"/>
  <c r="D150" i="1"/>
  <c r="D154" i="1"/>
  <c r="D158" i="1"/>
  <c r="D162" i="1"/>
  <c r="D166" i="1"/>
  <c r="D170" i="1"/>
  <c r="D189" i="1"/>
  <c r="D193" i="1"/>
  <c r="C197" i="1"/>
  <c r="C201" i="1"/>
  <c r="D224" i="1"/>
  <c r="C282" i="1"/>
  <c r="C283" i="1"/>
  <c r="C286" i="1"/>
  <c r="C287" i="1"/>
  <c r="C284" i="1"/>
  <c r="C281" i="1"/>
  <c r="A281" i="1" s="1"/>
  <c r="C288" i="1"/>
  <c r="A288" i="1" s="1"/>
  <c r="C285" i="1"/>
  <c r="A285" i="1" s="1"/>
  <c r="C12" i="1"/>
  <c r="A12" i="1" s="1"/>
  <c r="C27" i="1"/>
  <c r="A27" i="1" s="1"/>
  <c r="C16" i="1"/>
  <c r="A16" i="1" s="1"/>
  <c r="C19" i="1"/>
  <c r="C22" i="1"/>
  <c r="C31" i="1"/>
  <c r="A31" i="1" s="1"/>
  <c r="C35" i="1"/>
  <c r="C39" i="1"/>
  <c r="C43" i="1"/>
  <c r="C24" i="1"/>
  <c r="D19" i="1"/>
  <c r="D22" i="1"/>
  <c r="C13" i="1"/>
  <c r="A13" i="1" s="1"/>
  <c r="C28" i="1"/>
  <c r="C32" i="1"/>
  <c r="C36" i="1"/>
  <c r="A36" i="1" s="1"/>
  <c r="C40" i="1"/>
  <c r="C44" i="1"/>
  <c r="C17" i="1"/>
  <c r="C20" i="1"/>
  <c r="C23" i="1"/>
  <c r="D17" i="1"/>
  <c r="D20" i="1"/>
  <c r="C14" i="1"/>
  <c r="C29" i="1"/>
  <c r="A29" i="1" s="1"/>
  <c r="C33" i="1"/>
  <c r="A33" i="1" s="1"/>
  <c r="C37" i="1"/>
  <c r="A37" i="1" s="1"/>
  <c r="C41" i="1"/>
  <c r="C45" i="1"/>
  <c r="C11" i="1"/>
  <c r="A11" i="1" s="1"/>
  <c r="C18" i="1"/>
  <c r="C21" i="1"/>
  <c r="C25" i="1"/>
  <c r="C15" i="1"/>
  <c r="A15" i="1" s="1"/>
  <c r="D18" i="1"/>
  <c r="C30" i="1"/>
  <c r="A30" i="1" s="1"/>
  <c r="C34" i="1"/>
  <c r="C38" i="1"/>
  <c r="C42" i="1"/>
  <c r="C26" i="1"/>
  <c r="C6" i="1"/>
  <c r="C9" i="1"/>
  <c r="A9" i="1" s="1"/>
  <c r="C3" i="1"/>
  <c r="A3" i="1" s="1"/>
  <c r="C7" i="1"/>
  <c r="C4" i="1"/>
  <c r="A4" i="1" s="1"/>
  <c r="C5" i="1"/>
  <c r="A5" i="1" s="1"/>
  <c r="C8" i="1"/>
  <c r="D291" i="1"/>
  <c r="C295" i="1"/>
  <c r="C299" i="1"/>
  <c r="C303" i="1"/>
  <c r="C307" i="1"/>
  <c r="D299" i="1"/>
  <c r="D303" i="1"/>
  <c r="C311" i="1"/>
  <c r="D311" i="1"/>
  <c r="D295" i="1"/>
  <c r="D307" i="1"/>
  <c r="D308" i="1"/>
  <c r="C312" i="1"/>
  <c r="D310" i="1"/>
  <c r="C292" i="1"/>
  <c r="C296" i="1"/>
  <c r="C300" i="1"/>
  <c r="C304" i="1"/>
  <c r="C308" i="1"/>
  <c r="D304" i="1"/>
  <c r="D309" i="1"/>
  <c r="D292" i="1"/>
  <c r="D296" i="1"/>
  <c r="D300" i="1"/>
  <c r="D305" i="1"/>
  <c r="D312" i="1"/>
  <c r="C293" i="1"/>
  <c r="C301" i="1"/>
  <c r="C309" i="1"/>
  <c r="D297" i="1"/>
  <c r="C297" i="1"/>
  <c r="C305" i="1"/>
  <c r="D293" i="1"/>
  <c r="C290" i="1"/>
  <c r="D301" i="1"/>
  <c r="C291" i="1"/>
  <c r="C294" i="1"/>
  <c r="C298" i="1"/>
  <c r="C302" i="1"/>
  <c r="C306" i="1"/>
  <c r="D298" i="1"/>
  <c r="D306" i="1"/>
  <c r="D294" i="1"/>
  <c r="D302" i="1"/>
  <c r="C310" i="1"/>
  <c r="C246" i="1"/>
  <c r="C249" i="1"/>
  <c r="C252" i="1"/>
  <c r="C255" i="1"/>
  <c r="C258" i="1"/>
  <c r="C261" i="1"/>
  <c r="C264" i="1"/>
  <c r="A264" i="1" s="1"/>
  <c r="C267" i="1"/>
  <c r="C270" i="1"/>
  <c r="A270" i="1" s="1"/>
  <c r="C273" i="1"/>
  <c r="A273" i="1" s="1"/>
  <c r="C228" i="1"/>
  <c r="A228" i="1" s="1"/>
  <c r="C231" i="1"/>
  <c r="C234" i="1"/>
  <c r="C237" i="1"/>
  <c r="C240" i="1"/>
  <c r="C243" i="1"/>
  <c r="D246" i="1"/>
  <c r="D249" i="1"/>
  <c r="D252" i="1"/>
  <c r="D255" i="1"/>
  <c r="D258" i="1"/>
  <c r="D267" i="1"/>
  <c r="D240" i="1"/>
  <c r="D243" i="1"/>
  <c r="C244" i="1"/>
  <c r="C247" i="1"/>
  <c r="C250" i="1"/>
  <c r="C253" i="1"/>
  <c r="C256" i="1"/>
  <c r="C259" i="1"/>
  <c r="C262" i="1"/>
  <c r="C265" i="1"/>
  <c r="C268" i="1"/>
  <c r="A268" i="1" s="1"/>
  <c r="C271" i="1"/>
  <c r="C274" i="1"/>
  <c r="C277" i="1"/>
  <c r="A277" i="1" s="1"/>
  <c r="C226" i="1"/>
  <c r="A226" i="1" s="1"/>
  <c r="C229" i="1"/>
  <c r="A229" i="1" s="1"/>
  <c r="C232" i="1"/>
  <c r="A232" i="1" s="1"/>
  <c r="C235" i="1"/>
  <c r="C238" i="1"/>
  <c r="C241" i="1"/>
  <c r="D244" i="1"/>
  <c r="D247" i="1"/>
  <c r="D250" i="1"/>
  <c r="D253" i="1"/>
  <c r="D256" i="1"/>
  <c r="D259" i="1"/>
  <c r="D265" i="1"/>
  <c r="D241" i="1"/>
  <c r="C260" i="1"/>
  <c r="A260" i="1" s="1"/>
  <c r="C269" i="1"/>
  <c r="A269" i="1" s="1"/>
  <c r="C278" i="1"/>
  <c r="A278" i="1" s="1"/>
  <c r="C245" i="1"/>
  <c r="C248" i="1"/>
  <c r="C251" i="1"/>
  <c r="C257" i="1"/>
  <c r="C266" i="1"/>
  <c r="C275" i="1"/>
  <c r="A275" i="1" s="1"/>
  <c r="C254" i="1"/>
  <c r="C263" i="1"/>
  <c r="C272" i="1"/>
  <c r="C227" i="1"/>
  <c r="C230" i="1"/>
  <c r="A230" i="1" s="1"/>
  <c r="C233" i="1"/>
  <c r="C236" i="1"/>
  <c r="A236" i="1" s="1"/>
  <c r="C239" i="1"/>
  <c r="C242" i="1"/>
  <c r="D245" i="1"/>
  <c r="D248" i="1"/>
  <c r="D251" i="1"/>
  <c r="D254" i="1"/>
  <c r="D257" i="1"/>
  <c r="D239" i="1"/>
  <c r="D242" i="1"/>
  <c r="C279" i="1"/>
  <c r="A279" i="1" s="1"/>
  <c r="C276" i="1"/>
  <c r="A276" i="1" s="1"/>
  <c r="B110" i="1"/>
  <c r="A110" i="1" s="1"/>
  <c r="B125" i="1"/>
  <c r="A125" i="1" s="1"/>
  <c r="B118" i="1"/>
  <c r="A118" i="1" s="1"/>
  <c r="B122" i="1"/>
  <c r="B111" i="1"/>
  <c r="A111" i="1" s="1"/>
  <c r="B115" i="1"/>
  <c r="B126" i="1"/>
  <c r="A126" i="1" s="1"/>
  <c r="B119" i="1"/>
  <c r="A119" i="1" s="1"/>
  <c r="B123" i="1"/>
  <c r="B112" i="1"/>
  <c r="A112" i="1" s="1"/>
  <c r="B116" i="1"/>
  <c r="B114" i="1"/>
  <c r="A114" i="1" s="1"/>
  <c r="B120" i="1"/>
  <c r="A120" i="1" s="1"/>
  <c r="B124" i="1"/>
  <c r="A124" i="1" s="1"/>
  <c r="B113" i="1"/>
  <c r="A113" i="1" s="1"/>
  <c r="B117" i="1"/>
  <c r="A117" i="1" s="1"/>
  <c r="B121" i="1"/>
  <c r="E107" i="1"/>
  <c r="E115" i="1"/>
  <c r="E179" i="1"/>
  <c r="E121" i="1"/>
  <c r="E96" i="1"/>
  <c r="E191" i="1"/>
  <c r="E154" i="1"/>
  <c r="A105" i="1"/>
  <c r="E214" i="1"/>
  <c r="E298" i="1"/>
  <c r="E72" i="1"/>
  <c r="E39" i="1"/>
  <c r="B2" i="1"/>
  <c r="A2" i="1" s="1"/>
  <c r="C26" i="5"/>
  <c r="B10" i="5"/>
  <c r="B12" i="5"/>
  <c r="C12" i="5"/>
  <c r="C24" i="5"/>
  <c r="C11" i="5"/>
  <c r="C16" i="5"/>
  <c r="C28" i="5"/>
  <c r="A39" i="4"/>
  <c r="A40" i="4" s="1"/>
  <c r="A41" i="4" s="1"/>
  <c r="A42" i="4" s="1"/>
  <c r="A43" i="4" s="1"/>
  <c r="A44" i="4" s="1"/>
  <c r="A45" i="4" s="1"/>
  <c r="A46" i="4" s="1"/>
  <c r="A47" i="4" s="1"/>
  <c r="A38" i="4"/>
  <c r="C20" i="5"/>
  <c r="C13" i="5"/>
  <c r="C17" i="5"/>
  <c r="C21" i="5"/>
  <c r="C25" i="5"/>
  <c r="C30" i="5"/>
  <c r="B5" i="5"/>
  <c r="C14" i="5"/>
  <c r="C18" i="5"/>
  <c r="C22" i="5"/>
  <c r="C37" i="5"/>
  <c r="C15" i="5"/>
  <c r="C19" i="5"/>
  <c r="C23" i="5"/>
  <c r="C32" i="5"/>
  <c r="C4" i="5"/>
  <c r="B13" i="5"/>
  <c r="C36" i="5"/>
  <c r="C29" i="5"/>
  <c r="C33" i="5"/>
  <c r="C34" i="5"/>
  <c r="C38" i="5"/>
  <c r="C27" i="5"/>
  <c r="C31" i="5"/>
  <c r="C35" i="5"/>
  <c r="C3" i="5"/>
  <c r="B11" i="5"/>
  <c r="B14" i="5"/>
  <c r="B7" i="5"/>
  <c r="B16" i="5"/>
  <c r="B21" i="5"/>
  <c r="B9" i="5"/>
  <c r="B2" i="5"/>
  <c r="B22" i="5"/>
  <c r="B25" i="5"/>
  <c r="B28" i="5"/>
  <c r="B31" i="5"/>
  <c r="B34" i="5"/>
  <c r="B6" i="5"/>
  <c r="B19" i="5"/>
  <c r="B3" i="5"/>
  <c r="B17" i="5"/>
  <c r="B20" i="5"/>
  <c r="B23" i="5"/>
  <c r="B26" i="5"/>
  <c r="B29" i="5"/>
  <c r="B32" i="5"/>
  <c r="B35" i="5"/>
  <c r="B4" i="5"/>
  <c r="B24" i="5"/>
  <c r="B33" i="5"/>
  <c r="B15" i="5"/>
  <c r="B30" i="5"/>
  <c r="B18" i="5"/>
  <c r="B27" i="5"/>
  <c r="B36" i="5"/>
  <c r="B8" i="5"/>
  <c r="C7" i="5"/>
  <c r="C5" i="5"/>
  <c r="C8" i="5"/>
  <c r="C6" i="5"/>
  <c r="C9" i="5"/>
  <c r="B37" i="5"/>
  <c r="B38" i="5"/>
  <c r="A80" i="4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263" i="1" l="1"/>
  <c r="A290" i="1"/>
  <c r="A284" i="1"/>
  <c r="A7" i="1"/>
  <c r="A287" i="1"/>
  <c r="A271" i="1"/>
  <c r="A136" i="1"/>
  <c r="A6" i="1"/>
  <c r="A291" i="1"/>
  <c r="A50" i="1"/>
  <c r="A28" i="1"/>
  <c r="A132" i="1"/>
  <c r="A238" i="1"/>
  <c r="A34" i="1"/>
  <c r="A153" i="1"/>
  <c r="A134" i="1"/>
  <c r="A133" i="1"/>
  <c r="A61" i="1"/>
  <c r="A60" i="1"/>
  <c r="A55" i="1"/>
  <c r="A65" i="1"/>
  <c r="A286" i="1"/>
  <c r="A32" i="1"/>
  <c r="A227" i="1"/>
  <c r="A54" i="1"/>
  <c r="A231" i="1"/>
  <c r="A21" i="1"/>
  <c r="A213" i="1"/>
  <c r="A53" i="1"/>
  <c r="A201" i="1"/>
  <c r="A35" i="1"/>
  <c r="A282" i="1"/>
  <c r="A266" i="1"/>
  <c r="A66" i="1"/>
  <c r="A69" i="1"/>
  <c r="A51" i="1"/>
  <c r="A62" i="1"/>
  <c r="A71" i="1"/>
  <c r="A70" i="1"/>
  <c r="A211" i="1"/>
  <c r="A52" i="1"/>
  <c r="A252" i="1"/>
  <c r="A296" i="1"/>
  <c r="A234" i="1"/>
  <c r="A23" i="1"/>
  <c r="A64" i="1"/>
  <c r="A57" i="1"/>
  <c r="A58" i="1"/>
  <c r="A38" i="1"/>
  <c r="A233" i="1"/>
  <c r="A272" i="1"/>
  <c r="A274" i="1"/>
  <c r="A283" i="1"/>
  <c r="A56" i="1"/>
  <c r="A262" i="1"/>
  <c r="A261" i="1"/>
  <c r="A235" i="1"/>
  <c r="A14" i="1"/>
  <c r="A8" i="1"/>
  <c r="A237" i="1"/>
  <c r="A63" i="1"/>
  <c r="A150" i="1"/>
  <c r="A190" i="1"/>
  <c r="A146" i="1"/>
  <c r="A200" i="1"/>
  <c r="A244" i="1"/>
  <c r="A145" i="1"/>
  <c r="A310" i="1"/>
  <c r="A144" i="1"/>
  <c r="A295" i="1"/>
  <c r="A152" i="1"/>
  <c r="A249" i="1"/>
  <c r="A212" i="1"/>
  <c r="A210" i="1"/>
  <c r="A151" i="1"/>
  <c r="A178" i="1"/>
  <c r="A246" i="1"/>
  <c r="A189" i="1"/>
  <c r="A199" i="1"/>
  <c r="A311" i="1"/>
  <c r="A197" i="1"/>
  <c r="A240" i="1"/>
  <c r="A297" i="1"/>
  <c r="A294" i="1"/>
  <c r="A147" i="1"/>
  <c r="A198" i="1"/>
  <c r="A247" i="1"/>
  <c r="A188" i="1"/>
  <c r="A255" i="1"/>
  <c r="A202" i="1"/>
  <c r="A20" i="1"/>
  <c r="A173" i="1"/>
  <c r="A312" i="1"/>
  <c r="A177" i="1"/>
  <c r="A250" i="1"/>
  <c r="A18" i="1"/>
  <c r="A17" i="1"/>
  <c r="A223" i="1"/>
  <c r="A194" i="1"/>
  <c r="A196" i="1"/>
  <c r="A257" i="1"/>
  <c r="A22" i="1"/>
  <c r="A208" i="1"/>
  <c r="A172" i="1"/>
  <c r="A206" i="1"/>
  <c r="A174" i="1"/>
  <c r="A242" i="1"/>
  <c r="A251" i="1"/>
  <c r="A265" i="1"/>
  <c r="A267" i="1"/>
  <c r="A309" i="1"/>
  <c r="A19" i="1"/>
  <c r="A204" i="1"/>
  <c r="A176" i="1"/>
  <c r="A143" i="1"/>
  <c r="A239" i="1"/>
  <c r="A248" i="1"/>
  <c r="A224" i="1"/>
  <c r="A149" i="1"/>
  <c r="A254" i="1"/>
  <c r="A245" i="1"/>
  <c r="A241" i="1"/>
  <c r="A259" i="1"/>
  <c r="A293" i="1"/>
  <c r="A292" i="1"/>
  <c r="A195" i="1"/>
  <c r="A256" i="1"/>
  <c r="A258" i="1"/>
  <c r="A187" i="1"/>
  <c r="A253" i="1"/>
  <c r="A243" i="1"/>
  <c r="A209" i="1"/>
  <c r="A148" i="1"/>
  <c r="A205" i="1"/>
  <c r="A207" i="1"/>
  <c r="A175" i="1"/>
  <c r="A193" i="1"/>
  <c r="A142" i="1"/>
  <c r="A203" i="1"/>
  <c r="A222" i="1"/>
  <c r="E215" i="1"/>
  <c r="A214" i="1"/>
  <c r="E97" i="1"/>
  <c r="A96" i="1"/>
  <c r="E40" i="1"/>
  <c r="A39" i="1"/>
  <c r="E122" i="1"/>
  <c r="A121" i="1"/>
  <c r="E73" i="1"/>
  <c r="A72" i="1"/>
  <c r="E155" i="1"/>
  <c r="A154" i="1"/>
  <c r="E180" i="1"/>
  <c r="A179" i="1"/>
  <c r="E116" i="1"/>
  <c r="A116" i="1" s="1"/>
  <c r="A115" i="1"/>
  <c r="E299" i="1"/>
  <c r="A298" i="1"/>
  <c r="E192" i="1"/>
  <c r="A192" i="1" s="1"/>
  <c r="A191" i="1"/>
  <c r="E108" i="1"/>
  <c r="A107" i="1"/>
  <c r="A48" i="4"/>
  <c r="A49" i="4" s="1"/>
  <c r="A50" i="4" s="1"/>
  <c r="A51" i="4" s="1"/>
  <c r="A52" i="4" s="1"/>
  <c r="A53" i="4" s="1"/>
  <c r="A54" i="4" s="1"/>
  <c r="A55" i="4" s="1"/>
  <c r="A56" i="4" s="1"/>
  <c r="A114" i="4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65" i="4"/>
  <c r="A66" i="4" s="1"/>
  <c r="A67" i="4" s="1"/>
  <c r="A68" i="4" s="1"/>
  <c r="A69" i="4" s="1"/>
  <c r="A70" i="4" s="1"/>
  <c r="A71" i="4" s="1"/>
  <c r="A72" i="4" s="1"/>
  <c r="E98" i="1" l="1"/>
  <c r="A98" i="1" s="1"/>
  <c r="A97" i="1"/>
  <c r="E216" i="1"/>
  <c r="A215" i="1"/>
  <c r="E181" i="1"/>
  <c r="A180" i="1"/>
  <c r="E156" i="1"/>
  <c r="A155" i="1"/>
  <c r="E109" i="1"/>
  <c r="A109" i="1" s="1"/>
  <c r="A108" i="1"/>
  <c r="E74" i="1"/>
  <c r="A73" i="1"/>
  <c r="E123" i="1"/>
  <c r="A123" i="1" s="1"/>
  <c r="A122" i="1"/>
  <c r="E300" i="1"/>
  <c r="A299" i="1"/>
  <c r="E41" i="1"/>
  <c r="A40" i="1"/>
  <c r="A73" i="4"/>
  <c r="A74" i="4" s="1"/>
  <c r="A75" i="4" s="1"/>
  <c r="A76" i="4" s="1"/>
  <c r="A77" i="4" s="1"/>
  <c r="A78" i="4" s="1"/>
  <c r="A79" i="4" s="1"/>
  <c r="A57" i="4"/>
  <c r="A58" i="4" s="1"/>
  <c r="A59" i="4" s="1"/>
  <c r="A60" i="4" s="1"/>
  <c r="A61" i="4" s="1"/>
  <c r="A62" i="4" s="1"/>
  <c r="A63" i="4" s="1"/>
  <c r="A64" i="4" s="1"/>
  <c r="A129" i="4"/>
  <c r="A130" i="4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E42" i="1" l="1"/>
  <c r="A41" i="1"/>
  <c r="E301" i="1"/>
  <c r="A300" i="1"/>
  <c r="E75" i="1"/>
  <c r="A74" i="1"/>
  <c r="E157" i="1"/>
  <c r="A156" i="1"/>
  <c r="E182" i="1"/>
  <c r="A181" i="1"/>
  <c r="E217" i="1"/>
  <c r="A216" i="1"/>
  <c r="A6" i="5"/>
  <c r="A2" i="5"/>
  <c r="E43" i="1" l="1"/>
  <c r="A42" i="1"/>
  <c r="E183" i="1"/>
  <c r="A182" i="1"/>
  <c r="E158" i="1"/>
  <c r="A157" i="1"/>
  <c r="E218" i="1"/>
  <c r="A217" i="1"/>
  <c r="E76" i="1"/>
  <c r="A75" i="1"/>
  <c r="E302" i="1"/>
  <c r="A301" i="1"/>
  <c r="A7" i="5"/>
  <c r="A3" i="5"/>
  <c r="E184" i="1" l="1"/>
  <c r="A183" i="1"/>
  <c r="E77" i="1"/>
  <c r="A76" i="1"/>
  <c r="E303" i="1"/>
  <c r="A302" i="1"/>
  <c r="E159" i="1"/>
  <c r="A158" i="1"/>
  <c r="E219" i="1"/>
  <c r="A218" i="1"/>
  <c r="E44" i="1"/>
  <c r="A43" i="1"/>
  <c r="A8" i="5"/>
  <c r="A4" i="5"/>
  <c r="E220" i="1" l="1"/>
  <c r="A219" i="1"/>
  <c r="E45" i="1"/>
  <c r="A45" i="1" s="1"/>
  <c r="A44" i="1"/>
  <c r="E304" i="1"/>
  <c r="A303" i="1"/>
  <c r="E160" i="1"/>
  <c r="A159" i="1"/>
  <c r="E78" i="1"/>
  <c r="A77" i="1"/>
  <c r="E185" i="1"/>
  <c r="A184" i="1"/>
  <c r="A5" i="5"/>
  <c r="A9" i="5"/>
  <c r="E79" i="1" l="1"/>
  <c r="A78" i="1"/>
  <c r="A185" i="1"/>
  <c r="E186" i="1"/>
  <c r="A186" i="1" s="1"/>
  <c r="E305" i="1"/>
  <c r="A304" i="1"/>
  <c r="E161" i="1"/>
  <c r="A160" i="1"/>
  <c r="E221" i="1"/>
  <c r="A221" i="1" s="1"/>
  <c r="A220" i="1"/>
  <c r="A10" i="5"/>
  <c r="A161" i="1" l="1"/>
  <c r="E162" i="1"/>
  <c r="A305" i="1"/>
  <c r="E306" i="1"/>
  <c r="E80" i="1"/>
  <c r="A79" i="1"/>
  <c r="A11" i="5"/>
  <c r="E81" i="1" l="1"/>
  <c r="A80" i="1"/>
  <c r="E307" i="1"/>
  <c r="A306" i="1"/>
  <c r="E163" i="1"/>
  <c r="A162" i="1"/>
  <c r="A12" i="5"/>
  <c r="E164" i="1" l="1"/>
  <c r="A163" i="1"/>
  <c r="E308" i="1"/>
  <c r="A308" i="1" s="1"/>
  <c r="A307" i="1"/>
  <c r="E82" i="1"/>
  <c r="A81" i="1"/>
  <c r="A13" i="5"/>
  <c r="E83" i="1" l="1"/>
  <c r="A82" i="1"/>
  <c r="E165" i="1"/>
  <c r="A164" i="1"/>
  <c r="A27" i="5"/>
  <c r="A14" i="5"/>
  <c r="E166" i="1" l="1"/>
  <c r="A165" i="1"/>
  <c r="E84" i="1"/>
  <c r="A83" i="1"/>
  <c r="A28" i="5"/>
  <c r="A15" i="5"/>
  <c r="E85" i="1" l="1"/>
  <c r="A84" i="1"/>
  <c r="E167" i="1"/>
  <c r="A166" i="1"/>
  <c r="A29" i="5"/>
  <c r="A16" i="5"/>
  <c r="E168" i="1" l="1"/>
  <c r="A167" i="1"/>
  <c r="E86" i="1"/>
  <c r="A85" i="1"/>
  <c r="A30" i="5"/>
  <c r="A17" i="5"/>
  <c r="E87" i="1" l="1"/>
  <c r="A86" i="1"/>
  <c r="E169" i="1"/>
  <c r="A168" i="1"/>
  <c r="A31" i="5"/>
  <c r="A18" i="5"/>
  <c r="E170" i="1" l="1"/>
  <c r="A169" i="1"/>
  <c r="E88" i="1"/>
  <c r="A87" i="1"/>
  <c r="A32" i="5"/>
  <c r="A19" i="5"/>
  <c r="E89" i="1" l="1"/>
  <c r="A88" i="1"/>
  <c r="E171" i="1"/>
  <c r="A171" i="1" s="1"/>
  <c r="A170" i="1"/>
  <c r="A33" i="5"/>
  <c r="A20" i="5"/>
  <c r="E90" i="1" l="1"/>
  <c r="A89" i="1"/>
  <c r="A34" i="5"/>
  <c r="A21" i="5"/>
  <c r="E91" i="1" l="1"/>
  <c r="A91" i="1" s="1"/>
  <c r="A90" i="1"/>
  <c r="A35" i="5"/>
  <c r="A22" i="5"/>
  <c r="A36" i="5" l="1"/>
  <c r="A23" i="5"/>
  <c r="A37" i="5" l="1"/>
  <c r="A38" i="5" l="1"/>
  <c r="E24" i="1"/>
  <c r="E25" i="1" s="1"/>
  <c r="A24" i="1" l="1"/>
  <c r="A24" i="5"/>
  <c r="E26" i="1"/>
  <c r="A25" i="1"/>
  <c r="A25" i="5"/>
  <c r="A26" i="5" l="1"/>
  <c r="A26" i="1"/>
</calcChain>
</file>

<file path=xl/sharedStrings.xml><?xml version="1.0" encoding="utf-8"?>
<sst xmlns="http://schemas.openxmlformats.org/spreadsheetml/2006/main" count="5563" uniqueCount="1908">
  <si>
    <t>序号</t>
  </si>
  <si>
    <t>1级</t>
  </si>
  <si>
    <t>2级</t>
  </si>
  <si>
    <t>3级</t>
  </si>
  <si>
    <t>级内</t>
  </si>
  <si>
    <t>简称</t>
  </si>
  <si>
    <t>网址</t>
  </si>
  <si>
    <t>描述title</t>
  </si>
  <si>
    <t>图标地址</t>
  </si>
  <si>
    <t>版层分类</t>
  </si>
  <si>
    <t>首要关键词</t>
  </si>
  <si>
    <t>次要关键词</t>
  </si>
  <si>
    <t>重点关键词</t>
  </si>
  <si>
    <t>判断网址</t>
  </si>
  <si>
    <t>判断图片</t>
  </si>
  <si>
    <t>其他标签</t>
  </si>
  <si>
    <t>图标像素</t>
  </si>
  <si>
    <t>备案/未备案</t>
  </si>
  <si>
    <t>经营性/非经营性</t>
  </si>
  <si>
    <t>中国政府网</t>
  </si>
  <si>
    <t>http://www.gov.cn/</t>
  </si>
  <si>
    <t>中华人民共和国中央人民政府</t>
  </si>
  <si>
    <t>http://www.gov.cn/govweb/xhtml/favicon.ico</t>
  </si>
  <si>
    <t>党政机关</t>
  </si>
  <si>
    <t>政府</t>
  </si>
  <si>
    <t>国务院办公厅</t>
  </si>
  <si>
    <t>国务院</t>
  </si>
  <si>
    <t>外交部</t>
  </si>
  <si>
    <t>https://www.fmprc.gov.cn/web/</t>
  </si>
  <si>
    <t xml:space="preserve"> </t>
  </si>
  <si>
    <t>https://www.google.com/s2/favicons?domain=https://www.fmprc.gov.cn/web/</t>
  </si>
  <si>
    <t>组成部门</t>
  </si>
  <si>
    <t>国防部</t>
  </si>
  <si>
    <t>http://www.mod.gov.cn/</t>
  </si>
  <si>
    <t>http://www.mod.gov.cn/favicon.ico</t>
  </si>
  <si>
    <t>国家发展和改革委员会</t>
  </si>
  <si>
    <t>https://www.ndrc.gov.cn/</t>
  </si>
  <si>
    <t>https://www.google.com/s2/favicons?domain=https://www.ndrc.gov.cn/</t>
  </si>
  <si>
    <t>教育部</t>
  </si>
  <si>
    <t>http://www.moe.gov.cn/</t>
  </si>
  <si>
    <t>http://www.moe.gov.cn/favorite.ico</t>
  </si>
  <si>
    <t>(国家语言文字工作委员会)</t>
  </si>
  <si>
    <t>http://www.moe.gov.cn/jyb_sy/China_Language/</t>
  </si>
  <si>
    <t>科学技术部</t>
  </si>
  <si>
    <t>http://www.most.gov.cn/</t>
  </si>
  <si>
    <t>http://www.most.gov.cn/favicon.ico</t>
  </si>
  <si>
    <t>工业和信息化部</t>
  </si>
  <si>
    <t>https://www.miit.gov.cn/</t>
  </si>
  <si>
    <t>https://www.miit.gov.cn/favicon.ico</t>
  </si>
  <si>
    <t>(国家航天局)</t>
  </si>
  <si>
    <t>http://www.cnsa.gov.cn/</t>
  </si>
  <si>
    <t>https://www.google.com/s2/favicons?domain=http://www.cnsa.gov.cn/</t>
  </si>
  <si>
    <t>(国家原子能机构)</t>
  </si>
  <si>
    <t>http://www.caea.gov.cn/</t>
  </si>
  <si>
    <t>https://www.google.com/s2/favicons?domain=http://www.caea.gov.cn/</t>
  </si>
  <si>
    <t>国家民族事务委员会</t>
  </si>
  <si>
    <t>http://www.neac.gov.cn/</t>
  </si>
  <si>
    <t>http://www.neac.gov.cn/favicon.ico</t>
  </si>
  <si>
    <t>公安部</t>
  </si>
  <si>
    <t>https://www.mps.gov.cn/</t>
  </si>
  <si>
    <t>https://www.mps.gov.cn/favicon.ico</t>
  </si>
  <si>
    <t>国家安全部</t>
  </si>
  <si>
    <t>民政部</t>
  </si>
  <si>
    <t>http://www.mca.gov.cn/</t>
  </si>
  <si>
    <t>http://www.mca.gov.cn/favicon.ico</t>
  </si>
  <si>
    <t>司法部</t>
  </si>
  <si>
    <t>http://www.moj.gov.cn/ </t>
  </si>
  <si>
    <t>http://www.legaldaily.com.cn/tongyong/images/2019sfb/2019favicon.ico</t>
  </si>
  <si>
    <t>财政部</t>
  </si>
  <si>
    <t>http://www.mof.gov.cn/index.htm </t>
  </si>
  <si>
    <t>http://www.mof.gov.cn/images/favicon.ico</t>
  </si>
  <si>
    <t>人力资源和社会保障部</t>
  </si>
  <si>
    <t>http://www.mohrss.gov.cn/</t>
  </si>
  <si>
    <t>https://www.google.com/s2/favicons?domain=http://www.mohrss.gov.cn/</t>
  </si>
  <si>
    <t>自然资源部</t>
  </si>
  <si>
    <t>http://www.mnr.gov.cn/</t>
  </si>
  <si>
    <t>生态环境部</t>
  </si>
  <si>
    <t>http://www.mee.gov.cn/</t>
  </si>
  <si>
    <t>http://www.mee.gov.cn/favicon.ico</t>
  </si>
  <si>
    <t>(国家核安全局)</t>
  </si>
  <si>
    <t>http://nnsa.mee.gov.cn/</t>
  </si>
  <si>
    <t>http://nnsa.mee.gov.cn/favicon.ico</t>
  </si>
  <si>
    <t>住房和城乡建设部</t>
  </si>
  <si>
    <t>http://www.mohurd.gov.cn/</t>
  </si>
  <si>
    <t>https://www.google.com/s2/favicons?domain=http://www.mohurd.gov.cn/</t>
  </si>
  <si>
    <t>交通运输部</t>
  </si>
  <si>
    <t>http://www.mot.gov.cn/</t>
  </si>
  <si>
    <t>https://www.google.com/s2/favicons?domain=http://www.mot.gov.cn/</t>
  </si>
  <si>
    <t>水利部</t>
  </si>
  <si>
    <t>http://www.mwr.gov.cn/</t>
  </si>
  <si>
    <t>http://www.mwr.gov.cn/favicon.ico</t>
  </si>
  <si>
    <t>农业农村部</t>
  </si>
  <si>
    <t>http://www.moa.gov.cn/</t>
  </si>
  <si>
    <t>http://www.moa.gov.cn/favicon.ico</t>
  </si>
  <si>
    <t>商务部</t>
  </si>
  <si>
    <t>http://www.mofcom.gov.cn/</t>
  </si>
  <si>
    <t>http://www.mofcom.gov.cn/assets/i/favicon_bak.png</t>
  </si>
  <si>
    <t>文化和旅游部</t>
  </si>
  <si>
    <t>https://www.mct.gov.cn/</t>
  </si>
  <si>
    <t>https://www.mct.gov.cn/favicon.ico</t>
  </si>
  <si>
    <t>国家卫生健康委员会</t>
  </si>
  <si>
    <t>http://www.nhc.gov.cn/</t>
  </si>
  <si>
    <t>https://www.google.com/s2/favicons?domain=http://www.nhc.gov.cn/</t>
  </si>
  <si>
    <t>退役军人事务部</t>
  </si>
  <si>
    <t>http://www.mva.gov.cn/favicon.ico</t>
  </si>
  <si>
    <t>应急管理部</t>
  </si>
  <si>
    <t>http://www.mem.gov.cn/</t>
  </si>
  <si>
    <t>http://www.mem.gov.cn/image/favicon.ico</t>
  </si>
  <si>
    <t>中国人民银行</t>
  </si>
  <si>
    <t>http://www.pbc.gov.cn/</t>
  </si>
  <si>
    <t>http://www.pbc.gov.cn/rmyh/uiFramework/commonResource/image/logo.ico</t>
  </si>
  <si>
    <t>审计署</t>
  </si>
  <si>
    <t>http://www.audit.gov.cn/</t>
  </si>
  <si>
    <t>https://www.google.com/s2/favicons?domain=http://www.audit.gov.cn/</t>
  </si>
  <si>
    <t>国有资产监督管理委员会</t>
  </si>
  <si>
    <t>http://www.sasac.gov.cn/</t>
  </si>
  <si>
    <t>国务院国有资产监督管理委员会</t>
  </si>
  <si>
    <t>http://www.sasac.gov.cn/dbsource/11869722/11869731.jpg</t>
  </si>
  <si>
    <t>直属特设机构</t>
  </si>
  <si>
    <t>海关总署</t>
  </si>
  <si>
    <t>http://www.customs.gov.cn/</t>
  </si>
  <si>
    <t>https://www.google.com/s2/favicons?domain=http://www.customs.gov.cn/</t>
  </si>
  <si>
    <t>直属机构</t>
  </si>
  <si>
    <t>国家税务总局</t>
  </si>
  <si>
    <t>http://www.chinatax.gov.cn/</t>
  </si>
  <si>
    <t>https://www.google.com/s2/favicons?domain=http://www.chinatax.gov.cn/</t>
  </si>
  <si>
    <t>国家市场监督管理总局</t>
  </si>
  <si>
    <t>http://www.samr.gov.cn/</t>
  </si>
  <si>
    <t>http://www.samr.gov.cn/favicon.ico</t>
  </si>
  <si>
    <t>(国家认证认可监督管理委员会)</t>
  </si>
  <si>
    <t>http://www.cnca.gov.cn/</t>
  </si>
  <si>
    <t>http://www.cnca.gov.cn/favicon.ico</t>
  </si>
  <si>
    <t>(国家标准化管理委员会)</t>
  </si>
  <si>
    <t>http://www.sac.gov.cn/</t>
  </si>
  <si>
    <t>http://www.sac.gov.cn/favicon.ico</t>
  </si>
  <si>
    <t>国家广播电视总局</t>
  </si>
  <si>
    <t>http://www.nrta.gov.cn/</t>
  </si>
  <si>
    <t>http://www.nrta.gov.cn/favicon.ico</t>
  </si>
  <si>
    <t>国家体育总局</t>
  </si>
  <si>
    <t>http://www.sport.gov.cn/</t>
  </si>
  <si>
    <t>https://www.google.com/s2/favicons?domain=http://www.sport.gov.cn/</t>
  </si>
  <si>
    <t>国家统计局</t>
  </si>
  <si>
    <t>http://www.stats.gov.cn/</t>
  </si>
  <si>
    <t>http://www.stats.gov.cn/favicon.ico</t>
  </si>
  <si>
    <t>国家国际发展合作署</t>
  </si>
  <si>
    <t>http://www.cidca.gov.cn/</t>
  </si>
  <si>
    <t>http://www.cidca.gov.cn/favicon.ico</t>
  </si>
  <si>
    <t>国家医疗保障局</t>
  </si>
  <si>
    <t>http://www.nhsa.gov.cn/</t>
  </si>
  <si>
    <t>http://www.nhsa.gov.cn/images/1/fp_pic_24.png</t>
  </si>
  <si>
    <t>国务院参事室</t>
  </si>
  <si>
    <t>http://www.counsellor.gov.cn/</t>
  </si>
  <si>
    <t>https://www.google.com/s2/favicons?domain=http://www.counsellor.gov.cn/</t>
  </si>
  <si>
    <t>国家机关事务管理局</t>
  </si>
  <si>
    <t>http://www.ggj.gov.cn/</t>
  </si>
  <si>
    <t>https://www.google.com/s2/favicons?domain=http://www.ggj.gov.cn/</t>
  </si>
  <si>
    <t>国家版权局网</t>
  </si>
  <si>
    <t>http://www.ncac.gov.cn/</t>
  </si>
  <si>
    <t>http://www.ncac.gov.cn/chinacopyright/favicon.ico</t>
  </si>
  <si>
    <t>国家宗教事务局</t>
  </si>
  <si>
    <t>http://www.sara.gov.cn/gjzjswjhtml/index.html</t>
  </si>
  <si>
    <t>https://www.google.com/s2/favicons?domain=http://www.sara.gov.cn/gjzjswjhtml/index.html</t>
  </si>
  <si>
    <t>国务院港澳事务办公室</t>
  </si>
  <si>
    <t>https://www.hmo.gov.cn/</t>
  </si>
  <si>
    <t>https://www.google.com/s2/favicons?domain=https://www.hmo.gov.cn/</t>
  </si>
  <si>
    <t>办事机构</t>
  </si>
  <si>
    <t>国务院研究室</t>
  </si>
  <si>
    <t>http://www.gov.cn/guoqing/2018-06/22/content_5300522.htm</t>
  </si>
  <si>
    <t>国务院侨务办公室</t>
  </si>
  <si>
    <t>http://www.gqb.gov.cn/</t>
  </si>
  <si>
    <t>https://www.google.com/s2/favicons?domain=http://www.gqb.gov.cn/</t>
  </si>
  <si>
    <t>国务院台湾事务办公室</t>
  </si>
  <si>
    <t>http://www.gwytb.gov.cn/</t>
  </si>
  <si>
    <t>https://www.google.com/s2/favicons?domain=http://www.gwytb.gov.cn/</t>
  </si>
  <si>
    <t>中共中央网络安全和信息化委员会办公室</t>
  </si>
  <si>
    <t>http://www.cac.gov.cn/</t>
  </si>
  <si>
    <t>http://www.cac.gov.cn/favicon.ico</t>
  </si>
  <si>
    <t>国务院新闻办公室</t>
  </si>
  <si>
    <t>http://www.scio.gov.cn/index.htm</t>
  </si>
  <si>
    <t>http://www.scio.gov.cn/favicon.ico</t>
  </si>
  <si>
    <t>新华通讯社</t>
  </si>
  <si>
    <t>http://203.192.6.89/xhs/</t>
  </si>
  <si>
    <t>https://www.google.com/s2/favicons?domain=http://203.192.6.89/xhs/</t>
  </si>
  <si>
    <t>直属事业单位</t>
  </si>
  <si>
    <t>中国科学院</t>
  </si>
  <si>
    <t>http://www.cas.ac.cn/</t>
  </si>
  <si>
    <t>http://www.cas.cn/lib/images/favicon.ico</t>
  </si>
  <si>
    <t>中国社会科学院</t>
  </si>
  <si>
    <t>http://cass.cssn.cn/</t>
  </si>
  <si>
    <t>http://cass.cssn.cn/favicon.ico</t>
  </si>
  <si>
    <t>中国工程院</t>
  </si>
  <si>
    <t>http://www.cae.cn/</t>
  </si>
  <si>
    <t>http://www.cae.cn/cae/favicon.ico</t>
  </si>
  <si>
    <t>国务院发展研究中心</t>
  </si>
  <si>
    <t>https://www.drc.gov.cn/default.aspx</t>
  </si>
  <si>
    <t>https://www.google.com/s2/favicons?domain=https://www.drc.gov.cn/default.aspx</t>
  </si>
  <si>
    <t>中央广播电视总台</t>
  </si>
  <si>
    <t>http://www.cnr.cn/</t>
  </si>
  <si>
    <t>http://www.cnr.cn/favicon.ico</t>
  </si>
  <si>
    <t>中国气象局</t>
  </si>
  <si>
    <t>http://www.cma.gov.cn/</t>
  </si>
  <si>
    <t>http://www.cma.gov.cn/favicon.ico</t>
  </si>
  <si>
    <t>中国银行保险监督管理委员会</t>
  </si>
  <si>
    <t>http://www.cbirc.gov.cn/cn/view/pages/index/index.html</t>
  </si>
  <si>
    <t>http://www.cbirc.gov.cn/cn/static/favicon.ico</t>
  </si>
  <si>
    <t>中国证券监督管理委员会</t>
  </si>
  <si>
    <t>http://www.csrc.gov.cn/pub/newsite/</t>
  </si>
  <si>
    <t>https://www.google.com/s2/favicons?domain=http://www.csrc.gov.cn/pub/newsite/</t>
  </si>
  <si>
    <t>国家信访局</t>
  </si>
  <si>
    <t>https://www.gjxfj.gov.cn/gjxfj/index.htm</t>
  </si>
  <si>
    <t>https://www.gjxfj.gov.cn/favicon.ico</t>
  </si>
  <si>
    <t>国家局</t>
  </si>
  <si>
    <t>国家粮食和物资储备局</t>
  </si>
  <si>
    <t>http://www.lswz.gov.cn/</t>
  </si>
  <si>
    <t>http://www.lswz.gov.cn/html/xhtml/images/favicon.ico</t>
  </si>
  <si>
    <t>国家能源局</t>
  </si>
  <si>
    <t>http://www.nea.gov.cn/</t>
  </si>
  <si>
    <t>https://www.google.com/s2/favicons?domain=http://www.nea.gov.cn/</t>
  </si>
  <si>
    <t>国家国防科技工业局</t>
  </si>
  <si>
    <t>http://www.sastind.gov.cn/</t>
  </si>
  <si>
    <t>https://www.google.com/s2/favicons?domain=http://www.sastind.gov.cn/</t>
  </si>
  <si>
    <t>国家烟草专卖局</t>
  </si>
  <si>
    <t>http://www.tobacco.gov.cn/gjyc/index.shtml</t>
  </si>
  <si>
    <t>https://www.google.com/s2/favicons?domain=http://www.tobacco.gov.cn/gjyc/index.shtml</t>
  </si>
  <si>
    <t>国家移民管理局</t>
  </si>
  <si>
    <t>https://www.nia.gov.cn/</t>
  </si>
  <si>
    <t>https://www.nia.gov.cn/titlepic/new-guohui.ico</t>
  </si>
  <si>
    <t>国家林业和草原局</t>
  </si>
  <si>
    <t>http://www.forestry.gov.cn/</t>
  </si>
  <si>
    <t>http://www.forestry.gov.cn/favicon.ico</t>
  </si>
  <si>
    <t>(国家公园管理局)</t>
  </si>
  <si>
    <t>国家铁路局</t>
  </si>
  <si>
    <t>http://www.nra.gov.cn/</t>
  </si>
  <si>
    <t>https://www.google.com/s2/favicons?domain=http://www.nra.gov.cn/</t>
  </si>
  <si>
    <t>中国民用航空局</t>
  </si>
  <si>
    <t>http://www.caac.gov.cn/index.html</t>
  </si>
  <si>
    <t>http://www.caac.gov.cn/images/favicon.png</t>
  </si>
  <si>
    <t>国家邮政局</t>
  </si>
  <si>
    <t>http://www.spb.gov.cn/</t>
  </si>
  <si>
    <t>https://www.google.com/s2/favicons?domain=http://www.spb.gov.cn/</t>
  </si>
  <si>
    <t>国家文物局</t>
  </si>
  <si>
    <t>http://www.ncha.gov.cn/</t>
  </si>
  <si>
    <t>https://www.google.com/s2/favicons?domain=http://www.ncha.gov.cn/</t>
  </si>
  <si>
    <t>国家中医药管理局</t>
  </si>
  <si>
    <t>http://www.satcm.gov.cn/</t>
  </si>
  <si>
    <t>http://www.satcm.gov.cn/favicon.ico</t>
  </si>
  <si>
    <t>国家矿山安全监察局</t>
  </si>
  <si>
    <t>http://www.chinacoal-safety.gov.cn/</t>
  </si>
  <si>
    <t>国家外汇管理局</t>
  </si>
  <si>
    <t>http://www.safe.gov.cn/</t>
  </si>
  <si>
    <t>http://www.safe.gov.cn/safe/templateresource/372b1dfdab204181b9b4f943a8e926a6/images/safe.ico</t>
  </si>
  <si>
    <t>国家药品监督管理局</t>
  </si>
  <si>
    <t>https://www.nmpa.gov.cn/</t>
  </si>
  <si>
    <t>https://www.nmpa.gov.cn/wbppimages/favicon.ico</t>
  </si>
  <si>
    <t>国家知识产权局</t>
  </si>
  <si>
    <t>https://www.cnipa.gov.cn/</t>
  </si>
  <si>
    <t>https://www.cnipa.gov.cn/favicon.ico</t>
  </si>
  <si>
    <t>国家档案局</t>
  </si>
  <si>
    <t>https://www.saac.gov.cn/</t>
  </si>
  <si>
    <t>https://www.google.com/s2/favicons?domain=https://www.saac.gov.cn/</t>
  </si>
  <si>
    <t>国家保密局</t>
  </si>
  <si>
    <t>http://www.gjbmj.gov.cn/</t>
  </si>
  <si>
    <t>https://www.google.com/s2/favicons?domain=http://www.gjbmj.gov.cn/</t>
  </si>
  <si>
    <t>国家密码管理局</t>
  </si>
  <si>
    <t>https://www.oscca.gov.cn/</t>
  </si>
  <si>
    <t>https://www.google.com/s2/favicons?domain=https://www.oscca.gov.cn/</t>
  </si>
  <si>
    <t>香港中联办</t>
  </si>
  <si>
    <t>http://www.locpg.hk/</t>
  </si>
  <si>
    <t>中央人民政府驻香港特别行政区联络办公室</t>
  </si>
  <si>
    <t>http://www.locpg.hk/favicon.ico</t>
  </si>
  <si>
    <t>派出机构</t>
  </si>
  <si>
    <t>澳门中联办</t>
  </si>
  <si>
    <t>http://www.zlb.gov.cn/</t>
  </si>
  <si>
    <t>中央人民政府驻澳门特别行政区联络办公室</t>
  </si>
  <si>
    <t>中央驻港国家安全公署</t>
  </si>
  <si>
    <t>中央人民政府驻香港特别行政区维护国家安全公署</t>
  </si>
  <si>
    <t>中国政协网</t>
  </si>
  <si>
    <t>http://www.cppcc.gov.cn/</t>
  </si>
  <si>
    <t>http://www.cppcc.gov.cn/image/favicon.ico</t>
  </si>
  <si>
    <t>政协</t>
  </si>
  <si>
    <t>北京市政协</t>
  </si>
  <si>
    <t>http://www.bjzx.gov.cn/</t>
  </si>
  <si>
    <t>http://test1.ttde.cn/bjzx/m/image/favicon.ico</t>
  </si>
  <si>
    <t>北京市</t>
  </si>
  <si>
    <t>天津市政协</t>
  </si>
  <si>
    <t>http://www.tjszx.gov.cn/</t>
  </si>
  <si>
    <t>https://www.google.com/s2/favicons?domain=http://www.tjszx.gov.cn/</t>
  </si>
  <si>
    <t>天津市</t>
  </si>
  <si>
    <t>上海市政协</t>
  </si>
  <si>
    <t>http://www.shszx.gov.cn/</t>
  </si>
  <si>
    <t>https://www.google.com/s2/favicons?domain=http://www.shszx.gov.cn/</t>
  </si>
  <si>
    <t>上海市</t>
  </si>
  <si>
    <t>重庆市政协</t>
  </si>
  <si>
    <t>http://www.cqzx.gov.cn/</t>
  </si>
  <si>
    <t>https://www.google.com/s2/favicons?domain=http://www.cqzx.gov.cn/</t>
  </si>
  <si>
    <t>重庆市</t>
  </si>
  <si>
    <t>广西壮族自治区政协</t>
  </si>
  <si>
    <t>http://www.gxzx.gov.cn/</t>
  </si>
  <si>
    <t>http://www.gxzx.gov.cn/favicon.ico</t>
  </si>
  <si>
    <t>广西壮族自治区</t>
  </si>
  <si>
    <t>内蒙古自治区政协</t>
  </si>
  <si>
    <t>http://www.nmgzx.gov.cn/webpage/homepage/index.html</t>
  </si>
  <si>
    <t>http://www.nmgzx.gov.cn/favicon.ico</t>
  </si>
  <si>
    <t>内蒙古自治区</t>
  </si>
  <si>
    <t>宁夏回族自治区政协</t>
  </si>
  <si>
    <t>http://www.nxzx.gov.cn/</t>
  </si>
  <si>
    <t>https://www.google.com/s2/favicons?domain=http://www.nxzx.gov.cn/</t>
  </si>
  <si>
    <t>宁夏回族自治区</t>
  </si>
  <si>
    <t>西藏自治区政协</t>
  </si>
  <si>
    <t>http://www.xizangzx.gov.cn/</t>
  </si>
  <si>
    <t>http://www.xizangzx.gov.cn/images/favicon.ico</t>
  </si>
  <si>
    <t>西藏自治区</t>
  </si>
  <si>
    <t>新疆维吾尔自治区政协</t>
  </si>
  <si>
    <t>http://www.xjzx.gov.cn/</t>
  </si>
  <si>
    <t>https://www.google.com/s2/favicons?domain=http://www.xjzx.gov.cn/</t>
  </si>
  <si>
    <t>新疆维吾尔自治区</t>
  </si>
  <si>
    <t>安徽省政协</t>
  </si>
  <si>
    <t>http://www.ahzx.gov.cn/</t>
  </si>
  <si>
    <t>https://www.google.com/s2/favicons?domain=http://www.ahzx.gov.cn/</t>
  </si>
  <si>
    <t>安徽省</t>
  </si>
  <si>
    <t>福建省政协</t>
  </si>
  <si>
    <t>http://www.fjzx.gov.cn/</t>
  </si>
  <si>
    <t>http://www.fjzx.gov.cn/r/cms/www/fjszxmhwz/image/favicon.ico</t>
  </si>
  <si>
    <t>福建省</t>
  </si>
  <si>
    <t>甘肃省政协</t>
  </si>
  <si>
    <t>http://www.gszx.gov.cn/</t>
  </si>
  <si>
    <t>http://www.gszx.gov.cn/favicon.ico</t>
  </si>
  <si>
    <t>甘肃省</t>
  </si>
  <si>
    <t>广东省政协</t>
  </si>
  <si>
    <t>http://www.gdzxb.gov.cn/</t>
  </si>
  <si>
    <t>http://www.gdzxb.gov.cn/favicon.ico</t>
  </si>
  <si>
    <t>广东省</t>
  </si>
  <si>
    <t>广州市政协</t>
  </si>
  <si>
    <t>https://www.gzzx.gov.cn/</t>
  </si>
  <si>
    <t>https://www.gzzx.gov.cn/images/iconcf134.ico</t>
  </si>
  <si>
    <t>广州市</t>
  </si>
  <si>
    <t>深圳市政协</t>
  </si>
  <si>
    <t>http://www.szzx.gov.cn/</t>
  </si>
  <si>
    <t>https://www.google.com/s2/favicons?domain=http://www.szzx.gov.cn/</t>
  </si>
  <si>
    <t>深圳市</t>
  </si>
  <si>
    <t>珠海市政协</t>
  </si>
  <si>
    <t>http://www.zhzx.gov.cn/</t>
  </si>
  <si>
    <t>https://www.google.com/s2/favicons?domain=http://www.zhzx.gov.cn/</t>
  </si>
  <si>
    <t>珠海市</t>
  </si>
  <si>
    <t>汕头市政协</t>
  </si>
  <si>
    <t>http://stzx.shantou.gov.cn/</t>
  </si>
  <si>
    <t>https://www.google.com/s2/favicons?domain=http://stzx.shantou.gov.cn/</t>
  </si>
  <si>
    <t>汕头市</t>
  </si>
  <si>
    <t>金平区政协</t>
  </si>
  <si>
    <t>http://www.jpzx.gov.cn/welcome</t>
  </si>
  <si>
    <t>http://www.jpzx.gov.cn/favicon.ico</t>
  </si>
  <si>
    <t>佛山市政协</t>
  </si>
  <si>
    <t>http://www.fszx.gov.cn/</t>
  </si>
  <si>
    <t>https://www.google.com/s2/favicons?domain=http://www.fszx.gov.cn/</t>
  </si>
  <si>
    <t>佛山市</t>
  </si>
  <si>
    <t>韶关市政协</t>
  </si>
  <si>
    <t>http://www.sgzxb.gov.cn/</t>
  </si>
  <si>
    <t>https://www.google.com/s2/favicons?domain=http://www.sgzxb.gov.cn/</t>
  </si>
  <si>
    <t>韶关市</t>
  </si>
  <si>
    <t>河源市政协</t>
  </si>
  <si>
    <t>http://www.gdhyzx.gov.cn/hyzx/index.html</t>
  </si>
  <si>
    <t>https://www.google.com/s2/favicons?domain=http://www.gdhyzx.gov.cn/hyzx/index.html</t>
  </si>
  <si>
    <t>河源市</t>
  </si>
  <si>
    <t>梅州市政协</t>
  </si>
  <si>
    <t>http://www.mzzx.gov.cn/</t>
  </si>
  <si>
    <t>https://www.google.com/s2/favicons?domain=http://www.mzzx.gov.cn/</t>
  </si>
  <si>
    <t>梅州市</t>
  </si>
  <si>
    <t>惠州市政协</t>
  </si>
  <si>
    <t>http://zx.huizhou.gov.cn/</t>
  </si>
  <si>
    <t>https://www.google.com/s2/favicons?domain=http://zx.huizhou.gov.cn/</t>
  </si>
  <si>
    <t>惠州市</t>
  </si>
  <si>
    <t>汕尾市政协</t>
  </si>
  <si>
    <t>http://www.swzx.gov.cn/</t>
  </si>
  <si>
    <t>https://www.google.com/s2/favicons?domain=http://www.swzx.gov.cn/</t>
  </si>
  <si>
    <t>汕尾市</t>
  </si>
  <si>
    <t>东莞市政协</t>
  </si>
  <si>
    <t>http://dgzx.dg.gov.cn/</t>
  </si>
  <si>
    <t>https://www.google.com/s2/favicons?domain=http://dgzx.dg.gov.cn/</t>
  </si>
  <si>
    <t>东莞市</t>
  </si>
  <si>
    <t>中山市政协</t>
  </si>
  <si>
    <t>http://zszx.zsnews.cn/</t>
  </si>
  <si>
    <t>https://www.google.com/s2/favicons?domain=http://zszx.zsnews.cn/</t>
  </si>
  <si>
    <t>中山市</t>
  </si>
  <si>
    <t>江门市政协</t>
  </si>
  <si>
    <t>http://zx.jiangmen.cn/</t>
  </si>
  <si>
    <t>https://www.google.com/s2/favicons?domain=http://zx.jiangmen.cn/</t>
  </si>
  <si>
    <t>江门市</t>
  </si>
  <si>
    <t>阳江市政协</t>
  </si>
  <si>
    <t>https://www.yjszx.gov.cn/default.html</t>
  </si>
  <si>
    <t>https://www.google.com/s2/favicons?domain=https://www.yjszx.gov.cn/default.html</t>
  </si>
  <si>
    <t>阳江市</t>
  </si>
  <si>
    <t>湛江市政协</t>
  </si>
  <si>
    <t>http://www.gdzjzx.gov.cn/</t>
  </si>
  <si>
    <t>https://www.google.com/s2/favicons?domain=http://www.gdzjzx.gov.cn/</t>
  </si>
  <si>
    <t>湛江市</t>
  </si>
  <si>
    <t>茂名市政协</t>
  </si>
  <si>
    <t>http://zx.maoming.gov.cn/website/main/jsp/index.jsp</t>
  </si>
  <si>
    <t>https://www.google.com/s2/favicons?domain=http://zx.maoming.gov.cn/website/main/jsp/index.jsp</t>
  </si>
  <si>
    <t>茂名市</t>
  </si>
  <si>
    <t>肇庆市政协</t>
  </si>
  <si>
    <t>http://zqzx.gov.cn/index.html</t>
  </si>
  <si>
    <t>https://www.google.com/s2/favicons?domain=http://zqzx.gov.cn/index.html</t>
  </si>
  <si>
    <t>肇庆市</t>
  </si>
  <si>
    <t>潮州市政协</t>
  </si>
  <si>
    <t>http://czzx.gov.cn/</t>
  </si>
  <si>
    <t>https://www.google.com/s2/favicons?domain=http://czzx.gov.cn/</t>
  </si>
  <si>
    <t>潮州市</t>
  </si>
  <si>
    <t>揭阳市政协</t>
  </si>
  <si>
    <t>http://www.jieyangzhengxie.gov.cn/</t>
  </si>
  <si>
    <t>https://www.google.com/s2/favicons?domain=http://www.jieyangzhengxie.gov.cn/</t>
  </si>
  <si>
    <t>揭阳市</t>
  </si>
  <si>
    <t>云浮市政协</t>
  </si>
  <si>
    <t>http://zx.yunfu.gov.cn/</t>
  </si>
  <si>
    <t>https://www.google.com/s2/favicons?domain=http://zx.yunfu.gov.cn/</t>
  </si>
  <si>
    <t>云浮市</t>
  </si>
  <si>
    <t>贵州省政协</t>
  </si>
  <si>
    <t>https://www.gzszx.gov.cn/</t>
  </si>
  <si>
    <t>https://www.google.com/s2/favicons?domain=https://www.gzszx.gov.cn/</t>
  </si>
  <si>
    <t>贵州省</t>
  </si>
  <si>
    <t>海南省政协</t>
  </si>
  <si>
    <t>http://www.hainanzx.gov.cn/default.html</t>
  </si>
  <si>
    <t>https://www.google.com/s2/favicons?domain=http://www.hainanzx.gov.cn/default.html</t>
  </si>
  <si>
    <t>海南省</t>
  </si>
  <si>
    <t>河北省政协</t>
  </si>
  <si>
    <t>http://www.hebzx.gov.cn/</t>
  </si>
  <si>
    <t>https://www.google.com/s2/favicons?domain=http://www.hebzx.gov.cn/</t>
  </si>
  <si>
    <t>河北省</t>
  </si>
  <si>
    <t>河南省政协</t>
  </si>
  <si>
    <t>http://www.hnzx.gov.cn/</t>
  </si>
  <si>
    <t>https://www.google.com/s2/favicons?domain=http://www.hnzx.gov.cn/</t>
  </si>
  <si>
    <t>河南省</t>
  </si>
  <si>
    <t>黑龙江省政协</t>
  </si>
  <si>
    <t>http://www.hljzx.gov.cn/</t>
  </si>
  <si>
    <t>https://www.google.com/s2/favicons?domain=http://www.hljzx.gov.cn/</t>
  </si>
  <si>
    <t>黑龙江省</t>
  </si>
  <si>
    <t>哈尔滨市政协</t>
  </si>
  <si>
    <t>https://www.hrbzx.gov.cn/</t>
  </si>
  <si>
    <t>https://www.google.com/s2/favicons?domain=https://www.hrbzx.gov.cn/</t>
  </si>
  <si>
    <t>哈尔滨市</t>
  </si>
  <si>
    <t>湖北省政协</t>
  </si>
  <si>
    <t>https://www.hbzx.gov.cn/</t>
  </si>
  <si>
    <t>https://www.hbzx.gov.cn/favicon.ico</t>
  </si>
  <si>
    <t>湖北省</t>
  </si>
  <si>
    <t>武汉市政协</t>
  </si>
  <si>
    <t>http://www.whzx.org.cn/</t>
  </si>
  <si>
    <t>https://www.google.com/s2/favicons?domain=http://www.whzx.org.cn/</t>
  </si>
  <si>
    <t>武汉市</t>
  </si>
  <si>
    <t>湖南省政协</t>
  </si>
  <si>
    <t>https://www.hunanzx.gov.cn/</t>
  </si>
  <si>
    <t>https://www.google.com/s2/favicons?domain=https://www.hunanzx.gov.cn/</t>
  </si>
  <si>
    <t>湖南省</t>
  </si>
  <si>
    <t>吉林省政协</t>
  </si>
  <si>
    <t>http://www.jlzx.gov.cn/index.jhtml</t>
  </si>
  <si>
    <t>https://www.google.com/s2/favicons?domain=http://www.jlzx.gov.cn/index.jhtml</t>
  </si>
  <si>
    <t>吉林省</t>
  </si>
  <si>
    <t>江苏省政协</t>
  </si>
  <si>
    <t>http://www.jszx.gov.cn/</t>
  </si>
  <si>
    <t>https://www.google.com/s2/favicons?domain=http://www.jszx.gov.cn/</t>
  </si>
  <si>
    <t>江苏省</t>
  </si>
  <si>
    <t>江西省政协</t>
  </si>
  <si>
    <t>https://jxzx.jxnews.com.cn/</t>
  </si>
  <si>
    <t>https://www.google.com/s2/favicons?domain=https://jxzx.jxnews.com.cn/</t>
  </si>
  <si>
    <t>江西省</t>
  </si>
  <si>
    <t>辽宁省政协</t>
  </si>
  <si>
    <t>http://www.lnzx.gov.cn/</t>
  </si>
  <si>
    <t>https://www.google.com/s2/favicons?domain=http://www.lnzx.gov.cn/</t>
  </si>
  <si>
    <t>辽宁省</t>
  </si>
  <si>
    <t>青海省政协</t>
  </si>
  <si>
    <t>http://www.qhszx.gov.cn/</t>
  </si>
  <si>
    <t>https://www.google.com/s2/favicons?domain=http://www.qhszx.gov.cn/</t>
  </si>
  <si>
    <t>青海省</t>
  </si>
  <si>
    <t>山东省政协</t>
  </si>
  <si>
    <t>http://www.sdzx.gov.cn/</t>
  </si>
  <si>
    <t>https://www.google.com/s2/favicons?domain=http://www.sdzx.gov.cn/</t>
  </si>
  <si>
    <t>山东省</t>
  </si>
  <si>
    <t>山西省政协</t>
  </si>
  <si>
    <t>http://www.shanxizx.gov.cn/</t>
  </si>
  <si>
    <t>https://www.google.com/s2/favicons?domain=http://www.shanxizx.gov.cn/</t>
  </si>
  <si>
    <t>山西省</t>
  </si>
  <si>
    <t>陕西省政协</t>
  </si>
  <si>
    <t>http://www.sxzx.gov.cn/</t>
  </si>
  <si>
    <t>http://www.sxzx.gov.cn/favicon.ico</t>
  </si>
  <si>
    <t>陕西省</t>
  </si>
  <si>
    <t>四川省政协</t>
  </si>
  <si>
    <t>http://www.sczx.gov.cn/</t>
  </si>
  <si>
    <t>https://www.google.com/s2/favicons?domain=http://www.sczx.gov.cn/</t>
  </si>
  <si>
    <t>四川省</t>
  </si>
  <si>
    <t>云南省政协</t>
  </si>
  <si>
    <t>http://www.ynzx.gov.cn/</t>
  </si>
  <si>
    <t>https://www.google.com/s2/favicons?domain=http://www.ynzx.gov.cn/</t>
  </si>
  <si>
    <t>云南省</t>
  </si>
  <si>
    <t>浙江省政协</t>
  </si>
  <si>
    <t>http://www.zjzx.gov.cn/</t>
  </si>
  <si>
    <t>http://www.zjzx.gov.cn/favicon.ico</t>
  </si>
  <si>
    <t>浙江省</t>
  </si>
  <si>
    <t>光明网</t>
  </si>
  <si>
    <t>http://www.gmw.cn/</t>
  </si>
  <si>
    <t>http://www.gmw.cn/favicon.ico</t>
  </si>
  <si>
    <t>媒体</t>
  </si>
  <si>
    <t>中国日报网</t>
  </si>
  <si>
    <t>http://www.chinadaily.com.cn/</t>
  </si>
  <si>
    <t>http://www.chinadaily.com.cn/favicon.ico</t>
  </si>
  <si>
    <t>中央媒体</t>
  </si>
  <si>
    <t>新华网</t>
  </si>
  <si>
    <t>http://www.xinhuanet.com/</t>
  </si>
  <si>
    <t>http://www.xinhuanet.com/favicon.ico</t>
  </si>
  <si>
    <t>尚未分档</t>
  </si>
  <si>
    <t>人民网</t>
  </si>
  <si>
    <t>http://www.people.com.cn/</t>
  </si>
  <si>
    <t>http://www.people.com.cn/favicon.ico</t>
  </si>
  <si>
    <t>中国网</t>
  </si>
  <si>
    <t>http://www.china.com.cn/favicon.ico</t>
  </si>
  <si>
    <t>央视网</t>
  </si>
  <si>
    <t>https://www.cctv.com/</t>
  </si>
  <si>
    <t>https://www.cctv.com/favicon.ico</t>
  </si>
  <si>
    <t>央广网</t>
  </si>
  <si>
    <t>中国经济网</t>
  </si>
  <si>
    <t>http://www.ce.cn/</t>
  </si>
  <si>
    <t>http://www.ce.cn/favicon.ico</t>
  </si>
  <si>
    <t>中国新闻网</t>
  </si>
  <si>
    <t>http://www.chinanews.com/</t>
  </si>
  <si>
    <t>https://www.google.com/s2/favicons?domain=http://www.chinanews.com/</t>
  </si>
  <si>
    <t>国际在线</t>
  </si>
  <si>
    <t>http://www.cri.cn/favicon.ico</t>
  </si>
  <si>
    <t>中国法院网</t>
  </si>
  <si>
    <t>https://www.chinacourt.org/index.shtml</t>
  </si>
  <si>
    <t>https://www.chinacourt.org/share/images/favicon.ico</t>
  </si>
  <si>
    <t>正义网</t>
  </si>
  <si>
    <t>http://www.jcrb.com/</t>
  </si>
  <si>
    <t>http://www.jcrb.com/favicon.ico</t>
  </si>
  <si>
    <t>中工网</t>
  </si>
  <si>
    <t>http://www.workercn.cn/</t>
  </si>
  <si>
    <t>http://www.workercn.cn/favicon.ico</t>
  </si>
  <si>
    <t>中青在线</t>
  </si>
  <si>
    <t>http://www.cyol.com/</t>
  </si>
  <si>
    <t>http://www.cyol.com/themes/cyol/assets/images/cyol/cyol_logo.png</t>
  </si>
  <si>
    <t>求是网</t>
  </si>
  <si>
    <t>http://www.qstheory.cn/</t>
  </si>
  <si>
    <t>http://www.qstheory.cn/favicon.ico</t>
  </si>
  <si>
    <t>百度搜索</t>
  </si>
  <si>
    <t>http://www.baidu.com/</t>
  </si>
  <si>
    <t>https://www.baidu.com/favicon.ico</t>
  </si>
  <si>
    <t>搜索引擎</t>
  </si>
  <si>
    <t>Google搜索</t>
  </si>
  <si>
    <t>https://www.google.com/</t>
  </si>
  <si>
    <t>https://www.google.com/favicon.ico</t>
  </si>
  <si>
    <t>搜狗搜索</t>
  </si>
  <si>
    <t>https://www.sogou.com/</t>
  </si>
  <si>
    <t>https://www.sogou.com/images/logo/new/favicon.ico?v=4</t>
  </si>
  <si>
    <t>GIPHY</t>
  </si>
  <si>
    <t>https://giphy.com/</t>
  </si>
  <si>
    <t>https://giphy.com/static/img/favicon.png</t>
  </si>
  <si>
    <t>图片</t>
  </si>
  <si>
    <t>鸠摩搜索</t>
  </si>
  <si>
    <t>https://www.jiumodiary.com/</t>
  </si>
  <si>
    <t>https://www.jiumodiary.com/images/favicon.png</t>
  </si>
  <si>
    <t>文档</t>
  </si>
  <si>
    <t>6miu搜索</t>
  </si>
  <si>
    <t>http://baiduyun.6miu.com/</t>
  </si>
  <si>
    <t>http://baiduyun.6miu.com/favicon.ico</t>
  </si>
  <si>
    <t>百度云盘</t>
  </si>
  <si>
    <t>Google 图书</t>
  </si>
  <si>
    <t>https://books.google.com/</t>
  </si>
  <si>
    <t>大名鼎鼎的谷歌图书，本想雄心壮志，将古今中文图书一网打尽，一统电子书江湖， 后因版权问题，搁浅。目前，除书目检索外，一些非版权电子书可全文下载，部分有版权的电子书可在线试读。</t>
  </si>
  <si>
    <t>https://books.google.com/favicon.ico</t>
  </si>
  <si>
    <t>图书</t>
  </si>
  <si>
    <t>懒人全网音乐下载</t>
  </si>
  <si>
    <t>https://www.eggvod.cn/music/</t>
  </si>
  <si>
    <t>https://www.eggvod.cn/music/favicon.ico</t>
  </si>
  <si>
    <t>音乐</t>
  </si>
  <si>
    <t>正协信息客栈</t>
  </si>
  <si>
    <t>https://zhengxie.info/</t>
  </si>
  <si>
    <t>https://zhengxie.info/common/image/favicon.ico</t>
  </si>
  <si>
    <t>网址导航</t>
  </si>
  <si>
    <t>hao123</t>
  </si>
  <si>
    <t>https://www.hao123.com/</t>
  </si>
  <si>
    <t>https://www.hao123.com/favicon.ico</t>
  </si>
  <si>
    <t>谷歌265</t>
  </si>
  <si>
    <t>http://www.265.com/</t>
  </si>
  <si>
    <t>http://www.265.com/static/pages/img/favicon.ico</t>
  </si>
  <si>
    <t>QQ导航</t>
  </si>
  <si>
    <t>https://hao.qq.com/</t>
  </si>
  <si>
    <t>https://upd33.sogoucdn.com/nstatic/img/favicon.ico?v=3</t>
  </si>
  <si>
    <t>搜狗网址导航</t>
  </si>
  <si>
    <t>https://123.sogou.com/</t>
  </si>
  <si>
    <t>https://upd12.sogoucdn.com/nstatic/img/favicon.ico?v=3</t>
  </si>
  <si>
    <t>360导航</t>
  </si>
  <si>
    <t>https://hao.360.com/</t>
  </si>
  <si>
    <t>https://hao.360.com/favicon.ico</t>
  </si>
  <si>
    <t>设计导航</t>
  </si>
  <si>
    <t>http://hao.shejidaren.com/</t>
  </si>
  <si>
    <t>网易</t>
  </si>
  <si>
    <t>https://www.163.com/</t>
  </si>
  <si>
    <t>https://www.163.com/favicon.ico</t>
  </si>
  <si>
    <t>门户网站</t>
  </si>
  <si>
    <t>新浪网</t>
  </si>
  <si>
    <t>https://www.sina.com.cn/</t>
  </si>
  <si>
    <t>https://www.sina.com.cn/favicon.ico</t>
  </si>
  <si>
    <t>搜狐</t>
  </si>
  <si>
    <t>https://www.sohu.com/</t>
  </si>
  <si>
    <t>https://statics.itc.cn/web/static/images/pic/sohu-logo/favicon.ico</t>
  </si>
  <si>
    <t>百度新闻</t>
  </si>
  <si>
    <t>http://news.baidu.com/</t>
  </si>
  <si>
    <t>http://gss0.bdstatic.com/5foIcy0a2gI2n2jgoY3K/static/fisp_static/common/img/favicon.ico</t>
  </si>
  <si>
    <t>新闻</t>
  </si>
  <si>
    <t>腾讯新闻</t>
  </si>
  <si>
    <t>https://news.qq.com/</t>
  </si>
  <si>
    <t>https://mat1.gtimg.com/www/icon/favicon2.ico</t>
  </si>
  <si>
    <t>铁血网</t>
  </si>
  <si>
    <t>http://www.tiexue.net/</t>
  </si>
  <si>
    <t>http://www.tiexue.net/favicon.ico</t>
  </si>
  <si>
    <t>斗鱼</t>
  </si>
  <si>
    <t>https://www.douyu.com/</t>
  </si>
  <si>
    <t>https://www.douyu.com/favicon.ico</t>
  </si>
  <si>
    <t>直播</t>
  </si>
  <si>
    <t>YY</t>
  </si>
  <si>
    <t>https://www.yy.com/</t>
  </si>
  <si>
    <t>https://www.yy.com/favicon.ico</t>
  </si>
  <si>
    <t>六间房</t>
  </si>
  <si>
    <t>https://www.6.cn/</t>
  </si>
  <si>
    <t>https://vr0.xiu123.cn/imges/favicon.ico</t>
  </si>
  <si>
    <t>NOW直播</t>
  </si>
  <si>
    <t>https://now.qq.com/</t>
  </si>
  <si>
    <t>https://now.qq.com/favicon.ico</t>
  </si>
  <si>
    <t>搜狗直播</t>
  </si>
  <si>
    <t>http://show.sogou.com/</t>
  </si>
  <si>
    <t>战旗TV</t>
  </si>
  <si>
    <t>https://www.zhanqi.tv/</t>
  </si>
  <si>
    <t>龙珠直播</t>
  </si>
  <si>
    <t>http://longzhu.com/</t>
  </si>
  <si>
    <t>火猫直播</t>
  </si>
  <si>
    <t>http://www.huomao.com/</t>
  </si>
  <si>
    <t>http://www.huomao.com/favicon.ico</t>
  </si>
  <si>
    <t>虎牙直播</t>
  </si>
  <si>
    <t>https://www.huya.com/</t>
  </si>
  <si>
    <t>https://www.huya.com/favicon.ico</t>
  </si>
  <si>
    <t>哔哩哔哩直播</t>
  </si>
  <si>
    <t>https://live.bilibili.com/</t>
  </si>
  <si>
    <t>https://www.bilibili.com/favicon.ico</t>
  </si>
  <si>
    <t>CCTV央视频道</t>
  </si>
  <si>
    <t>https://tv.cctv.com/live/</t>
  </si>
  <si>
    <t>网络电视</t>
  </si>
  <si>
    <t>芒果TV</t>
  </si>
  <si>
    <t>https://www.mgtv.com/</t>
  </si>
  <si>
    <t>https://www.mgtv.com/favicon.ico</t>
  </si>
  <si>
    <t>视频</t>
  </si>
  <si>
    <t>优酷</t>
  </si>
  <si>
    <t>https://www.youku.com/</t>
  </si>
  <si>
    <t>https://img.alicdn.com/tfs/TB1WeJ9Xrj1gK0jSZFuXXcrHpXa-195-195.png</t>
  </si>
  <si>
    <t>腾讯视频</t>
  </si>
  <si>
    <t>https://v.qq.com/</t>
  </si>
  <si>
    <t>https://v.qq.com/favicon.ico</t>
  </si>
  <si>
    <t>iQIYI</t>
  </si>
  <si>
    <t>https://www.iq.com/</t>
  </si>
  <si>
    <t>https://www.iqiyipic.com/common/images/logo.ico</t>
  </si>
  <si>
    <t>土豆</t>
  </si>
  <si>
    <t>https://www.tudou.com/</t>
  </si>
  <si>
    <t>https://img.alicdn.com/tfs/TB1Pd4JZ.z1gK0jSZLeXXb9kVXa-32-32.png</t>
  </si>
  <si>
    <t>豆瓣电影</t>
  </si>
  <si>
    <t>https://movie.douban.com/</t>
  </si>
  <si>
    <t>https://img9.doubanio.com/favicon.ico</t>
  </si>
  <si>
    <t>风行网</t>
  </si>
  <si>
    <t>http://www.fun.tv/</t>
  </si>
  <si>
    <t>360影视</t>
  </si>
  <si>
    <t>http://www.360kan.com/</t>
  </si>
  <si>
    <t>http://www.360kan.com/favicon.ico</t>
  </si>
  <si>
    <t>AcFun</t>
  </si>
  <si>
    <t>https://www.acfun.cn/</t>
  </si>
  <si>
    <t>https://cdn.aixifan.com/ico/favicon.ico</t>
  </si>
  <si>
    <t>咪咕视频</t>
  </si>
  <si>
    <t>https://www.miguvideo.com/</t>
  </si>
  <si>
    <t>https://www.miguvideo.com/favicon.ico</t>
  </si>
  <si>
    <t>乐视视频</t>
  </si>
  <si>
    <t>http://www.le.com/</t>
  </si>
  <si>
    <t>http://www.le.com/favicon.ico</t>
  </si>
  <si>
    <t>哔哩哔哩</t>
  </si>
  <si>
    <t>https://www.bilibili.com/</t>
  </si>
  <si>
    <t>https://www.bilibili.com/favicon.ico?v=1</t>
  </si>
  <si>
    <t>百度视频</t>
  </si>
  <si>
    <t>http://v.baidu.com/</t>
  </si>
  <si>
    <t>搜狐视频</t>
  </si>
  <si>
    <t>https://tv.sohu.com/</t>
  </si>
  <si>
    <t>https://tv.sohu.com/favicon.ico</t>
  </si>
  <si>
    <t>PPTV</t>
  </si>
  <si>
    <t>https://www.pptv.com/</t>
  </si>
  <si>
    <t>https://sr1.pplive.cn/mcms/nav/images/favicon.ico</t>
  </si>
  <si>
    <t>搜狗视频</t>
  </si>
  <si>
    <t>https://v.sogou.com/</t>
  </si>
  <si>
    <t>https://dlweb.sogoucdn.com/translate/favicon.ico?v=20180424</t>
  </si>
  <si>
    <t>网易云音乐</t>
  </si>
  <si>
    <t>https://music.163.com/</t>
  </si>
  <si>
    <t>https://s1.music.126.net/style/favicon.ico?v20180823</t>
  </si>
  <si>
    <t>千千音乐</t>
  </si>
  <si>
    <t>https://music.taihe.com/</t>
  </si>
  <si>
    <t>https://music.taihe.com/favicon.ico</t>
  </si>
  <si>
    <t>音乐Tai</t>
  </si>
  <si>
    <t>https://www.yinyuetai.com/</t>
  </si>
  <si>
    <t>https://www.yinyuetai.com/favicon.ico</t>
  </si>
  <si>
    <t>招商银行</t>
  </si>
  <si>
    <t>http://www.cmbchina.com/</t>
  </si>
  <si>
    <t>http://www.cmbchina.com/cmb.ico</t>
  </si>
  <si>
    <t>央行</t>
  </si>
  <si>
    <t>中国进出口银行</t>
  </si>
  <si>
    <t>http://www.eximbank.gov.cn/</t>
  </si>
  <si>
    <t>http://www.eximbank.gov.cn/favicon.ico</t>
  </si>
  <si>
    <t>政策</t>
  </si>
  <si>
    <t>中国农业发展银行</t>
  </si>
  <si>
    <t>http://www.adbc.com.cn/</t>
  </si>
  <si>
    <t>国家开发银行</t>
  </si>
  <si>
    <t>http://www.cdb.com.cn/</t>
  </si>
  <si>
    <t>中国邮政储蓄银行</t>
  </si>
  <si>
    <t>http://www.psbc.com/cn/</t>
  </si>
  <si>
    <t>https://www.google.com/s2/favicons?domain=http://www.psbc.com/cn/</t>
  </si>
  <si>
    <t>邮储</t>
  </si>
  <si>
    <t>中国银行</t>
  </si>
  <si>
    <t>https://www.boc.cn/</t>
  </si>
  <si>
    <t>https://www.boc.cn/favicon.ico</t>
  </si>
  <si>
    <t>国有</t>
  </si>
  <si>
    <t>中国工商银行</t>
  </si>
  <si>
    <t>http://www.icbc.com.cn/icbc/</t>
  </si>
  <si>
    <t>https://www.google.com/s2/favicons?domain=http://www.icbc.com.cn/icbc/</t>
  </si>
  <si>
    <t>中国农业银行</t>
  </si>
  <si>
    <t>http://www.abchina.com/cn/</t>
  </si>
  <si>
    <t>http://www.abchina.com/favicon.ico</t>
  </si>
  <si>
    <t>中国建设银行</t>
  </si>
  <si>
    <t>http://www.ccb.com/</t>
  </si>
  <si>
    <t>http://www.ccb.com/favicon.ico</t>
  </si>
  <si>
    <t>交通银行</t>
  </si>
  <si>
    <t>http://www.bankcomm.com/</t>
  </si>
  <si>
    <t>http://www.bankcomm.com/favicon.ico</t>
  </si>
  <si>
    <t>其他</t>
  </si>
  <si>
    <t>重庆农村商业银行</t>
  </si>
  <si>
    <t>http://www.cqrcb.com</t>
  </si>
  <si>
    <t>https://www.google.com/s2/favicons?domain=http://www.cqrcb.com</t>
  </si>
  <si>
    <t>广州农商银行</t>
  </si>
  <si>
    <t>http://www.grcbank.com/</t>
  </si>
  <si>
    <t>http://www.grcbank.com/styles/index/images/favicon.ico</t>
  </si>
  <si>
    <t>中信银行</t>
  </si>
  <si>
    <t>http://www.citicbank.com/</t>
  </si>
  <si>
    <t>http://www.citicbank.com/favicon.ico</t>
  </si>
  <si>
    <t>中国光大银行</t>
  </si>
  <si>
    <t>http://www.cebbank.com/</t>
  </si>
  <si>
    <t>http://www.cebbank.com/favicon.ico</t>
  </si>
  <si>
    <t>华夏银行</t>
  </si>
  <si>
    <t>https://www.hxb.com.cn/</t>
  </si>
  <si>
    <t>https://www.hxb.com.cn/statics/hxb.ico</t>
  </si>
  <si>
    <t>兴业银行</t>
  </si>
  <si>
    <t>https://www.cib.com.cn/</t>
  </si>
  <si>
    <t>https://www.cib.com.cn/favicon.ico</t>
  </si>
  <si>
    <t>广发银行</t>
  </si>
  <si>
    <t>http://www.cgbchina.com.cn/</t>
  </si>
  <si>
    <t>http://www.cgbchina.com.cn/static/CN/images/favicon.ico</t>
  </si>
  <si>
    <t>中国民生银行</t>
  </si>
  <si>
    <t>http://www.cmbc.com.cn/</t>
  </si>
  <si>
    <t>http://www.cmbc.com.cn/favicon.ico</t>
  </si>
  <si>
    <t>浦发银行</t>
  </si>
  <si>
    <t>https://www.spdb.com.cn/</t>
  </si>
  <si>
    <t>https://www.google.com/s2/favicons?domain=https://www.spdb.com.cn/</t>
  </si>
  <si>
    <t>渤海银行</t>
  </si>
  <si>
    <t>http://www.cbhb.com.cn</t>
  </si>
  <si>
    <t>https://www.google.com/s2/favicons?domain=http://www.cbhb.com.cn</t>
  </si>
  <si>
    <t>浙商银行</t>
  </si>
  <si>
    <t>http://www.czbank.com</t>
  </si>
  <si>
    <t>http://www.czbank.com/cn/images/favicon.ico</t>
  </si>
  <si>
    <t>北京银行</t>
  </si>
  <si>
    <t>http://www.bankofbeijing.com.cn</t>
  </si>
  <si>
    <t>https://www.google.com/s2/favicons?domain=http://www.bankofbeijing.com.cn</t>
  </si>
  <si>
    <t>徽商银行</t>
  </si>
  <si>
    <t>http://www.hsbank.com.cn</t>
  </si>
  <si>
    <t>http://www.hsbank.com.cn/favicon.ico</t>
  </si>
  <si>
    <t>天津银行</t>
  </si>
  <si>
    <t>http://www.tccb.com.cn</t>
  </si>
  <si>
    <t>http://www.tccb.com.cn/images/site.ico</t>
  </si>
  <si>
    <t>上海银行</t>
  </si>
  <si>
    <t>http://www.bankofshanghai.com</t>
  </si>
  <si>
    <t>https://www.bosc.cn/favicon.ico</t>
  </si>
  <si>
    <t>南京银行</t>
  </si>
  <si>
    <t>http://www.njcb.com.cn</t>
  </si>
  <si>
    <t>http://www.njcb.com.cn/favicon.ico</t>
  </si>
  <si>
    <t>宁波银行</t>
  </si>
  <si>
    <t>http://www.nbcb.com.cn</t>
  </si>
  <si>
    <t>http://www.nbcb.com.cn/images/favicon.ico</t>
  </si>
  <si>
    <t>杭州银行</t>
  </si>
  <si>
    <t>http://www.hccb.com.cn</t>
  </si>
  <si>
    <t>https://www.google.com/s2/favicons?domain=http://www.hccb.com.cn</t>
  </si>
  <si>
    <t>江苏银行</t>
  </si>
  <si>
    <t>http://www.jsbchina.cn</t>
  </si>
  <si>
    <t>http://www.jsbchina.cn/data/tosend/resource/template/jiangsubank/images/favicon.ico</t>
  </si>
  <si>
    <t>蒙商银行</t>
  </si>
  <si>
    <t>http://www.bsb.com.cn</t>
  </si>
  <si>
    <t>http://www.bsb.com.cn/favicon.ico</t>
  </si>
  <si>
    <t>温州银行</t>
  </si>
  <si>
    <t>http://www.wzcb.com.cn</t>
  </si>
  <si>
    <t>https://www.google.com/s2/favicons?domain=http://www.wzcb.com.cn</t>
  </si>
  <si>
    <t>广州银行</t>
  </si>
  <si>
    <t>http://www.gzcb.com.cn</t>
  </si>
  <si>
    <t>https://www.google.com/s2/favicons?domain=http://www.gzcb.com.cn</t>
  </si>
  <si>
    <t>重庆银行</t>
  </si>
  <si>
    <t>http://www.cqcbank.com</t>
  </si>
  <si>
    <t>https://www.google.com/s2/favicons?domain=http://www.cqcbank.com</t>
  </si>
  <si>
    <t>河北银行</t>
  </si>
  <si>
    <t>http://www.hebbank.com/</t>
  </si>
  <si>
    <t>https://www.google.com/s2/favicons?domain=http://www.hebbank.com/</t>
  </si>
  <si>
    <t>青岛银行</t>
  </si>
  <si>
    <t>http://www.qdccb.com</t>
  </si>
  <si>
    <t>http://www.qdccb.com/favicon.ico</t>
  </si>
  <si>
    <t>哈尔滨银行</t>
  </si>
  <si>
    <t>http://www.hrbcb.com.cn</t>
  </si>
  <si>
    <t>https://www.google.com/s2/favicons?domain=http://www.hrbcb.com.cn</t>
  </si>
  <si>
    <t>大连银行</t>
  </si>
  <si>
    <t>http://www.bankofdl.com/</t>
  </si>
  <si>
    <t>http://www.bankofdl.com/static/pc/images/favicon.ico</t>
  </si>
  <si>
    <t>恒丰银行</t>
  </si>
  <si>
    <t>http://m.hfbank.com.cn/</t>
  </si>
  <si>
    <t>https://www.hfbank.com.cn/images/favicon.ico</t>
  </si>
  <si>
    <t>北京农商银行</t>
  </si>
  <si>
    <t>http://www.bjrcb.com</t>
  </si>
  <si>
    <t>https://www.google.com/s2/favicons?domain=http://www.bjrcb.com</t>
  </si>
  <si>
    <t>上海农商银行</t>
  </si>
  <si>
    <t>http://www.srcb.com</t>
  </si>
  <si>
    <t>https://www.google.com/s2/favicons?domain=http://www.srcb.com</t>
  </si>
  <si>
    <t>深圳农村商业银行</t>
  </si>
  <si>
    <t>http://www.4001961200.com/</t>
  </si>
  <si>
    <t>http://www.4001961200.com/themes/szrcb/favicon.ico</t>
  </si>
  <si>
    <t>太平洋保险</t>
  </si>
  <si>
    <t>http://www.cpic.com.cn/</t>
  </si>
  <si>
    <t>https://www.cpiccdn.com/images/v2/favicon.gif</t>
  </si>
  <si>
    <t>中国人寿</t>
  </si>
  <si>
    <t>https://www.e-chinalife.com/</t>
  </si>
  <si>
    <t>https://www.google.com/s2/favicons?domain=https://www.e-chinalife.com/</t>
  </si>
  <si>
    <t>中国平安</t>
  </si>
  <si>
    <t>https://www.pingan.com/</t>
  </si>
  <si>
    <t>https://www.pingan.com/favicon.ico</t>
  </si>
  <si>
    <t>泰康保险</t>
  </si>
  <si>
    <t>http://www.taikang.com/</t>
  </si>
  <si>
    <t>https://www.google.com/s2/favicons?domain=http://www.taikang.com/</t>
  </si>
  <si>
    <t>中国人民保险</t>
  </si>
  <si>
    <t>https://www.picc.com/</t>
  </si>
  <si>
    <t>https://www.picc.com/favicon.ico</t>
  </si>
  <si>
    <t>新华保险</t>
  </si>
  <si>
    <t>https://www.newchinalife.com/</t>
  </si>
  <si>
    <t>https://www.newchinalife.com/favicon.ico</t>
  </si>
  <si>
    <t>友邦保险</t>
  </si>
  <si>
    <t>https://www.aia.com.cn/zh-cn/index.html</t>
  </si>
  <si>
    <t>https://www.aia.com.cn/favicon.ico</t>
  </si>
  <si>
    <t>国信证券</t>
  </si>
  <si>
    <t>https://www.guosen.com.cn/gs/index.html</t>
  </si>
  <si>
    <t>https://www.guosen.com.cn/favicon.ico</t>
  </si>
  <si>
    <t>国泰君安证券</t>
  </si>
  <si>
    <t>https://www.gtja.com/</t>
  </si>
  <si>
    <t>https://www.google.com/s2/favicons?domain=https://www.gtja.com/</t>
  </si>
  <si>
    <t>广发证券</t>
  </si>
  <si>
    <t>http://www.gf.com.cn/</t>
  </si>
  <si>
    <t>http://www.gf.com.cn/images/favicon.ico</t>
  </si>
  <si>
    <t>中国银河证券</t>
  </si>
  <si>
    <t>http://www.chinastock.com.cn/</t>
  </si>
  <si>
    <t>https://www.google.com/s2/favicons?domain=http://www.chinastock.com.cn/</t>
  </si>
  <si>
    <t>方正证券</t>
  </si>
  <si>
    <t>https://www.foundersc.com/</t>
  </si>
  <si>
    <t>https://www.foundersc.com/r/cms/www/default/img/logo1.ico</t>
  </si>
  <si>
    <t>光大证券</t>
  </si>
  <si>
    <t>http://www.ebscn.com/main/index/index.html</t>
  </si>
  <si>
    <t>http://www.ebscn.com/favicon.ico</t>
  </si>
  <si>
    <t>华泰证券</t>
  </si>
  <si>
    <t>https://www.htsc.com.cn/</t>
  </si>
  <si>
    <t>https://www.htsc.com.cn/favicon.ico</t>
  </si>
  <si>
    <t>安信证券</t>
  </si>
  <si>
    <t>http://www.essence.com.cn/</t>
  </si>
  <si>
    <t>http://static1.essence.com.cn/v6/img/logoico.ico</t>
  </si>
  <si>
    <t>西部证券</t>
  </si>
  <si>
    <t>http://www.west95582.com/jdw/index.html</t>
  </si>
  <si>
    <t>http://www.west95582.com/jdw/images/favicon.ico</t>
  </si>
  <si>
    <t>中信证券</t>
  </si>
  <si>
    <t>http://www.cs.ecitic.com/newsite/</t>
  </si>
  <si>
    <t>http://www.cs.ecitic.com/newsite/favicon.ico</t>
  </si>
  <si>
    <t>国海证券</t>
  </si>
  <si>
    <t>http://www.ghzq.com.cn/</t>
  </si>
  <si>
    <t>https://www.google.com/s2/favicons?domain=http://www.ghzq.com.cn/</t>
  </si>
  <si>
    <t>世界数字图书馆</t>
  </si>
  <si>
    <t>https://www.wdl.org/zh/</t>
  </si>
  <si>
    <t>联合国教科文组织协办的电子书网站，精选全球各大图书馆藏品。数量不太大，但多为精品。</t>
  </si>
  <si>
    <t>https://www.wdl.org/static/img/logos/wdl-152x152.3c48b49bd60d.png</t>
  </si>
  <si>
    <t>数字图书馆</t>
  </si>
  <si>
    <t>中国国家图书馆</t>
  </si>
  <si>
    <t>http://www.nlc.cn</t>
  </si>
  <si>
    <t>内有古籍、民国图书、民国期刊等免费数据库 ，部分商业数据库，可注册后使用。</t>
  </si>
  <si>
    <t>https://libguides.lib.hku.hk/az.php</t>
  </si>
  <si>
    <t>https://databases.hollis.harvard.edu/primo-explore/search?vid=HVD_DB&amp;lang=en_US</t>
  </si>
  <si>
    <t>香港公共图书馆旧香港报纸</t>
  </si>
  <si>
    <t>https://sc.lcsd.gov.hk/TuniS/mmis.hkpl.gov.hk/web/guest/old-hk-collection</t>
  </si>
  <si>
    <t>全国图书馆参考咨询联盟</t>
  </si>
  <si>
    <t>http://www.ucdrs.superlib.net</t>
  </si>
  <si>
    <t>大学数字图书馆国际合作计划</t>
  </si>
  <si>
    <t>http://cadal.edu.cn/index/home</t>
  </si>
  <si>
    <t>香光尼众佛学院图书馆</t>
  </si>
  <si>
    <t>http://www.gaya.org.tw/library/</t>
  </si>
  <si>
    <t>http://www.columbia.edu/cu/lweb/digital/collections/eastasian/paper_gods/index.html</t>
  </si>
  <si>
    <t>http://ebooks.lib.ntu.edu.tw/Home/ListBooks</t>
  </si>
  <si>
    <t>金陵圖書館</t>
  </si>
  <si>
    <t>http://www.jllib.cn/</t>
  </si>
  <si>
    <t>书格</t>
  </si>
  <si>
    <t>https://shuge.org/</t>
  </si>
  <si>
    <t>在线古籍图书馆</t>
  </si>
  <si>
    <t>哈佛燕京图书馆数字馆藏</t>
  </si>
  <si>
    <t>https://guides.library.harvard.edu/Chinese?utm_source=Library+Staff&amp;utm_campaign=9fca5a7bb3-EMAIL_CAMPAIGN_2017_06_28&amp;utm_medium=email&amp;utm_term=0_4bb25c0228-9fca5a7bb3-26352423#s-lg-box-6321879</t>
  </si>
  <si>
    <t>HathiTrust</t>
  </si>
  <si>
    <t>https://www.hathitrust.org</t>
  </si>
  <si>
    <t>公益性电子书网站，内有大量公版书可全文浏览或部分阅读。不同国家的IP，浏览权限不一。</t>
  </si>
  <si>
    <t>Library Genesis</t>
  </si>
  <si>
    <t>https://libgen.is</t>
  </si>
  <si>
    <t>245万册电子书（32.22TB），8000万篇文章，均可自由下载。</t>
  </si>
  <si>
    <t>Z-Library</t>
  </si>
  <si>
    <t>https://zh.th1lib.org/</t>
  </si>
  <si>
    <t>Z-Library是世界上最大的在线图书馆之一。</t>
  </si>
  <si>
    <t>Booksee</t>
  </si>
  <si>
    <t>https://en.booksee.org/</t>
  </si>
  <si>
    <t>提供自由下载</t>
  </si>
  <si>
    <t>Internet Archive</t>
  </si>
  <si>
    <t>https://archive.org/index.php</t>
  </si>
  <si>
    <t>全球最大的公益性电子书网站。所收电子书，主要为外语古籍和部分中文古籍（如四库、海外图书馆的特藏等）。此外，尚有海量的期刊杂志、老照片、录音、视频、网页等。</t>
  </si>
  <si>
    <t>中国高等教育文献保障系统</t>
  </si>
  <si>
    <t>http://www.calis.edu.cn</t>
  </si>
  <si>
    <t>WorldCat</t>
  </si>
  <si>
    <t>https://www.worldcat.org</t>
  </si>
  <si>
    <t>全球最大的图书与期刊联合目录，多语种，集成了全球各大图书馆的馆藏目录，目前有20亿笔资料目录。可注册，建立自己的书目库，支持书目导出、引用等。</t>
  </si>
  <si>
    <t>开世览文</t>
  </si>
  <si>
    <t>http://www.cashl.edu.cn/</t>
  </si>
  <si>
    <t>中国高校人文社会科学文献中心，提供多所主流高校的联合目录检索服务（虽然不太精确），可提供图书馆馆际互借服务。本校图书馆没有的图书，可通过这个平台，或中国高等教育文献保障系统：http://www.calis.edu.cn，申请馆际互借。</t>
  </si>
  <si>
    <t>历史文献数据库</t>
  </si>
  <si>
    <t>http://222.178.203.72:9051/#/</t>
  </si>
  <si>
    <t>北碚图书馆</t>
  </si>
  <si>
    <t>湖北方志库</t>
  </si>
  <si>
    <t>http://gjpt.library.hb.cn:8991/qt-zxsk.html</t>
  </si>
  <si>
    <t>湖北省图书馆</t>
  </si>
  <si>
    <t>湖北家谱库</t>
  </si>
  <si>
    <t>http://gjpt.library.hb.cn:8991/home/jp_index.html</t>
  </si>
  <si>
    <t>湖州数字图书馆</t>
  </si>
  <si>
    <t>http://www.hzetsg.com/interlibSSO/main/main.jsp</t>
  </si>
  <si>
    <t>湖州市图书馆</t>
  </si>
  <si>
    <t>数字古籍</t>
  </si>
  <si>
    <t>http://lzslib.lzslib.org.cn/class.asp?classid=3</t>
  </si>
  <si>
    <t>阆中市图书馆</t>
  </si>
  <si>
    <t>清人文集全文影像数据库</t>
  </si>
  <si>
    <t>http://www2.jslib.org.cn/was5/web/qrwj.htm</t>
  </si>
  <si>
    <t>南京图书馆藏清人文集全文影像数据库</t>
  </si>
  <si>
    <t>南京图书馆</t>
  </si>
  <si>
    <t>狮山学馆</t>
  </si>
  <si>
    <t>http://ancb.njtc.edu.cn/</t>
  </si>
  <si>
    <t>内江师范学院图书馆</t>
  </si>
  <si>
    <t>古典籍资料</t>
  </si>
  <si>
    <t>https://dl.ndl.go.jp/</t>
  </si>
  <si>
    <t>日本国会图书馆</t>
  </si>
  <si>
    <t>上海图书馆</t>
  </si>
  <si>
    <t>https://library.sh.cn/#/index</t>
  </si>
  <si>
    <t>上图家谱</t>
  </si>
  <si>
    <t>http://wrd2016.library.sh.cn/channel/stjp/</t>
  </si>
  <si>
    <t>古籍插图库</t>
  </si>
  <si>
    <t>http://query.clcn.net.cn/GJAndST/gjct1.htm</t>
  </si>
  <si>
    <t>首都图书馆</t>
  </si>
  <si>
    <t>古籍珍善本图像数据库</t>
  </si>
  <si>
    <t>http://gjzsb.clcn.net.cn/</t>
  </si>
  <si>
    <t>http://thdl.ntu.edu.tw/tools/</t>
  </si>
  <si>
    <t>台湾大学台湾历史数位图书馆</t>
  </si>
  <si>
    <t>馆藏古籍资源库</t>
  </si>
  <si>
    <t>http://39.106.82.98:8066/index.html#page1</t>
  </si>
  <si>
    <t>唐河图书馆</t>
  </si>
  <si>
    <t>梵文写本</t>
  </si>
  <si>
    <t>http://cudl.lib.cam.ac.uk/collections/sanskrit/1</t>
  </si>
  <si>
    <t>英国剑桥大学图书馆</t>
  </si>
  <si>
    <t>古籍数字图书馆</t>
  </si>
  <si>
    <t>http://msq.ynlib.cn/</t>
  </si>
  <si>
    <t>云南省图书馆</t>
  </si>
  <si>
    <t>古籍文献</t>
  </si>
  <si>
    <t>http://www.zzlib.com/gjl</t>
  </si>
  <si>
    <t>枣庄市图书馆</t>
  </si>
  <si>
    <t>One Search</t>
  </si>
  <si>
    <t>https://search.nlb.gov.sg/</t>
  </si>
  <si>
    <t>新加坡国家图书馆</t>
  </si>
  <si>
    <t>电子资源</t>
  </si>
  <si>
    <t>https://eresources.nlb.gov.sg/</t>
  </si>
  <si>
    <t>数据库资源导航</t>
  </si>
  <si>
    <t>https://dwz.cn/04OMn1iC</t>
  </si>
  <si>
    <t>山东大学图书馆</t>
  </si>
  <si>
    <t>加拿大大汉公报</t>
  </si>
  <si>
    <t>http://chinesetimes.lib.sfu.ca/</t>
  </si>
  <si>
    <t>旧报纸</t>
  </si>
  <si>
    <t>美国国会图书馆旧报刊数据库</t>
  </si>
  <si>
    <t>https://chroniclingamerica.loc.gov</t>
  </si>
  <si>
    <t>可全文检索，免费在线阅览和下载。</t>
  </si>
  <si>
    <t>大英图书馆旧报刊数据库</t>
  </si>
  <si>
    <t>https://www.britishnewspaperarchive.co.uk</t>
  </si>
  <si>
    <t>可全文检索，收费，个人可注册缴费。</t>
  </si>
  <si>
    <t>天一阁博物馆</t>
  </si>
  <si>
    <t>http://www.tianyige.com.cn:8008/Default</t>
  </si>
  <si>
    <t>只要注册即可在线浏览</t>
  </si>
  <si>
    <t>数字博物馆</t>
  </si>
  <si>
    <t>古籍数字资源库</t>
  </si>
  <si>
    <t>http://www.tianyige.com.cn:8008/default</t>
  </si>
  <si>
    <t>书法字典</t>
  </si>
  <si>
    <t>http://www.shufazidian.com/</t>
  </si>
  <si>
    <t>http://www.shufazidian.com/favicon.ico</t>
  </si>
  <si>
    <t>字典</t>
  </si>
  <si>
    <t>異體字字典</t>
  </si>
  <si>
    <t>http://dict.variants.moe.edu.tw</t>
  </si>
  <si>
    <t>https://dict.variants.moe.edu.tw/favicon.ico?v=3</t>
  </si>
  <si>
    <t>引得市</t>
  </si>
  <si>
    <t>http://www.mebag.com/index/</t>
  </si>
  <si>
    <t>http://www.mebag.com/favicon.ico</t>
  </si>
  <si>
    <t>小学堂</t>
  </si>
  <si>
    <t>https://xiaoxue.iis.sinica.edu.tw/</t>
  </si>
  <si>
    <t>https://xiaoxue.iis.sinica.edu.tw/Content/Images/ICON.ico</t>
  </si>
  <si>
    <t>口语梵语字典</t>
  </si>
  <si>
    <t>https://www.learnsanskrit.cc/</t>
  </si>
  <si>
    <t>梵语字典</t>
  </si>
  <si>
    <t>http://www.sanskritdictionary.com/</t>
  </si>
  <si>
    <t>巴利文在线字典</t>
  </si>
  <si>
    <t>http://cpd.uni-koeln.de/search</t>
  </si>
  <si>
    <t>（A Critical Pāli Dictionary Online）A Critical Pāli Dictionary Online is maintained by the Data Center for the Humanities at the University of Cologne in cooperation with the Pali Text Society.</t>
  </si>
  <si>
    <t>有道词典</t>
  </si>
  <si>
    <t>http://dict.youdao.com/</t>
  </si>
  <si>
    <t>https://shared.ydstatic.com/images/favicon.ico</t>
  </si>
  <si>
    <t>词典</t>
  </si>
  <si>
    <t>小鸡词典</t>
  </si>
  <si>
    <t>https://jikipedia.com/</t>
  </si>
  <si>
    <t>呀啦嗦藏文在线词典</t>
  </si>
  <si>
    <t>http://www.yalasoo.com/Chinese/yalasoo_cn_online_dictionary_COM.php</t>
  </si>
  <si>
    <t>汉藏英三语</t>
  </si>
  <si>
    <t>中国古典文献资源导航系统</t>
  </si>
  <si>
    <t>https://www.kuizhangge.cn</t>
  </si>
  <si>
    <t>古籍</t>
  </si>
  <si>
    <t>影印古籍资料</t>
  </si>
  <si>
    <t>https://sou-yun.cn/eBookIndex.aspx</t>
  </si>
  <si>
    <t>搜韵网</t>
  </si>
  <si>
    <t>Gale Scholar</t>
  </si>
  <si>
    <t>https://dwz.cn/0bz5szYB</t>
  </si>
  <si>
    <t>Gale Scholar-Archives Unbound珍稀原始典藏档案数据库中28个主题。Gale Scholar是Gale公司的大型数据库集成产品， 为用户呈现 1 亿 7000 万页、跨越全球 500 年历史的珍稀原始文献资源，最早的历史资料可追溯到十五世纪，资料类型包括图书、地图、照片、报纸、手稿、期刊、视频和音频等。文献全部来自于权威机构如大英图书馆、美国国家档案馆、英国国家档案馆、美国国务院档案馆、哈佛大学图书馆、耶鲁大学图书馆、哥伦比亚大学图书馆、牛津、剑桥等等。这些文献包含解密档案、政府文件、手稿、报刊、照片等，内容极为丰富，对社会科学、历史、哲学、教育、国际关系、国际政治、经济史、法律、文学、艺术等学科有独特价值。</t>
  </si>
  <si>
    <t>韩国历史文献相关网站大汇总</t>
  </si>
  <si>
    <t>https://www.haijiaoshi.com/archives/156</t>
  </si>
  <si>
    <t>提供《朝鲜王朝实录》、《承政院日记》、《备边司誊录》等数据库的导航。</t>
  </si>
  <si>
    <t>整理文章</t>
  </si>
  <si>
    <t>Google AdSense</t>
  </si>
  <si>
    <t>https://www.google.com/adsense/</t>
  </si>
  <si>
    <t>https://ssl.gstatic.com/adsense/apps/static/bidi/adsense3_antipasti_server_20210317-12_RC00/common/resources/favicon.ico</t>
  </si>
  <si>
    <t>Google</t>
  </si>
  <si>
    <t>搜索中心</t>
  </si>
  <si>
    <t>https://developers.google.com/search/docs/advanced/sitemaps/build-sitemap?visit_id=637512990298136122-3148500149&amp;rd=1#addsitemap</t>
  </si>
  <si>
    <t>https://www.gstatic.com/devrel-devsite/prod/va86e410c3836eceeddcebcf4b4d8ca612c34448e39d45400c1d2761bf99aed92/developers/images/favicon.png</t>
  </si>
  <si>
    <t>翻译</t>
  </si>
  <si>
    <t>https://translate.google.cn/</t>
  </si>
  <si>
    <t>https://ssl.gstatic.com/translate/favicon.ico</t>
  </si>
  <si>
    <t>Google Cloud</t>
  </si>
  <si>
    <t>https://cloud.google.com/</t>
  </si>
  <si>
    <t>https://www.gstatic.com/devrel-devsite/prod/v3069b08f6c9d146fa6a9c7f184b2836998ab5f12cefec1342a7bf6dca024aa94/cloud/images/favicons/onecloud/favicon.ico</t>
  </si>
  <si>
    <t>云端硬盘</t>
  </si>
  <si>
    <t>https://drive.google.com/</t>
  </si>
  <si>
    <t>https://ssl.gstatic.com/images/branding/product/1x/drive_2020q4_32dp.png</t>
  </si>
  <si>
    <t>Gmail</t>
  </si>
  <si>
    <t>https://mail.google.com/</t>
  </si>
  <si>
    <t>https://ssl.gstatic.com/ui/v1/icons/mail/rfr/gmail.ico</t>
  </si>
  <si>
    <t>百度统计</t>
  </si>
  <si>
    <t>https://tongji.baidu.com/</t>
  </si>
  <si>
    <t>https://tongji.baidu.com/favicon.ico</t>
  </si>
  <si>
    <t>百度</t>
  </si>
  <si>
    <t>百度贴吧</t>
  </si>
  <si>
    <t>https://tieba.baidu.com/</t>
  </si>
  <si>
    <t>https://tb1.bdstatic.com/tb/favicon.ico</t>
  </si>
  <si>
    <t>百度指数</t>
  </si>
  <si>
    <t>http://index.baidu.com/</t>
  </si>
  <si>
    <t>百度网盘</t>
  </si>
  <si>
    <t>https://pan.baidu.com/</t>
  </si>
  <si>
    <t>https://pan.baidu.com/m-static/base/static/images/favicon.ico</t>
  </si>
  <si>
    <t>百度图片</t>
  </si>
  <si>
    <t>https://image.baidu.com/</t>
  </si>
  <si>
    <t>https://www.baidu.com/cache/icon/favicon.ico</t>
  </si>
  <si>
    <t>百度地图</t>
  </si>
  <si>
    <t>https://map.baidu.com/</t>
  </si>
  <si>
    <t>https://map.baidu.com/favicon.ico</t>
  </si>
  <si>
    <t>CC直播</t>
  </si>
  <si>
    <t>https://cc.163.com/</t>
  </si>
  <si>
    <t>https://cc.res.netease.com/act/webcc/favicon/favicon.ico</t>
  </si>
  <si>
    <t>天猫</t>
  </si>
  <si>
    <t>https://www.tmall.com/</t>
  </si>
  <si>
    <t>https://zhengxie.info/common/image/favicon/天猫32.gif</t>
  </si>
  <si>
    <t>网购平台</t>
  </si>
  <si>
    <t>天猫32.gif</t>
  </si>
  <si>
    <t>淘宝网</t>
  </si>
  <si>
    <t>https://www.taobao.com/</t>
  </si>
  <si>
    <t>https://img.alicdn.com/tfs/TB1VlKFRpXXXXcNapXXXXXXXXXX-16-16.png</t>
  </si>
  <si>
    <t>京东</t>
  </si>
  <si>
    <t>https://www.jd.com/</t>
  </si>
  <si>
    <t>https://www.jd.com/favicon.ico</t>
  </si>
  <si>
    <t>苏宁易购</t>
  </si>
  <si>
    <t>https://www.suning.com/</t>
  </si>
  <si>
    <t>https://www.suning.com/favicon.ico</t>
  </si>
  <si>
    <t>拼多多</t>
  </si>
  <si>
    <t>https://m.pinduoduo.com/</t>
  </si>
  <si>
    <t>https://m.pinduoduo.com/favicon.ico</t>
  </si>
  <si>
    <t>1号会员店</t>
  </si>
  <si>
    <t>https://www.yhd.com/</t>
  </si>
  <si>
    <t>https://www.yhd.com/yhdmember/favicon.ico</t>
  </si>
  <si>
    <t>https://www.1688.com/</t>
  </si>
  <si>
    <t>https://cbu01.alicdn.com/favicon.ico?_=2020</t>
  </si>
  <si>
    <t>Alibaba</t>
  </si>
  <si>
    <t>https://www.alibaba.com/</t>
  </si>
  <si>
    <t>https://is.alicdn.com/simg/single/icon/favicon.ico</t>
  </si>
  <si>
    <t>维品会</t>
  </si>
  <si>
    <t>https://www.vip.com/</t>
  </si>
  <si>
    <t>https://www.vip.com/favicon.ico</t>
  </si>
  <si>
    <t>当当网</t>
  </si>
  <si>
    <t>http://www.dangdang.com/</t>
  </si>
  <si>
    <t>http://www.dangdang.com/favicon.ico</t>
  </si>
  <si>
    <t>亚马逊中国</t>
  </si>
  <si>
    <t>https://www.amazon.cn/</t>
  </si>
  <si>
    <t>https://www.amazon.cn/favicon.ico</t>
  </si>
  <si>
    <t>QQ邮箱</t>
  </si>
  <si>
    <t>https://mail.qq.com/</t>
  </si>
  <si>
    <t>https://mail.qq.com/zh_CN/htmledition/images/favicon/qqmail_favicon_32h.png</t>
  </si>
  <si>
    <t>邮箱</t>
  </si>
  <si>
    <t>Foxmail</t>
  </si>
  <si>
    <t>https://www.foxmail.com/</t>
  </si>
  <si>
    <t>https://www.foxmail.com/favicon.ico</t>
  </si>
  <si>
    <t>Outlook</t>
  </si>
  <si>
    <t>https://outlook.live.com/</t>
  </si>
  <si>
    <t>https://outlook-1.cdn.office.net/owamail/20210315003.14/resources/images/favicons/mail-seen.ico</t>
  </si>
  <si>
    <t>新浪邮箱</t>
  </si>
  <si>
    <t>https://mail.sina.com.cn/</t>
  </si>
  <si>
    <t>https://mail.sina.com.cn/favicon.ico</t>
  </si>
  <si>
    <t>雅虎Yahoo</t>
  </si>
  <si>
    <t>https://login.yahoo.com/</t>
  </si>
  <si>
    <t>https://s.yimg.com/wm/mbr/images/yahoo-favicon-img-v0.0.2.ico</t>
  </si>
  <si>
    <t>网易yeah.net</t>
  </si>
  <si>
    <t>https://www.yeah.net/</t>
  </si>
  <si>
    <t>网易126邮箱</t>
  </si>
  <si>
    <t>http://www.126.com/</t>
  </si>
  <si>
    <t>https://www.google.com/s2/favicons?domain=http://www.126.com/</t>
  </si>
  <si>
    <t>网易163邮箱</t>
  </si>
  <si>
    <t>https://mail.163.com/</t>
  </si>
  <si>
    <t>https://www.google.com/s2/favicons?domain=https://mail.163.com/</t>
  </si>
  <si>
    <t>故宫壁纸</t>
  </si>
  <si>
    <t>https://www.dpm.org.cn/lights/royal.html</t>
  </si>
  <si>
    <t>https://www.dpm.org.cn/favicon.ico</t>
  </si>
  <si>
    <t>极简壁纸</t>
  </si>
  <si>
    <t>https://bz.zzzmh.cn/</t>
  </si>
  <si>
    <t>https://bz.zzzmh.cn/favicon.ico</t>
  </si>
  <si>
    <t>壁纸</t>
  </si>
  <si>
    <t>云淡风轻</t>
  </si>
  <si>
    <t>https://bing.ioliu.cn/</t>
  </si>
  <si>
    <t>必应每日高清壁纸，图片来自必应搜索。</t>
  </si>
  <si>
    <t>https://bing.ioliu.cn/static/images/bing.ico</t>
  </si>
  <si>
    <t>wallhaven</t>
  </si>
  <si>
    <t>https://wallhaven.cc/</t>
  </si>
  <si>
    <t>https://wallhaven.cc/favicon.ico</t>
  </si>
  <si>
    <t>NET牛人</t>
  </si>
  <si>
    <t>https://ss.netnr.com/wallpaper</t>
  </si>
  <si>
    <t>https://ss.netnr.com/favicon.ico</t>
  </si>
  <si>
    <t>图片瀑布</t>
  </si>
  <si>
    <t>https://joer.ru/</t>
  </si>
  <si>
    <t>https://joer.ru/favicon.ico</t>
  </si>
  <si>
    <t>Pexels</t>
  </si>
  <si>
    <t>https://www.pexels.com/zh-cn/</t>
  </si>
  <si>
    <t>免费素材图片</t>
  </si>
  <si>
    <t>https://www.pexels.com/favicon.ico</t>
  </si>
  <si>
    <t>素材</t>
  </si>
  <si>
    <t>狗图网</t>
  </si>
  <si>
    <t>https://www.gooico.com/</t>
  </si>
  <si>
    <t>https://www.gooico.com/favicon.ico</t>
  </si>
  <si>
    <t>图标</t>
  </si>
  <si>
    <t>小歪API</t>
  </si>
  <si>
    <t>https://api.ixiaowai.cn/</t>
  </si>
  <si>
    <t>API</t>
  </si>
  <si>
    <t>阿里云</t>
  </si>
  <si>
    <t>https://cn.aliyun.com/</t>
  </si>
  <si>
    <t>https://img.alicdn.com/tfs/TB1_ZXuNcfpK1RjSZFOXXa6nFXa-32-32.ico</t>
  </si>
  <si>
    <t>云服务</t>
  </si>
  <si>
    <t>腾讯云</t>
  </si>
  <si>
    <t>https://cloud.tencent.com/</t>
  </si>
  <si>
    <t>https://cloud.tencent.com/favicon.ico?t=201902181234</t>
  </si>
  <si>
    <t>百度云</t>
  </si>
  <si>
    <t>https://cloud.baidu.com/</t>
  </si>
  <si>
    <t>https://bce.bdstatic.com/img/favicon.ico</t>
  </si>
  <si>
    <t>华为云</t>
  </si>
  <si>
    <t>https://www.huaweicloud.com/</t>
  </si>
  <si>
    <t>https://res-static3.huaweicloud.com/content/dam/cloudbu-site/archive/commons/web_resoure/framework/favicon/favicon.ico?sttl=202012172120</t>
  </si>
  <si>
    <t>AWS</t>
  </si>
  <si>
    <t>https://aws.amazon.com/cn/</t>
  </si>
  <si>
    <t>https://a0.awsstatic.com/libra-css/images/site/fav/favicon.ico</t>
  </si>
  <si>
    <t>网易云课堂</t>
  </si>
  <si>
    <t>https://study.163.com/</t>
  </si>
  <si>
    <t>https://study.163.com/favicon.ico</t>
  </si>
  <si>
    <t>在线教育</t>
  </si>
  <si>
    <t>中国大学MOOC</t>
  </si>
  <si>
    <t>https://www.icourse163.org/</t>
  </si>
  <si>
    <t>https://edu-image.nosdn.127.net/32a8dd2a-b9aa-4ec9-abd5-66cd8751befb.png?imageView&amp;quality=100</t>
  </si>
  <si>
    <t>豆瓣网</t>
  </si>
  <si>
    <t>https://www.douban.com/</t>
  </si>
  <si>
    <t>https://www.douban.com/favicon.ico</t>
  </si>
  <si>
    <t>社区</t>
  </si>
  <si>
    <t>V2EX</t>
  </si>
  <si>
    <t>https://www.v2ex.com/</t>
  </si>
  <si>
    <t>https://www.v2ex.com/static/favicon.ico</t>
  </si>
  <si>
    <t>知乎</t>
  </si>
  <si>
    <t>https://zhihu.com/</t>
  </si>
  <si>
    <t>https://static.zhihu.com/heifetz/favicon.ico</t>
  </si>
  <si>
    <t>CSDN</t>
  </si>
  <si>
    <t>https://www.csdn.net/</t>
  </si>
  <si>
    <t>https://g.csdnimg.cn/static/logo/favicon32.ico</t>
  </si>
  <si>
    <t>简书</t>
  </si>
  <si>
    <t>https://www.jianshu.com/</t>
  </si>
  <si>
    <t>https://cdn2.jianshu.io/assets/favicons/favicon-e743bfb1821442341c3ab15bdbe804f7ad97676bd07a770ccc9483473aa76f06.ico</t>
  </si>
  <si>
    <t>微博</t>
  </si>
  <si>
    <t>https://weibo.com/</t>
  </si>
  <si>
    <t>https://weibo.com/favicon.ico</t>
  </si>
  <si>
    <t>果壳</t>
  </si>
  <si>
    <t>https://www.guokr.com/</t>
  </si>
  <si>
    <t>科技有意思 · 果壳走着瞧</t>
  </si>
  <si>
    <t>https://www.guokr.com/favicon.ico</t>
  </si>
  <si>
    <t>虎扑</t>
  </si>
  <si>
    <t>https://www.hupu.com/</t>
  </si>
  <si>
    <t>https://w1.hoopchina.com.cn/images/pc/old/favicon.ico</t>
  </si>
  <si>
    <t>SOOMAL</t>
  </si>
  <si>
    <t>http://www.soomal.com/</t>
  </si>
  <si>
    <t>http://www.soomal.com/favicon.ico</t>
  </si>
  <si>
    <t>评测</t>
  </si>
  <si>
    <t>BOSS直聘</t>
  </si>
  <si>
    <t>https://www.zhipin.com/</t>
  </si>
  <si>
    <t>https://www.zhipin.com/favicon.ico</t>
  </si>
  <si>
    <t>人力资源</t>
  </si>
  <si>
    <t>拉勾</t>
  </si>
  <si>
    <t>https://www.lagou.com/</t>
  </si>
  <si>
    <t>https://www.lgstatic.com/lg-www-fed/common/static/favicon_faed927.ico</t>
  </si>
  <si>
    <t>猎聘</t>
  </si>
  <si>
    <t>https://www.liepin.com/</t>
  </si>
  <si>
    <t>https://concat.lietou-static.com/fe-www-pc/v5/static/favicon.e6edbc00.ico</t>
  </si>
  <si>
    <t>大街</t>
  </si>
  <si>
    <t>https://www.dajie.com/</t>
  </si>
  <si>
    <t>https://assets.dajieimg.com/images/favicon.ico</t>
  </si>
  <si>
    <t>兼职猫</t>
  </si>
  <si>
    <t>https://www.jianzhimao.com/</t>
  </si>
  <si>
    <t>https://oss.aliyuncs.com/jianzhimao/web-res/icon/jianzhimao-logo-min.png?version=20210316..$[+1]</t>
  </si>
  <si>
    <t>https://job.csdn.net/</t>
  </si>
  <si>
    <t>https://job.csdn.net/favicon.ico</t>
  </si>
  <si>
    <t>乔布简历</t>
  </si>
  <si>
    <t>http://cv.qiaobutang.com/</t>
  </si>
  <si>
    <t>http://cv.qiaobutang.com/favicon.ico</t>
  </si>
  <si>
    <t>智联招聘</t>
  </si>
  <si>
    <t>https://www.zhaopin.com/</t>
  </si>
  <si>
    <t>https://common-bucket.zhaopin.cn/img/zhilian-ico/zhilian-ico-1.0.0.png</t>
  </si>
  <si>
    <t>前程无忧</t>
  </si>
  <si>
    <t>https://www.51job.com/</t>
  </si>
  <si>
    <t>https://www.51job.com/favicon.ico</t>
  </si>
  <si>
    <t>游民星空</t>
  </si>
  <si>
    <t>https://www.gamersky.com/</t>
  </si>
  <si>
    <t>https://www.gamersky.com/favicon.ico</t>
  </si>
  <si>
    <t>游戏</t>
  </si>
  <si>
    <t>17173.com</t>
  </si>
  <si>
    <t>https://www.17173.com/</t>
  </si>
  <si>
    <t>https://ue.17173cdn.com/images/lib/v1/favicon-hd.ico</t>
  </si>
  <si>
    <t>未区分</t>
  </si>
  <si>
    <t>TGbus</t>
  </si>
  <si>
    <t>http://www.tgbus.com/</t>
  </si>
  <si>
    <t>http://www.tgbus.com/static/img/favicon.ico</t>
  </si>
  <si>
    <t>52PK</t>
  </si>
  <si>
    <t>https://www.52pk.com/</t>
  </si>
  <si>
    <t>https://www.52pk.com/favicon.ico</t>
  </si>
  <si>
    <t>178.com</t>
  </si>
  <si>
    <t>http://www.178.com/</t>
  </si>
  <si>
    <t>http://cimg.178.com/www/favicon.ico</t>
  </si>
  <si>
    <t>NGA玩家社区</t>
  </si>
  <si>
    <t>https://nga.cn/</t>
  </si>
  <si>
    <t>https://bbs.nga.cn/favicon.ico</t>
  </si>
  <si>
    <t>4399.com</t>
  </si>
  <si>
    <t>http://www.4399.com/</t>
  </si>
  <si>
    <t>4399小游戏</t>
  </si>
  <si>
    <t>http://www.4399.com/favicon.ico</t>
  </si>
  <si>
    <t>小游戏</t>
  </si>
  <si>
    <t>3DMGame</t>
  </si>
  <si>
    <t>https://www.3dmgame.com/</t>
  </si>
  <si>
    <t>https://www.3dmgame.com/favicon.ico</t>
  </si>
  <si>
    <t>单机游戏</t>
  </si>
  <si>
    <t>初录未归挡</t>
  </si>
  <si>
    <t>世界空气质量指数</t>
  </si>
  <si>
    <t>http://aqicn.org/city/shantou/cn/</t>
  </si>
  <si>
    <t>http://aqicn.org/images/favicon.ico</t>
  </si>
  <si>
    <t>微信网页版</t>
  </si>
  <si>
    <t>https://wx.qq.com/</t>
  </si>
  <si>
    <t>https://res.wx.qq.com/a/wx_fed/assets/res/NTI4MWU5.ico</t>
  </si>
  <si>
    <t>印象笔记</t>
  </si>
  <si>
    <t>https://www.yinxiang.com/</t>
  </si>
  <si>
    <t>https://www.yinxiang.com/favicon.ico</t>
  </si>
  <si>
    <t>汽车之家</t>
  </si>
  <si>
    <t>https://www.autohome.com.cn/</t>
  </si>
  <si>
    <t>https://www.autohome.com.cn/favicon.ico</t>
  </si>
  <si>
    <t>中国青年网</t>
  </si>
  <si>
    <t>http://www.youth.cn/</t>
  </si>
  <si>
    <t>维普期刊</t>
  </si>
  <si>
    <t>http://www.cqvip.com</t>
  </si>
  <si>
    <t>偏重科技类期刊论文。目前，举国上下抗战病毒，在疫情防控期间，该网站免费向读者开放学术论文的下载权限，学者们对此表示，怒赞。</t>
  </si>
  <si>
    <t>中文期刊杂志</t>
  </si>
  <si>
    <t>国家哲学社会科学文献中心</t>
  </si>
  <si>
    <t>http://www.ncpssd.org/index.aspx</t>
  </si>
  <si>
    <t>提供中文期刊、古籍及外文期刊全文，主打中文期刊。目前收录期刊数和篇数，不如中国知网CNKI、维普等多，但全网可免费阅览、下载。</t>
  </si>
  <si>
    <t>中国知网</t>
  </si>
  <si>
    <t>https://cnki.net</t>
  </si>
  <si>
    <t>全球最大的中文期刊网站，当然，估计也是最贵的，且年年涨价，颇凶猛。提供简单检索、高级检索、专业检索等检索方式。令人欣喜的是，国家图书馆注册账号后可以免费使用。</t>
  </si>
  <si>
    <t>晚清、民国期刊全文数据库</t>
  </si>
  <si>
    <t>http://www.cnbksy.com</t>
  </si>
  <si>
    <t>《晚清期刊全文数据库》收录了1833—1911年间302期刊，几乎囊括了当时出版的所有期刊，约28万余篇的文章。《民国时期期刊全文数据库》（1911—1949）收录民国时期出版的期刊两万五千余种，文献1000多万篇。两者均可全文检索、PDF下载。</t>
  </si>
  <si>
    <t>读秀/超星</t>
  </si>
  <si>
    <t>http://www.duxiu.com</t>
  </si>
  <si>
    <t>中文电子书</t>
  </si>
  <si>
    <t>爱如生古籍论坛</t>
  </si>
  <si>
    <t>http://forum.er07.com</t>
  </si>
  <si>
    <t>爱如生公司提供的中国古籍免费论坛，注册后可自由下载，包含常见的四库系列、方志舆图、金石考古、海外大型图书馆古籍等系列资源。</t>
  </si>
  <si>
    <t>国学数典论坛/学乐酷：</t>
  </si>
  <si>
    <t>http://bbs.gxsd.com.cn/forum.php</t>
  </si>
  <si>
    <t>民间最流行的文史类古籍交流论坛。</t>
  </si>
  <si>
    <t>爱如生</t>
  </si>
  <si>
    <t>http://er07.com</t>
  </si>
  <si>
    <t>不知道是不是全宇宙最大的中文古籍数据库公司。提供中国基本古籍库、四库系列数据库、方志库、明清档案库、各类报刊库等数据库。以上数据库，均需购买后方可使用。</t>
  </si>
  <si>
    <t>古代佛教文本</t>
  </si>
  <si>
    <t>https://www.ancient-buddhist-texts.net/</t>
  </si>
  <si>
    <t>在线书籍</t>
  </si>
  <si>
    <t>早期佛教文本</t>
  </si>
  <si>
    <t>https://suttacentral.net/</t>
  </si>
  <si>
    <t>挪威奥斯陆大学佛教文献多语对读</t>
  </si>
  <si>
    <t>https://www2.hf.uio.no/polyglotta/index.php?page=library&amp;bid=2</t>
  </si>
  <si>
    <t>（Thesaurus Literaturae Buddhicae）</t>
  </si>
  <si>
    <t>德国哥廷根大学印度古代文本</t>
  </si>
  <si>
    <t>http://gretil.sub.uni-goettingen.de/</t>
  </si>
  <si>
    <t>（Göttingen Register of Electronic Texts in Indian Languages and related Indological materials from Central and Southeast Asia）</t>
  </si>
  <si>
    <t>德国美茵河畔法兰克福歌德大学印欧语文本集成</t>
  </si>
  <si>
    <t>http://titus.uni-frankfurt.de/indexe.htm</t>
  </si>
  <si>
    <t>（Thesaurus Indogermanischer Text- und Sprachmaterialien）</t>
  </si>
  <si>
    <t>德国海德堡大学梵文数字语料库</t>
  </si>
  <si>
    <t>http://kjc-sv013.kjc.uni-heidelberg.de/dcs/index.php</t>
  </si>
  <si>
    <t>中华电子佛典协会</t>
  </si>
  <si>
    <t>http://www.cbeta.org/</t>
  </si>
  <si>
    <t>日本东京大学电子化大正藏</t>
  </si>
  <si>
    <t>http://21dzk.l.u-tokyo.ac.jp/SAT/index_en.html</t>
  </si>
  <si>
    <t>日本东京大学万历版大藏经（嘉兴藏/径山藏）</t>
  </si>
  <si>
    <t>https://dzkimgs.l.u-tokyo.ac.jp/kkz/</t>
  </si>
  <si>
    <t>韩国高丽大藏经在线检索</t>
  </si>
  <si>
    <t>http://kb.sutra.re.kr/ritk_eng/search/searchBranch.do</t>
  </si>
  <si>
    <t>佛教数字资源中心(BDRC)</t>
  </si>
  <si>
    <t>https://www.tbrc.org/</t>
  </si>
  <si>
    <t>美国西来大学数字梵文佛教典籍</t>
  </si>
  <si>
    <t>http://www.dsbcproject.org/</t>
  </si>
  <si>
    <t>（Digital Sanskrit Buddhist Canon）</t>
  </si>
  <si>
    <t>八万四千佛典传译网</t>
  </si>
  <si>
    <t>http://read.84000.co/</t>
  </si>
  <si>
    <t>日本东京大学藏南亚写本</t>
  </si>
  <si>
    <t>http://utlsktms.ioc.u-tokyo.ac.jp/list.php</t>
  </si>
  <si>
    <t>北京大学梵佛研原民族宫藏梵文写本</t>
  </si>
  <si>
    <t>http://fanfoyan.com/ms.htm</t>
  </si>
  <si>
    <t>在线古藏文写本（7-12世纪）</t>
  </si>
  <si>
    <t>http://otdo.aa-ken.jp/</t>
  </si>
  <si>
    <t>德国科隆大学电子化梵文字典</t>
  </si>
  <si>
    <t>http://www.sanskrit-lexicon.uni-koeln.de/</t>
  </si>
  <si>
    <t>（Cologne Digital Sanskrit Dictionaries）</t>
  </si>
  <si>
    <t>犍陀罗语网</t>
  </si>
  <si>
    <t>https://gandhari.org/n_dictionary.php</t>
  </si>
  <si>
    <t>（电子化的梵语、佛教混合梵语、巴利语、犍陀罗语字典）</t>
  </si>
  <si>
    <t>美国芝加哥大学电子化梵文字典</t>
  </si>
  <si>
    <t>https://dsalsrv04.uchicago.edu/dictionaries/apte/</t>
  </si>
  <si>
    <t>Nitartha藏文字典</t>
  </si>
  <si>
    <t>http://nitartha.pythonanywhere.com/search</t>
  </si>
  <si>
    <t>（用威利转写查英文释义）</t>
  </si>
  <si>
    <t>荻原云来《汉译对照梵和大辞典》</t>
  </si>
  <si>
    <t>http://www.manduuka.net/sanskrit/dic/ogdic.htm</t>
  </si>
  <si>
    <t>在线检索版（仅上册可查）</t>
  </si>
  <si>
    <t>佛教研究术语库</t>
  </si>
  <si>
    <t>http://glossaries.dila.edu.tw/</t>
  </si>
  <si>
    <t>（Glossaries for Buddhist Studies）</t>
  </si>
  <si>
    <t>电子佛教词典</t>
  </si>
  <si>
    <t>http://www.buddhism-dict.net/ddb/</t>
  </si>
  <si>
    <t>（Digital Dictionary of Buddhism）</t>
  </si>
  <si>
    <t>丁福保佛学大辞典</t>
  </si>
  <si>
    <t>https://zh.wikisource.org/wiki/%E4%BD%9B%E5%AD%B8%E5%A4%A7%E8%BE%AD%E5%85%B8</t>
  </si>
  <si>
    <t>佛典辞书数位检索系统</t>
  </si>
  <si>
    <t>http://140.112.26.229/cyj/index.py?term=</t>
  </si>
  <si>
    <t>佛光大辞典、佛光大藏经</t>
  </si>
  <si>
    <t>http://etext.fgs.org.tw/</t>
  </si>
  <si>
    <t>德国汉堡大学印藏词汇集</t>
  </si>
  <si>
    <t>https://www.itlr.net/testb.php?md=view</t>
  </si>
  <si>
    <t>（Indo-Tibetan Lexical Resource， ITLR）</t>
  </si>
  <si>
    <t>日本东京大学佛教用语用例集</t>
  </si>
  <si>
    <t>http://www.l.u-tokyo.ac.jp/~b_kosha/start_index.html</t>
  </si>
  <si>
    <t>（五位百法与五位七十五法对应词汇，在阿毗达磨文献和瑜伽行文献中，各自的定义和用例）</t>
  </si>
  <si>
    <t>北京大学梵佛词典</t>
  </si>
  <si>
    <t>http://fanfoyan.com:8080/FDict/#/dictionary</t>
  </si>
  <si>
    <t>中华佛典宝库网梵藏巴利文学习资料下载</t>
  </si>
  <si>
    <t>http://www.fodian.net/yuyan/index.htm</t>
  </si>
  <si>
    <t>台湾佛陀教育基金会藏文书籍下载</t>
  </si>
  <si>
    <t>http://www.budaedu.org/ebooks/6-TI.php</t>
  </si>
  <si>
    <t>佛教研究工具库</t>
  </si>
  <si>
    <t>http://mbingenheimer.net/tools/indexTools.html</t>
  </si>
  <si>
    <t>（Tools for Buddhist Studies）</t>
  </si>
  <si>
    <t>华梵网佛教研究资源导航</t>
  </si>
  <si>
    <t>http://huafan.org.cn/index.php?m=Page&amp;amp;amp;a=index&amp;id=50</t>
  </si>
  <si>
    <t>佛教藏经目录数位资料库</t>
  </si>
  <si>
    <t>http://t.cn/zOaEKAz</t>
  </si>
  <si>
    <t>中华佛学研究所，中国佛教寺庙志数位典藏</t>
  </si>
  <si>
    <t>http://t.cn/zOmolCZ</t>
  </si>
  <si>
    <t>法鼓佛教学院，佛教规范资料库</t>
  </si>
  <si>
    <t>http://t.cn/zOhOWV5</t>
  </si>
  <si>
    <t>中国佛教数字目录</t>
  </si>
  <si>
    <t>http://t.cn/8kdrF2K</t>
  </si>
  <si>
    <t>中华佛学研究所</t>
  </si>
  <si>
    <t>http://t.cn/zOAOa4U</t>
  </si>
  <si>
    <t>，宋元明清汉传佛教人物资料库</t>
  </si>
  <si>
    <t>佛教学术资源在线指南</t>
  </si>
  <si>
    <t>http://t.cn/8kBtMGt</t>
  </si>
  <si>
    <t>近代中国佛教检索，1850-1950年</t>
  </si>
  <si>
    <t>http://t.cn/8k10SmL</t>
  </si>
  <si>
    <t>创価大学国际佛教学高等研究所</t>
  </si>
  <si>
    <t>http://iriab.soka.ac.jp/orc/seika.html</t>
  </si>
  <si>
    <t>各版本藏经下载</t>
  </si>
  <si>
    <t>http://grandsutras.org/</t>
  </si>
  <si>
    <t>佛教大藏经、大清乾隆大藏经（龙藏）、永乐北藏、中华大藏经、大正藏、卍续藏经、佛梅电子大藏经、佛教巴利文大藏经、西藏佛教藏文大藏经</t>
  </si>
  <si>
    <t>藏经阁佛学辞典集成</t>
  </si>
  <si>
    <t>http://www.baus-ebs.org/sutra.html</t>
  </si>
  <si>
    <t>《中国金石总录》全拓全文数字版</t>
  </si>
  <si>
    <t>http://www.ch5000.com.cn</t>
  </si>
  <si>
    <t>中华寻根网</t>
  </si>
  <si>
    <t>http://ouroots.nlc.cn</t>
  </si>
  <si>
    <t>汉籍电子文献（含中华民国史事日志等）</t>
  </si>
  <si>
    <t>http://hanji.sinica.edu.tw/index.html</t>
  </si>
  <si>
    <t>中国历代墓志数据库</t>
  </si>
  <si>
    <t>http://csid.zju.edu.cn</t>
  </si>
  <si>
    <t>“中研院”史語所漢籍電子文獻數據庫</t>
  </si>
  <si>
    <t>http://t.cn/akuhEu</t>
  </si>
  <si>
    <t>东京大学东洋文化研究所汉籍善本全文影像资料库</t>
  </si>
  <si>
    <t>http://t.cn/aoxNuq</t>
  </si>
  <si>
    <t>東京大學東洋文化研究所雙紅堂文庫全文影像資料庫</t>
  </si>
  <si>
    <t>http://t.cn/zTyT450</t>
  </si>
  <si>
    <t>日本學習院大學東洋文化研究所所藏古典籍</t>
  </si>
  <si>
    <t>http://t.cn/8k3IHye</t>
  </si>
  <si>
    <t>京都大學人文科學研究所在線版四庫提要</t>
  </si>
  <si>
    <t>http://t.cn/aNmUFV</t>
  </si>
  <si>
    <t>京都大學人文科學研究所東方學デジタル圖書館</t>
  </si>
  <si>
    <t>http://t.cn/aoHBzA</t>
  </si>
  <si>
    <t>早稻田大学古典籍総合</t>
  </si>
  <si>
    <t>http://t.cn/hGhxOv</t>
  </si>
  <si>
    <t>京都大學電子圖書館貴重資料畫像數據庫</t>
  </si>
  <si>
    <t>http://t.cn/zjyfHfq</t>
  </si>
  <si>
    <t>中國哲學書電子化計劃</t>
  </si>
  <si>
    <t>http://t.cn/zRO0E0e</t>
  </si>
  <si>
    <t>“中央研究院”汉籍电子文献瀚典全文检索系统</t>
  </si>
  <si>
    <t>http://t.cn/ao1wf9</t>
  </si>
  <si>
    <t>台灣網上書上網─數位典藏與學習電子書庫</t>
  </si>
  <si>
    <t>http://t.cn/a9lJX9</t>
  </si>
  <si>
    <t>故宮博物院和東吳大學數位古今圖書集成</t>
  </si>
  <si>
    <t>http://t.cn/a3PqU3</t>
  </si>
  <si>
    <t>《工部局董事会会议录》28册</t>
  </si>
  <si>
    <t>http://t.cn/8kUQCOh</t>
  </si>
  <si>
    <t>康奈尔大学，华生中国收藏</t>
  </si>
  <si>
    <t>http://t.cn/8k136fl</t>
  </si>
  <si>
    <t>輔仁大學歷史學系等南京教區契約文書數位典藏計劃</t>
  </si>
  <si>
    <t>http://t.cn/8kyFO2y</t>
  </si>
  <si>
    <t>賴永祥長老史料庫</t>
  </si>
  <si>
    <t>http://t.cn/8FKtJAH</t>
  </si>
  <si>
    <t>劍橋大學圖書館館藏中國叢書綜合目錄檢索</t>
  </si>
  <si>
    <t>http://t.cn/8kZMTQk</t>
  </si>
  <si>
    <t>中國大陸各省地方志書目查詢系統</t>
  </si>
  <si>
    <t>http://t.cn/hcZpm1</t>
  </si>
  <si>
    <t>東洋学文献類目検索</t>
  </si>
  <si>
    <t>http://t.cn/zTX4c28</t>
  </si>
  <si>
    <t>日本全国汉籍检索系统</t>
  </si>
  <si>
    <t>http://t.cn/aCMEfI</t>
  </si>
  <si>
    <t>清代檔案人名權威資料查詢</t>
  </si>
  <si>
    <t>http://t.cn/zR6uYkd</t>
  </si>
  <si>
    <t>“中研院”國際電腦漢字及異體字知識庫</t>
  </si>
  <si>
    <t>http://t.cn/hgsrrH</t>
  </si>
  <si>
    <t>“中研院”語言學研究所等搜文解字</t>
  </si>
  <si>
    <t>http://t.cn/8kx2foj</t>
  </si>
  <si>
    <t>“中央研究院”語言學研究所漢字知識本體</t>
  </si>
  <si>
    <t>http://t.cn/8FA0ncX</t>
  </si>
  <si>
    <t>缺字系統</t>
  </si>
  <si>
    <t>http://t.cn/zThmsVi</t>
  </si>
  <si>
    <t>中國文化大學中華百科全書</t>
  </si>
  <si>
    <t>http://t.cn/akc9jE</t>
  </si>
  <si>
    <t>海德堡大学汉学文典</t>
  </si>
  <si>
    <t>http://t.cn/zRjMO6v</t>
  </si>
  <si>
    <t>海德堡大学早期《申报》索引</t>
  </si>
  <si>
    <t>http://t.cn/zRlkFch</t>
  </si>
  <si>
    <t>中文和合本聖經查詢系統</t>
  </si>
  <si>
    <t>http://t.cn/h0XGb</t>
  </si>
  <si>
    <t>澳門期刊論文索引</t>
  </si>
  <si>
    <t>http://t.cn/8FLGer7</t>
  </si>
  <si>
    <t>台湾NCL中国文化研究论文目录</t>
  </si>
  <si>
    <t>http://t.cn/8kJECgC</t>
  </si>
  <si>
    <t>台湾民间传说主题资料库</t>
  </si>
  <si>
    <t>http://t.cn/8F24jwG</t>
  </si>
  <si>
    <t>台湾人文及社会科学引文索引资料库</t>
  </si>
  <si>
    <t>http://t.cn/8F240WC</t>
  </si>
  <si>
    <t>台灣文史哲論文集篇目索引系統</t>
  </si>
  <si>
    <t>http://t.cn/8kixsvj</t>
  </si>
  <si>
    <t>台北学研究主题资料库</t>
  </si>
  <si>
    <t>http://t.cn/8F240Wo</t>
  </si>
  <si>
    <t>臺灣大學法律學院臺灣日治時期統計資料庫</t>
  </si>
  <si>
    <t>http://t.cn/zROOF7V</t>
  </si>
  <si>
    <t>中華佛學研究所中國佛教寺廟志數位典藏</t>
  </si>
  <si>
    <t>（台）“国家图书馆”汉学研究中心</t>
  </si>
  <si>
    <t>http://t.cn/z0e1YLv</t>
  </si>
  <si>
    <t>北京外国语大学中国海外汉学研究中心</t>
  </si>
  <si>
    <t>http://t.cn/8FC1rBK</t>
  </si>
  <si>
    <t>香港城市大學邵逸夫圖書館電子典藏</t>
  </si>
  <si>
    <t>http://t.cn/8kwNPNn</t>
  </si>
  <si>
    <t>香港科技大学图书馆特藏及档案数据库</t>
  </si>
  <si>
    <t>http://t.cn/zRC8rbD</t>
  </si>
  <si>
    <t>香港大學學術庫</t>
  </si>
  <si>
    <t>http://t.cn/h6L5p0</t>
  </si>
  <si>
    <t>“中央研究院”數位典藏資源網</t>
  </si>
  <si>
    <t>http://t.cn/ao1wfN</t>
  </si>
  <si>
    <t>典藏台湾，七百多个数据库一网打尽</t>
  </si>
  <si>
    <t>http://t.cn/hBrAbA</t>
  </si>
  <si>
    <t>臺大數位典藏中心，國家文化資料庫</t>
  </si>
  <si>
    <t>http://t.cn/8kpvFab</t>
  </si>
  <si>
    <t>臺灣大學圖書館臺灣機構典藏</t>
  </si>
  <si>
    <t>http://t.cn/hGVTOA</t>
  </si>
  <si>
    <t>新竹清華大學機構典藏</t>
  </si>
  <si>
    <t>http://t.cn/8kPTrIQ</t>
  </si>
  <si>
    <t>澳門大學澳門電子資源全文網</t>
  </si>
  <si>
    <t>http://t.cn/8FLGerh</t>
  </si>
  <si>
    <t>个人站点</t>
  </si>
  <si>
    <t>果核剥壳</t>
  </si>
  <si>
    <t>https://www.ghpym.com/</t>
  </si>
  <si>
    <t>还原软件的本质</t>
  </si>
  <si>
    <t>https://img.lguohe.com/uploads/2020/10/ghfavicon.png</t>
  </si>
  <si>
    <t>夜雨聆风VIP视频解析</t>
  </si>
  <si>
    <t>https://vip.yeyulingfeng.com/</t>
  </si>
  <si>
    <t>https://vip.yeyulingfeng.com/favicon.ico</t>
  </si>
  <si>
    <t>茶杯狐</t>
  </si>
  <si>
    <t>https://www.cupfox.com/</t>
  </si>
  <si>
    <t xml:space="preserve"> Cupfox - 努力让找电影变得简单</t>
  </si>
  <si>
    <t>https://i.loli.net/2018/08/04/5b65b28a65aae.png</t>
  </si>
  <si>
    <t>顶空影视</t>
  </si>
  <si>
    <t>https://www.dikotv.com/</t>
  </si>
  <si>
    <t>VIP电影美剧无广告免费在线播放</t>
  </si>
  <si>
    <t>https://cdn.jsdelivr.net/gh/vikinglzh/blackcdn/web/img/favicon.ico</t>
  </si>
  <si>
    <t>九九美剧</t>
  </si>
  <si>
    <t>https://www.jjmj.tv/</t>
  </si>
  <si>
    <t>天天美剧在线观看_美剧迷真正的美剧天堂</t>
  </si>
  <si>
    <t>https://www.jjmj.tv/statics/img/favicon.ico</t>
  </si>
  <si>
    <t>网页转换助手</t>
  </si>
  <si>
    <t>http://www.html22.com/zh/</t>
  </si>
  <si>
    <t>在线工具</t>
  </si>
  <si>
    <t>思谋学术</t>
  </si>
  <si>
    <t>https://ac.scmor.com/</t>
  </si>
  <si>
    <t>学术镜像</t>
  </si>
  <si>
    <t>少数派</t>
  </si>
  <si>
    <t>https://sspai.com/</t>
  </si>
  <si>
    <t>后续</t>
  </si>
  <si>
    <t>https://houxu.app/</t>
  </si>
  <si>
    <t>GitNavi</t>
  </si>
  <si>
    <t>http://www.gitnavi.com/</t>
  </si>
  <si>
    <t>http://www.gitnavi.com/favicon.ico</t>
  </si>
  <si>
    <t>网站导航</t>
  </si>
  <si>
    <t>亿万导航</t>
  </si>
  <si>
    <t>https://www.yiw1.com/</t>
  </si>
  <si>
    <t>https://www.yiw1.com/wp-content/uploads/2020/06/cropped-QQ%E5%9B%BE%E7%89%8720200620110002-32x32.jpg</t>
  </si>
  <si>
    <t>洽初导航</t>
  </si>
  <si>
    <t>http://qiachu.com/</t>
  </si>
  <si>
    <t>http://www.qiachu.com/zb_users/theme/suiranx_nav/image/favicon.ico</t>
  </si>
  <si>
    <t>搜图导航</t>
  </si>
  <si>
    <t>https://www.91sotu.com/</t>
  </si>
  <si>
    <t>https://www.91sotu.com/file/img/favicon.ico</t>
  </si>
  <si>
    <t>98导航</t>
  </si>
  <si>
    <t>http://98dh.cc/</t>
  </si>
  <si>
    <t>http://98dh.cc/images/favicon.ico</t>
  </si>
  <si>
    <t>果汁导航</t>
  </si>
  <si>
    <t>http://www.guozhivip.com/</t>
  </si>
  <si>
    <t>http://www.guozhivip.com/images/ic.ico</t>
  </si>
  <si>
    <t>在线图书馆导航</t>
  </si>
  <si>
    <t>https://www.zxlib.com/</t>
  </si>
  <si>
    <t>https://www.zxlib.com/wp-content/themes/webstack/images/favicon.png</t>
  </si>
  <si>
    <t>龙喵网</t>
  </si>
  <si>
    <t>https://ailongmiao.com/</t>
  </si>
  <si>
    <t>https://media.ailongmiao.com/favicon.ico</t>
  </si>
  <si>
    <t>咪起了导航</t>
  </si>
  <si>
    <t>https://www.miqile.cn/</t>
  </si>
  <si>
    <t>https://www.miqile.cn/wp-content/uploads/2020/09/cropped-20200922145127750476-4-32x32.png</t>
  </si>
  <si>
    <t>沃客导航</t>
  </si>
  <si>
    <t>http://www.waysto.work/</t>
  </si>
  <si>
    <t>http://www.waysto.work/favicon.ico</t>
  </si>
  <si>
    <t>别闹</t>
  </si>
  <si>
    <t>https://bienao.com/</t>
  </si>
  <si>
    <t>https://static.bienao.com/favicon.ico</t>
  </si>
  <si>
    <t>后期狗(GO)导航</t>
  </si>
  <si>
    <t>http://houqigo.com/</t>
  </si>
  <si>
    <t>http://res.houqigo.com/wp-content/uploads/2020/04/favicon.png</t>
  </si>
  <si>
    <t>24k导航</t>
  </si>
  <si>
    <t>https://www.24kdh.com/</t>
  </si>
  <si>
    <t>https://www.24kdh.com/wp-content/uploads/2020/07/201910021570016173270585-3.ico</t>
  </si>
  <si>
    <t>快导航网</t>
  </si>
  <si>
    <t>https://www.hifast.cn/</t>
  </si>
  <si>
    <t>https://www.hifast.cn/wp-content/uploads/2021/02/hifast.png</t>
  </si>
  <si>
    <t>思古搜</t>
  </si>
  <si>
    <t>https://siguso.com/</t>
  </si>
  <si>
    <t>https://siguso.com/favicon.ico</t>
  </si>
  <si>
    <t>笔点</t>
  </si>
  <si>
    <t>https://www.bidianer.com/</t>
  </si>
  <si>
    <t>https://www.bidianer.com/favicon.ico</t>
  </si>
  <si>
    <t>演示导航</t>
  </si>
  <si>
    <t>https://www.aboutppt.com/</t>
  </si>
  <si>
    <t>https://www.aboutppt.com/wp-content/uploads/2020/09/ico.ico</t>
  </si>
  <si>
    <t>学渣网</t>
  </si>
  <si>
    <t>https://www.xuezha.cn/</t>
  </si>
  <si>
    <t>https://www.xuezha.cn/wp-content/uploads/2021/02/favicon.ico</t>
  </si>
  <si>
    <t>404导航</t>
  </si>
  <si>
    <t>https://www.404dh.icu/</t>
  </si>
  <si>
    <t>https://www.404dh.icu/wp-content/uploads/2020/01/no404_favicon.ico</t>
  </si>
  <si>
    <t>站搜搜</t>
  </si>
  <si>
    <t>https://www.zhansousou.com/</t>
  </si>
  <si>
    <t>搜奇导航</t>
  </si>
  <si>
    <t>https://www.souqidaohang.com/</t>
  </si>
  <si>
    <t>小呆导航</t>
  </si>
  <si>
    <t>https://webjike.com/dutynav.html</t>
  </si>
  <si>
    <t>搜酷站</t>
  </si>
  <si>
    <t>https://www.soukuzhan.com/</t>
  </si>
  <si>
    <t>freepikcompany</t>
  </si>
  <si>
    <t>https://www.freepikcompany.com/</t>
  </si>
  <si>
    <t>freepik公司</t>
  </si>
  <si>
    <t>freepik</t>
  </si>
  <si>
    <t>https://www.freepik.com/</t>
  </si>
  <si>
    <t>Freepik是一个搜索引擎，可以帮助用户为自己的创意项目找到高质量的免费照片，矢量图像，插图和PSD文件。查找免费矢量图库，库存照片和PSD</t>
  </si>
  <si>
    <t>https://freepik.cdnpk.net/img/favicons/favicon.ico?v=2018082101</t>
  </si>
  <si>
    <t>图形搜索</t>
  </si>
  <si>
    <t>flaticon</t>
  </si>
  <si>
    <t>https://www.flaticon.com/</t>
  </si>
  <si>
    <t>世界上最大的免费可自定义图标数据库。Flaticon拥有数百万种各种格式的图标。</t>
  </si>
  <si>
    <t>https://media.flaticon.com/dist/min/img/favicon.ico</t>
  </si>
  <si>
    <t>slidesgo</t>
  </si>
  <si>
    <t>https://slidesgo.com/</t>
  </si>
  <si>
    <t>免费的Google幻灯片和PowerPoint模板</t>
  </si>
  <si>
    <t>https://slidesgo.com/favicon-32x32.png</t>
  </si>
  <si>
    <t>幻灯片</t>
  </si>
  <si>
    <t>民主党派</t>
  </si>
  <si>
    <t>中国致公党</t>
  </si>
  <si>
    <t>http://www.zg.org.cn/</t>
  </si>
  <si>
    <t>致公党</t>
  </si>
  <si>
    <t>台湾民主自治同盟</t>
  </si>
  <si>
    <t>https://www.taimeng.org.cn/</t>
  </si>
  <si>
    <t>台盟</t>
  </si>
  <si>
    <t>中国农工民主党</t>
  </si>
  <si>
    <t>http://www.ngd.org.cn/</t>
  </si>
  <si>
    <t>农工党</t>
  </si>
  <si>
    <t>中国民主同盟</t>
  </si>
  <si>
    <t>https://www.mmzy.org.cn/</t>
  </si>
  <si>
    <t>民盟</t>
  </si>
  <si>
    <t>中国民主促进会</t>
  </si>
  <si>
    <t>https://www.mj.org.cn/</t>
  </si>
  <si>
    <t>民进</t>
  </si>
  <si>
    <t>中国民主建国会</t>
  </si>
  <si>
    <t>https://www.cndca.org.cn/</t>
  </si>
  <si>
    <t>民建</t>
  </si>
  <si>
    <t>中国国民党革命委员会</t>
  </si>
  <si>
    <t>http://www.minge.gov.cn/</t>
  </si>
  <si>
    <t>民革</t>
  </si>
  <si>
    <t>九三学社</t>
  </si>
  <si>
    <t>http://www.93.gov.cn/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</si>
  <si>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</si>
  <si>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</si>
  <si>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</si>
  <si>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</si>
  <si>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</si>
  <si>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</si>
  <si>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</si>
  <si>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</si>
  <si>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</si>
  <si>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</si>
  <si>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</si>
  <si>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</si>
  <si>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</si>
  <si>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</si>
  <si>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</si>
  <si>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</si>
  <si>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</si>
  <si>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</si>
  <si>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</si>
  <si>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</si>
  <si>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</si>
  <si>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</si>
  <si>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</si>
  <si>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</si>
  <si>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</si>
  <si>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党委</t>
  </si>
  <si>
    <t>人大</t>
  </si>
  <si>
    <t>名企品集</t>
  </si>
  <si>
    <t>排序</t>
  </si>
  <si>
    <t>个数</t>
    <phoneticPr fontId="1" type="noConversion"/>
  </si>
  <si>
    <t>版层分类</t>
    <phoneticPr fontId="1" type="noConversion"/>
  </si>
  <si>
    <t>列26</t>
  </si>
  <si>
    <t>列27</t>
  </si>
  <si>
    <t>列28</t>
  </si>
  <si>
    <t>列29</t>
  </si>
  <si>
    <t>列30</t>
  </si>
  <si>
    <t>列31</t>
  </si>
  <si>
    <t>政府</t>
    <phoneticPr fontId="1" type="noConversion"/>
  </si>
  <si>
    <t>国务院</t>
    <phoneticPr fontId="1" type="noConversion"/>
  </si>
  <si>
    <t>政协</t>
    <phoneticPr fontId="1" type="noConversion"/>
  </si>
  <si>
    <t>首次要关键词</t>
    <phoneticPr fontId="1" type="noConversion"/>
  </si>
  <si>
    <t>序号</t>
    <phoneticPr fontId="1" type="noConversion"/>
  </si>
  <si>
    <t>其他</t>
    <phoneticPr fontId="1" type="noConversion"/>
  </si>
  <si>
    <t>民主党派</t>
    <phoneticPr fontId="1" type="noConversion"/>
  </si>
  <si>
    <t>初录未归挡</t>
    <phoneticPr fontId="1" type="noConversion"/>
  </si>
  <si>
    <t>初录未归挡1</t>
    <phoneticPr fontId="1" type="noConversion"/>
  </si>
  <si>
    <t>上网首访</t>
  </si>
  <si>
    <t>上网首访</t>
    <phoneticPr fontId="1" type="noConversion"/>
  </si>
  <si>
    <t>党委</t>
    <phoneticPr fontId="1" type="noConversion"/>
  </si>
  <si>
    <t>http://www.xzdw.gov.cn/</t>
    <phoneticPr fontId="1" type="noConversion"/>
  </si>
  <si>
    <t>拉萨市</t>
  </si>
  <si>
    <t>拉萨市</t>
    <phoneticPr fontId="1" type="noConversion"/>
  </si>
  <si>
    <t>昌都市</t>
  </si>
  <si>
    <t>山南市</t>
  </si>
  <si>
    <t>山南市</t>
    <phoneticPr fontId="1" type="noConversion"/>
  </si>
  <si>
    <t>日喀则市</t>
  </si>
  <si>
    <t>日喀则市</t>
    <phoneticPr fontId="1" type="noConversion"/>
  </si>
  <si>
    <t>林芝市</t>
  </si>
  <si>
    <t>林芝市</t>
    <phoneticPr fontId="1" type="noConversion"/>
  </si>
  <si>
    <t>那曲市</t>
  </si>
  <si>
    <t>那曲市</t>
    <phoneticPr fontId="1" type="noConversion"/>
  </si>
  <si>
    <t>阿里地区</t>
  </si>
  <si>
    <t>阿里地区</t>
    <phoneticPr fontId="1" type="noConversion"/>
  </si>
  <si>
    <t>党委</t>
    <phoneticPr fontId="1" type="noConversion"/>
  </si>
  <si>
    <t>http://lasa.xzdw.gov.cn/</t>
  </si>
  <si>
    <t>http://cd.xzdw.gov.cn/</t>
    <phoneticPr fontId="1" type="noConversion"/>
  </si>
  <si>
    <t>http://sn.xzdw.gov.cn/</t>
    <phoneticPr fontId="1" type="noConversion"/>
  </si>
  <si>
    <t>http://rikaze.xzdw.gov.cn/</t>
    <phoneticPr fontId="1" type="noConversion"/>
  </si>
  <si>
    <t>http://lz.xzdw.gov.cn/</t>
    <phoneticPr fontId="1" type="noConversion"/>
  </si>
  <si>
    <t>http://nq.xzdw.gov.cn/</t>
    <phoneticPr fontId="1" type="noConversion"/>
  </si>
  <si>
    <t>http://ali.xzdw.gov.cn/</t>
    <phoneticPr fontId="1" type="noConversion"/>
  </si>
  <si>
    <t>西藏自治区党委</t>
    <phoneticPr fontId="1" type="noConversion"/>
  </si>
  <si>
    <t>拉萨市党委</t>
  </si>
  <si>
    <t>昌都市党委</t>
  </si>
  <si>
    <t>山南市党委</t>
  </si>
  <si>
    <t>日喀则市党委</t>
  </si>
  <si>
    <t>林芝市党委</t>
  </si>
  <si>
    <t>那曲市党委</t>
  </si>
  <si>
    <t>阿里地区党委</t>
  </si>
  <si>
    <t>想看什么</t>
  </si>
  <si>
    <t>想看什么</t>
    <phoneticPr fontId="1" type="noConversion"/>
  </si>
  <si>
    <t>大金融</t>
  </si>
  <si>
    <t>大金融</t>
    <phoneticPr fontId="1" type="noConversion"/>
  </si>
  <si>
    <t>银行</t>
  </si>
  <si>
    <t>银行</t>
    <phoneticPr fontId="1" type="noConversion"/>
  </si>
  <si>
    <t>保险</t>
  </si>
  <si>
    <t>保险</t>
    <phoneticPr fontId="1" type="noConversion"/>
  </si>
  <si>
    <t>证券</t>
  </si>
  <si>
    <t>证券</t>
    <phoneticPr fontId="1" type="noConversion"/>
  </si>
  <si>
    <t>基金</t>
    <phoneticPr fontId="1" type="noConversion"/>
  </si>
  <si>
    <t>保险</t>
    <phoneticPr fontId="1" type="noConversion"/>
  </si>
  <si>
    <t>证券</t>
    <phoneticPr fontId="1" type="noConversion"/>
  </si>
  <si>
    <t>银行</t>
    <phoneticPr fontId="1" type="noConversion"/>
  </si>
  <si>
    <t>精品</t>
    <phoneticPr fontId="1" type="noConversion"/>
  </si>
  <si>
    <t>名企</t>
  </si>
  <si>
    <t>名企</t>
    <phoneticPr fontId="1" type="noConversion"/>
  </si>
  <si>
    <t>综合</t>
  </si>
  <si>
    <t>综合</t>
    <phoneticPr fontId="1" type="noConversion"/>
  </si>
  <si>
    <t>其他</t>
    <phoneticPr fontId="1" type="noConversion"/>
  </si>
  <si>
    <t>娱乐</t>
    <phoneticPr fontId="1" type="noConversion"/>
  </si>
  <si>
    <t>军事</t>
  </si>
  <si>
    <t>军事</t>
    <phoneticPr fontId="1" type="noConversion"/>
  </si>
  <si>
    <t>财经</t>
    <phoneticPr fontId="1" type="noConversion"/>
  </si>
  <si>
    <t>推荐</t>
    <phoneticPr fontId="1" type="noConversion"/>
  </si>
  <si>
    <t>网络电视</t>
    <phoneticPr fontId="1" type="noConversion"/>
  </si>
  <si>
    <t>电商</t>
    <phoneticPr fontId="1" type="noConversion"/>
  </si>
  <si>
    <t>腾讯</t>
  </si>
  <si>
    <t>腾讯</t>
    <phoneticPr fontId="1" type="noConversion"/>
  </si>
  <si>
    <t>阿里</t>
  </si>
  <si>
    <t>阿里</t>
    <phoneticPr fontId="1" type="noConversion"/>
  </si>
  <si>
    <t>数字资源</t>
  </si>
  <si>
    <t>数字资源</t>
    <phoneticPr fontId="1" type="noConversion"/>
  </si>
  <si>
    <t>在线工具</t>
    <phoneticPr fontId="1" type="noConversion"/>
  </si>
  <si>
    <t>翻译</t>
    <phoneticPr fontId="1" type="noConversion"/>
  </si>
  <si>
    <t>院校</t>
  </si>
  <si>
    <t>院校</t>
    <phoneticPr fontId="1" type="noConversion"/>
  </si>
  <si>
    <t>山东大学</t>
    <phoneticPr fontId="1" type="noConversion"/>
  </si>
  <si>
    <t>台湾大学</t>
  </si>
  <si>
    <t>香港大学</t>
    <phoneticPr fontId="1" type="noConversion"/>
  </si>
  <si>
    <t>哈佛大学</t>
  </si>
  <si>
    <t>哈佛大学</t>
    <phoneticPr fontId="1" type="noConversion"/>
  </si>
  <si>
    <t>哥伦比亚大学</t>
  </si>
  <si>
    <t>内江师范学院</t>
  </si>
  <si>
    <t>内江师范学院</t>
    <phoneticPr fontId="1" type="noConversion"/>
  </si>
  <si>
    <t>英国剑桥大学</t>
    <phoneticPr fontId="1" type="noConversion"/>
  </si>
  <si>
    <t>院校</t>
    <phoneticPr fontId="1" type="noConversion"/>
  </si>
  <si>
    <t>网页</t>
    <phoneticPr fontId="1" type="noConversion"/>
  </si>
  <si>
    <t>聊天</t>
  </si>
  <si>
    <t>聊天</t>
    <phoneticPr fontId="1" type="noConversion"/>
  </si>
  <si>
    <t>笔记</t>
  </si>
  <si>
    <t>笔记</t>
    <phoneticPr fontId="1" type="noConversion"/>
  </si>
  <si>
    <t>机关媒体</t>
  </si>
  <si>
    <t>机关媒体</t>
    <phoneticPr fontId="1" type="noConversion"/>
  </si>
  <si>
    <t>其他</t>
    <phoneticPr fontId="1" type="noConversion"/>
  </si>
  <si>
    <t>中央媒体</t>
    <phoneticPr fontId="1" type="noConversion"/>
  </si>
  <si>
    <t>http://www.china.com.cn/index.shtml</t>
    <phoneticPr fontId="1" type="noConversion"/>
  </si>
  <si>
    <t>http://www.81.cn/</t>
    <phoneticPr fontId="1" type="noConversion"/>
  </si>
  <si>
    <t>中国军网</t>
    <phoneticPr fontId="1" type="noConversion"/>
  </si>
  <si>
    <t>解放军报社</t>
    <phoneticPr fontId="1" type="noConversion"/>
  </si>
  <si>
    <t>http://www.cri.cn/</t>
    <phoneticPr fontId="1" type="noConversion"/>
  </si>
  <si>
    <t>http://www.stdaily.com/</t>
    <phoneticPr fontId="1" type="noConversion"/>
  </si>
  <si>
    <t>中国科技网</t>
    <phoneticPr fontId="1" type="noConversion"/>
  </si>
  <si>
    <t>科技日报</t>
    <phoneticPr fontId="1" type="noConversion"/>
  </si>
  <si>
    <t>http://www.jjjcb.cn/</t>
    <phoneticPr fontId="1" type="noConversion"/>
  </si>
  <si>
    <t>中国纪检监察报</t>
    <phoneticPr fontId="1" type="noConversion"/>
  </si>
  <si>
    <t>中国妇女报</t>
    <phoneticPr fontId="1" type="noConversion"/>
  </si>
  <si>
    <t>http://www.cnwomen.com.cn/</t>
    <phoneticPr fontId="1" type="noConversion"/>
  </si>
  <si>
    <t>中国妇女网</t>
    <phoneticPr fontId="1" type="noConversion"/>
  </si>
  <si>
    <t>http://www.farmer.com.cn/</t>
    <phoneticPr fontId="1" type="noConversion"/>
  </si>
  <si>
    <t>中国农网</t>
    <phoneticPr fontId="1" type="noConversion"/>
  </si>
  <si>
    <t>农民日报</t>
    <phoneticPr fontId="1" type="noConversion"/>
  </si>
  <si>
    <t>中国青年报</t>
    <phoneticPr fontId="1" type="noConversion"/>
  </si>
  <si>
    <t>工人日报</t>
    <phoneticPr fontId="1" type="noConversion"/>
  </si>
  <si>
    <t>http://www.legaldaily.com.cn/</t>
    <phoneticPr fontId="1" type="noConversion"/>
  </si>
  <si>
    <t>法制网</t>
    <phoneticPr fontId="1" type="noConversion"/>
  </si>
  <si>
    <t>法制日报</t>
    <phoneticPr fontId="1" type="noConversion"/>
  </si>
  <si>
    <t>中新社</t>
    <phoneticPr fontId="1" type="noConversion"/>
  </si>
  <si>
    <t>文字图标</t>
  </si>
  <si>
    <t>文字图标</t>
    <phoneticPr fontId="1" type="noConversion"/>
  </si>
  <si>
    <t>https://egame.qq.com/</t>
  </si>
  <si>
    <t>https://egame.qq.com/favicon.ico</t>
  </si>
  <si>
    <t>游戏</t>
    <phoneticPr fontId="1" type="noConversion"/>
  </si>
  <si>
    <t>http://www.12371.cn/</t>
    <phoneticPr fontId="1" type="noConversion"/>
  </si>
  <si>
    <t>共产党员网</t>
    <phoneticPr fontId="1" type="noConversion"/>
  </si>
  <si>
    <t>http://p4.img.cctvpic.com/photoAlbum/templet/common/DEPA1356314678315297/sy_dyw377.ico</t>
    <phoneticPr fontId="1" type="noConversion"/>
  </si>
  <si>
    <t>已备案</t>
  </si>
  <si>
    <t>非经营性</t>
  </si>
  <si>
    <t>http://www.npc.gov.cn/</t>
    <phoneticPr fontId="1" type="noConversion"/>
  </si>
  <si>
    <t>中国人大网</t>
    <phoneticPr fontId="1" type="noConversion"/>
  </si>
  <si>
    <t>经营性</t>
  </si>
  <si>
    <t>境外</t>
  </si>
  <si>
    <t>斗图界的Google</t>
  </si>
  <si>
    <t>企鹅电竞</t>
  </si>
  <si>
    <t>数据库索引</t>
  </si>
  <si>
    <t>香港大学</t>
  </si>
  <si>
    <t>东亚图书馆</t>
  </si>
  <si>
    <t>公開取用電子書</t>
  </si>
  <si>
    <t>台湾历史数位图书馆研究工具集</t>
  </si>
  <si>
    <t>英国剑桥大学</t>
  </si>
  <si>
    <t>山东大学</t>
  </si>
  <si>
    <t>Fontello</t>
  </si>
  <si>
    <t>https://fontello.com/</t>
  </si>
  <si>
    <t xml:space="preserve"> icon fonts generator</t>
  </si>
  <si>
    <t>IcoMoon</t>
  </si>
  <si>
    <t>https://icomoon.io/</t>
  </si>
  <si>
    <t>Font Awesome</t>
  </si>
  <si>
    <t>https://fontawesome.dashgame.com/</t>
  </si>
  <si>
    <t>可访</t>
  </si>
  <si>
    <t>媒体</t>
    <phoneticPr fontId="1" type="noConversion"/>
  </si>
  <si>
    <t xml:space="preserve"> </t>
    <phoneticPr fontId="1" type="noConversion"/>
  </si>
  <si>
    <t>https://y.qq.com/</t>
  </si>
  <si>
    <t>QQ音乐</t>
    <phoneticPr fontId="1" type="noConversion"/>
  </si>
  <si>
    <t>https://y.qq.com/favicon.ico</t>
  </si>
  <si>
    <t xml:space="preserve"> </t>
    <phoneticPr fontId="1" type="noConversion"/>
  </si>
  <si>
    <t>https://www.cakego.cn/</t>
    <phoneticPr fontId="1" type="noConversion"/>
  </si>
  <si>
    <t>https://www.cakego.cn/favicon.ico</t>
    <phoneticPr fontId="1" type="noConversion"/>
  </si>
  <si>
    <t>制造者收录网</t>
    <phoneticPr fontId="1" type="noConversion"/>
  </si>
  <si>
    <t xml:space="preserve"> </t>
    <phoneticPr fontId="1" type="noConversion"/>
  </si>
  <si>
    <t>优雅二次元导航</t>
    <phoneticPr fontId="1" type="noConversion"/>
  </si>
  <si>
    <t>http://www.xyy3.cn</t>
    <phoneticPr fontId="1" type="noConversion"/>
  </si>
  <si>
    <t>http://xyy3.cn/favicon.ico</t>
    <phoneticPr fontId="1" type="noConversion"/>
  </si>
  <si>
    <t>http://www.judh.cn/</t>
    <phoneticPr fontId="1" type="noConversion"/>
  </si>
  <si>
    <t>聚导航</t>
    <phoneticPr fontId="1" type="noConversion"/>
  </si>
  <si>
    <t>http://www.judh.cn/favicon.ico</t>
    <phoneticPr fontId="1" type="noConversion"/>
  </si>
  <si>
    <t xml:space="preserve"> </t>
    <phoneticPr fontId="1" type="noConversion"/>
  </si>
  <si>
    <t>自录</t>
    <phoneticPr fontId="1" type="noConversion"/>
  </si>
  <si>
    <t>定检</t>
  </si>
  <si>
    <t>定检</t>
    <phoneticPr fontId="1" type="noConversion"/>
  </si>
  <si>
    <t>https://www.56.link/</t>
    <phoneticPr fontId="1" type="noConversion"/>
  </si>
  <si>
    <t>56.link</t>
    <phoneticPr fontId="1" type="noConversion"/>
  </si>
  <si>
    <t>待归档</t>
  </si>
  <si>
    <t>待归档</t>
    <phoneticPr fontId="1" type="noConversion"/>
  </si>
  <si>
    <t>前端设计</t>
  </si>
  <si>
    <t>前端设计</t>
    <phoneticPr fontId="1" type="noConversion"/>
  </si>
  <si>
    <t>影视创作</t>
  </si>
  <si>
    <t>影视创作</t>
    <phoneticPr fontId="1" type="noConversion"/>
  </si>
  <si>
    <t>影视创作</t>
    <phoneticPr fontId="1" type="noConversion"/>
  </si>
  <si>
    <t>后期制作</t>
  </si>
  <si>
    <t>后期制作</t>
    <phoneticPr fontId="1" type="noConversion"/>
  </si>
  <si>
    <t>资源</t>
  </si>
  <si>
    <t>资源</t>
    <phoneticPr fontId="1" type="noConversion"/>
  </si>
  <si>
    <t>图片</t>
    <phoneticPr fontId="1" type="noConversion"/>
  </si>
  <si>
    <t>演示ppt模板</t>
  </si>
  <si>
    <t>演示ppt模板</t>
    <phoneticPr fontId="1" type="noConversion"/>
  </si>
  <si>
    <t>导航网站</t>
  </si>
  <si>
    <t>导航网站</t>
    <phoneticPr fontId="1" type="noConversion"/>
  </si>
  <si>
    <t>资源</t>
    <phoneticPr fontId="1" type="noConversion"/>
  </si>
  <si>
    <t>图书馆</t>
  </si>
  <si>
    <t>图书馆</t>
    <phoneticPr fontId="1" type="noConversion"/>
  </si>
  <si>
    <t>字节跳动</t>
  </si>
  <si>
    <t>字节跳动</t>
    <phoneticPr fontId="1" type="noConversion"/>
  </si>
  <si>
    <t>抖音短视频</t>
    <phoneticPr fontId="1" type="noConversion"/>
  </si>
  <si>
    <t>今日头条</t>
    <phoneticPr fontId="1" type="noConversion"/>
  </si>
  <si>
    <t>https://bytedance.com/zh/products</t>
    <phoneticPr fontId="1" type="noConversion"/>
  </si>
  <si>
    <t>https://www.douyin.com/</t>
    <phoneticPr fontId="1" type="noConversion"/>
  </si>
  <si>
    <t>https://www.toutiao.com/</t>
    <phoneticPr fontId="1" type="noConversion"/>
  </si>
  <si>
    <t>https://sf3-dycdn-tos.pstatp.com/obj/eden-cn/uhbfnupkbps/toutiao_favicon.ico</t>
    <phoneticPr fontId="1" type="noConversion"/>
  </si>
  <si>
    <t>中国机构</t>
  </si>
  <si>
    <t>中国机构</t>
    <phoneticPr fontId="1" type="noConversion"/>
  </si>
  <si>
    <t>西藏自治区党委</t>
  </si>
  <si>
    <t>http://www.xzdw.gov.cn/</t>
  </si>
  <si>
    <t>http://cd.xzdw.gov.cn/</t>
  </si>
  <si>
    <t>http://sn.xzdw.gov.cn/</t>
  </si>
  <si>
    <t>http://rikaze.xzdw.gov.cn/</t>
  </si>
  <si>
    <t>http://lz.xzdw.gov.cn/</t>
  </si>
  <si>
    <t>http://nq.xzdw.gov.cn/</t>
  </si>
  <si>
    <t>http://ali.xzdw.gov.cn/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</si>
</sst>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3" borderId="0" xfId="0" applyNumberFormat="1" applyFont="1" applyFill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2" borderId="1" xfId="0" applyFont="1" applyFill="1" applyBorder="1">
      <alignment vertical="center"/>
    </xf>
    <xf numFmtId="0" fontId="3" fillId="0" borderId="0" xfId="1">
      <alignment vertical="center"/>
    </xf>
  </cellXfs>
  <cellStyles count="2">
    <cellStyle name="常规" xfId="0" builtinId="0"/>
    <cellStyle name="超链接" xfId="1" builtinId="8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18DA4-C7D7-461D-8B7C-C2D7A089F26A}" name="表_网址" displayName="表_网址" ref="A1:S312" totalsRowShown="0">
  <autoFilter ref="A1:S312" xr:uid="{02FB28E5-E947-430B-A2CC-8AC67DB18EEB}"/>
  <sortState xmlns:xlrd2="http://schemas.microsoft.com/office/spreadsheetml/2017/richdata2" ref="A2:S312">
    <sortCondition ref="A2:A312"/>
  </sortState>
  <tableColumns count="19">
    <tableColumn id="1" xr3:uid="{94DDFED9-6801-444B-B3CB-E7CBB6FDF693}" name="序号">
      <calculatedColumnFormula>表_网址[[#This Row],[1级]]&amp;"-"&amp;表_网址[[#This Row],[2级]]&amp;"-"&amp;表_网址[[#This Row],[3级]]&amp;"-"&amp;表_网址[[#This Row],[级内]]</calculatedColumnFormula>
    </tableColumn>
    <tableColumn id="2" xr3:uid="{F2223D45-4520-4D5B-B61A-A1E331E03547}" name="1级" dataDxfId="5">
      <calculatedColumnFormula>MATCH(表_网址[[#This Row],[版层分类]],序列_版层分类,0)*1000+MATCH(表_网址[[#This Row],[首要关键词]],序列_首要关键词,0)</calculatedColumnFormula>
    </tableColumn>
    <tableColumn id="3" xr3:uid="{7A810594-4371-4E27-9D80-207E4940EEE2}" name="2级" dataDxfId="4">
      <calculatedColumnFormula>IF(表_网址[[#This Row],[次要关键词]]="",10,MATCH(表_网址[[#This Row],[次要关键词]],序列_次要关键词,0)+10)</calculatedColumnFormula>
    </tableColumn>
    <tableColumn id="4" xr3:uid="{CECC4676-21DA-416B-8A6D-9A9700379D1E}" name="3级">
      <calculatedColumnFormula>IF(表_网址[[#This Row],[重点关键词]]="",10,MATCH(表_网址[[#This Row],[重点关键词]],序列_重点关键词,0)+10)</calculatedColumnFormula>
    </tableColumn>
    <tableColumn id="5" xr3:uid="{5869168E-AC20-498E-BBC1-411FAFEF10ED}" name="级内" dataDxfId="3">
      <calculatedColumnFormula>IF(AND(表_网址[[#This Row],[首要关键词]]=K1,表_网址[[#This Row],[次要关键词]]=L1,表_网址[[#This Row],[重点关键词]]=M1),E1+1,IF(表_网址[[#This Row],[重点关键词]]="",100,101))</calculatedColumnFormula>
    </tableColumn>
    <tableColumn id="6" xr3:uid="{AC27041D-F464-4081-9B3D-961B3F2C2BAD}" name="简称"/>
    <tableColumn id="7" xr3:uid="{E220F428-14A2-45C1-9764-2E8358B3A0A7}" name="网址"/>
    <tableColumn id="8" xr3:uid="{7F697722-35CB-4049-AD93-DC6DD5122336}" name="描述title"/>
    <tableColumn id="9" xr3:uid="{76FBB006-44E0-4E5D-94F3-113EEF7F59AD}" name="图标地址"/>
    <tableColumn id="10" xr3:uid="{A92D2578-AA4E-40CC-A213-669A8BCF5D44}" name="版层分类"/>
    <tableColumn id="11" xr3:uid="{E7929DC3-B214-4BD2-BE2C-1FB191669C04}" name="首要关键词"/>
    <tableColumn id="12" xr3:uid="{D75D841F-5258-460B-9F84-DA9C4D5496CD}" name="次要关键词"/>
    <tableColumn id="13" xr3:uid="{13F6D3CA-188C-422E-AAB0-EA7C1EBCC340}" name="重点关键词"/>
    <tableColumn id="14" xr3:uid="{EEDD618D-59A0-4F69-B8AF-4C68D95C2007}" name="判断网址"/>
    <tableColumn id="15" xr3:uid="{CCED9B75-03B8-4153-AED1-A03F3DB39BE4}" name="判断图片"/>
    <tableColumn id="16" xr3:uid="{5019AFA9-8242-4B17-9538-A522197CFC67}" name="其他标签"/>
    <tableColumn id="17" xr3:uid="{92EE60D4-4706-434D-BB0D-94099D977CDA}" name="图标像素"/>
    <tableColumn id="18" xr3:uid="{6D952ED5-FA53-448D-984B-3885E923E89D}" name="备案/未备案"/>
    <tableColumn id="19" xr3:uid="{155E7FA1-8936-44D1-9B67-7CCD031F7285}" name="经营性/非经营性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841F3-4F61-4FAA-8120-DD861A3CB53B}" name="表_版层分类" displayName="表_版层分类" ref="A1:AB10" totalsRowShown="0">
  <autoFilter ref="A1:AB10" xr:uid="{DE9627F4-932C-4564-8101-F3D191EFBF50}"/>
  <sortState xmlns:xlrd2="http://schemas.microsoft.com/office/spreadsheetml/2017/richdata2" ref="A2:AB10">
    <sortCondition ref="A2:A10"/>
  </sortState>
  <tableColumns count="28">
    <tableColumn id="1" xr3:uid="{91B9E26A-18E6-462B-B908-F6E81CBA5881}" name="序号"/>
    <tableColumn id="2" xr3:uid="{CBAA4A93-E50A-42F6-BE70-22072AB43978}" name="个数" dataDxfId="2">
      <calculatedColumnFormula>COUNTIF(表_版层分类[[#This Row],[列1]:[列25]],"&lt;&gt;")</calculatedColumnFormula>
    </tableColumn>
    <tableColumn id="3" xr3:uid="{DB30BCC1-C067-4646-804A-B4104F928A34}" name="版层分类"/>
    <tableColumn id="4" xr3:uid="{8C1D9A1C-28E2-41AF-9ECB-7C12DF68B31D}" name="列1"/>
    <tableColumn id="5" xr3:uid="{0AB1B8C6-1EAC-4808-AB3C-AD5557816A94}" name="列2"/>
    <tableColumn id="6" xr3:uid="{95D0BB43-59B1-4349-B3CC-CFDF1B9E2A86}" name="列3"/>
    <tableColumn id="7" xr3:uid="{7A10B912-C765-4F15-B538-EFD9BBFAD430}" name="列4"/>
    <tableColumn id="8" xr3:uid="{825C94A9-9771-4A7F-81E5-80B22E72956A}" name="列5"/>
    <tableColumn id="9" xr3:uid="{11049EF1-586A-4C88-A484-EC73DBFD0AB7}" name="列6"/>
    <tableColumn id="10" xr3:uid="{196ACD88-9CC6-43EB-A092-CCCEA0FEEA87}" name="列7"/>
    <tableColumn id="11" xr3:uid="{B0EFC8D3-D623-4449-A837-CB658436D8B9}" name="列8"/>
    <tableColumn id="12" xr3:uid="{B2ECCD6A-E8CF-48BC-A7E8-5F5B1D325D22}" name="列9"/>
    <tableColumn id="13" xr3:uid="{8D15CB2E-1626-4DBA-8556-6115E31F4714}" name="列10"/>
    <tableColumn id="14" xr3:uid="{F5302B41-44CC-48C3-B6C3-DDA1DDCF4059}" name="列11"/>
    <tableColumn id="15" xr3:uid="{BDF33F84-0C0B-44E8-A2EB-CF83ABE63519}" name="列12"/>
    <tableColumn id="16" xr3:uid="{4BD549E6-7E91-4F29-AAAE-67A68F2017B0}" name="列13"/>
    <tableColumn id="17" xr3:uid="{02AEB3C8-91DF-408E-AFAB-A7A9F9C82941}" name="列14"/>
    <tableColumn id="18" xr3:uid="{5D027187-E0A4-4751-A529-88A6C6125B41}" name="列15"/>
    <tableColumn id="19" xr3:uid="{55FCA842-4267-4C05-A572-4FDD5C58B8FA}" name="列16"/>
    <tableColumn id="20" xr3:uid="{5F70102A-BC17-46A4-88D0-757F1D8F93C7}" name="列17"/>
    <tableColumn id="21" xr3:uid="{A87F5C29-F956-413B-AF8D-72AED540C4DD}" name="列18"/>
    <tableColumn id="22" xr3:uid="{D244E431-6BEE-4276-A0BC-9022B1F3143D}" name="列19"/>
    <tableColumn id="23" xr3:uid="{F29B154B-316D-4DE7-904B-2CAB5665946E}" name="列20"/>
    <tableColumn id="24" xr3:uid="{56F7FF0C-E792-4D5F-B478-BF7C1EB19091}" name="列21"/>
    <tableColumn id="25" xr3:uid="{6C55DFAF-90A2-4EBE-842E-B10079F6A473}" name="列22"/>
    <tableColumn id="26" xr3:uid="{50358F40-530D-4CD1-9346-CB024A0DCC15}" name="列23"/>
    <tableColumn id="27" xr3:uid="{DDD97921-BD81-4E70-A367-12A68A19DB30}" name="列24"/>
    <tableColumn id="28" xr3:uid="{80F08ADB-5C8D-45F6-AD86-44B39C3EEACB}" name="列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4DA87C-E857-47F7-BAF6-A202DC2D40E8}" name="表_首次要关键词" displayName="表_首次要关键词" ref="A1:AH35" totalsRowShown="0">
  <autoFilter ref="A1:AH35" xr:uid="{922E3026-2F34-4288-985D-23D5AE701B20}"/>
  <tableColumns count="34">
    <tableColumn id="1" xr3:uid="{D29E47ED-7CE7-4DDC-AD95-E76504B84A6C}" name="排序"/>
    <tableColumn id="2" xr3:uid="{D0E875F2-61E1-44B6-BB2F-BBB58587941C}" name="个数">
      <calculatedColumnFormula>COUNTIF(表_首次要关键词[[#This Row],[列1]:[列31]],"&lt;&gt;")</calculatedColumnFormula>
    </tableColumn>
    <tableColumn id="3" xr3:uid="{BD09D2F0-A7C0-4D84-ACF5-9A5C3D77D234}" name="首要关键词"/>
    <tableColumn id="4" xr3:uid="{BA789A4D-D042-44AA-8C22-60A12475A3B6}" name="列1"/>
    <tableColumn id="5" xr3:uid="{BB9D1813-F8FA-4725-A630-90CCE50100D5}" name="列2"/>
    <tableColumn id="6" xr3:uid="{3CE8BBA2-8A1A-42D7-844B-24D5C816A2A3}" name="列3"/>
    <tableColumn id="7" xr3:uid="{CCBD7F08-A4E9-42D9-A62C-8B056CCD79C2}" name="列4"/>
    <tableColumn id="8" xr3:uid="{D65A326B-94A0-4BF4-AF4F-C352383FEED4}" name="列5"/>
    <tableColumn id="9" xr3:uid="{CC0A4D99-4820-4A91-B33B-389022FFD676}" name="列6"/>
    <tableColumn id="10" xr3:uid="{B515F443-9305-4C36-836A-983FEC6C3AA3}" name="列7"/>
    <tableColumn id="11" xr3:uid="{460555AD-752B-47F8-BC36-BB6AC6BD2A64}" name="列8"/>
    <tableColumn id="12" xr3:uid="{05862546-BF6E-4EE6-9F52-C0BFFAEDAFE9}" name="列9"/>
    <tableColumn id="13" xr3:uid="{81A65E87-05FF-4FD3-BCF0-8290DCB98CD9}" name="列10"/>
    <tableColumn id="14" xr3:uid="{CD7987D7-F514-4F4F-8B0C-889BB867A74F}" name="列11"/>
    <tableColumn id="15" xr3:uid="{F8EA41AA-EB40-4476-9BCA-846B7ECC353C}" name="列12"/>
    <tableColumn id="16" xr3:uid="{4FDFE5FD-F34A-4B93-BB54-6A44307B53AA}" name="列13"/>
    <tableColumn id="17" xr3:uid="{4E0FA8CB-5DCB-47ED-8018-9E3D1184448D}" name="列14"/>
    <tableColumn id="18" xr3:uid="{3ECF18B8-2C9D-4026-A94C-23228F731E98}" name="列15"/>
    <tableColumn id="19" xr3:uid="{59976622-E83C-4DA6-B78F-6B7F03E3B47B}" name="列16"/>
    <tableColumn id="20" xr3:uid="{944A3075-9227-4DC2-8D3F-5C73290EC1E7}" name="列17"/>
    <tableColumn id="21" xr3:uid="{C4B1C51E-21A0-4202-8F87-0725448D714F}" name="列18"/>
    <tableColumn id="22" xr3:uid="{3FAB2C8F-0B86-4D43-AAA5-C5A6CE7052E3}" name="列19"/>
    <tableColumn id="23" xr3:uid="{90DEDD8E-3306-4FE8-BF1D-D5CE5EBDC07E}" name="列20"/>
    <tableColumn id="24" xr3:uid="{8D23D5A5-C15D-4789-9870-FCD42B33132B}" name="列21"/>
    <tableColumn id="25" xr3:uid="{F1653A0E-E7E1-4FD5-86DF-6CF077541D58}" name="列22"/>
    <tableColumn id="26" xr3:uid="{A1F153D5-69C6-472A-86E2-987CB8AC417F}" name="列23"/>
    <tableColumn id="27" xr3:uid="{2A625D8B-30EB-4A78-8201-FB87A4733CE3}" name="列24"/>
    <tableColumn id="28" xr3:uid="{00C9B3E3-7870-461F-99F5-04C6D648BF4D}" name="列25"/>
    <tableColumn id="29" xr3:uid="{6D732F29-40FF-498B-90E1-CB8C949A6735}" name="列26"/>
    <tableColumn id="30" xr3:uid="{98230993-7880-4C73-8CB6-E634A884E8D5}" name="列27"/>
    <tableColumn id="31" xr3:uid="{C41DF7E2-4C1A-4AF4-8BDA-DC887F2C2E39}" name="列28"/>
    <tableColumn id="32" xr3:uid="{3BF632C6-5834-4A0E-8263-9EECEC546FA5}" name="列29"/>
    <tableColumn id="33" xr3:uid="{756F77DA-93AF-440C-8FBA-52CF0720947B}" name="列30"/>
    <tableColumn id="34" xr3:uid="{EB720F95-F5AE-4C38-B558-BEFE0D059543}" name="列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698F17-FE30-4D94-B81E-41953E2E8471}" name="表4" displayName="表4" ref="A1:W159" totalsRowShown="0">
  <autoFilter ref="A1:W159" xr:uid="{F4291724-2FF5-4F7A-9186-BAAE9183D55E}"/>
  <tableColumns count="23">
    <tableColumn id="1" xr3:uid="{215B382A-77AC-4E7B-BE95-D22C5D3CF8D7}" name="序号" dataDxfId="1">
      <calculatedColumnFormula>A1+1</calculatedColumnFormula>
    </tableColumn>
    <tableColumn id="2" xr3:uid="{15858224-BB5F-4D48-9AC2-02443EA53CC1}" name="个数" dataDxfId="0">
      <calculatedColumnFormula>COUNTIF(表4[[#This Row],[列1]:[列20]],"&lt;&gt;")</calculatedColumnFormula>
    </tableColumn>
    <tableColumn id="3" xr3:uid="{20769A1A-F95C-4F70-8544-86E2BC4CFEC7}" name="首次要关键词"/>
    <tableColumn id="4" xr3:uid="{EFA77716-89B0-4603-AB14-1C4D2B2FC0D9}" name="列1"/>
    <tableColumn id="5" xr3:uid="{B5AFF933-81C4-4AD2-85CE-DB956C698B66}" name="列2"/>
    <tableColumn id="6" xr3:uid="{065B9EAC-EC66-4809-8BD3-444094B661EF}" name="列3"/>
    <tableColumn id="7" xr3:uid="{4F46DE2A-D8A0-435E-8280-32DBFEC710D9}" name="列4"/>
    <tableColumn id="8" xr3:uid="{09FD2372-E604-4061-B179-FB04341E31E9}" name="列5"/>
    <tableColumn id="9" xr3:uid="{F25341FE-826D-47CB-80EE-D60CB2660C8F}" name="列6"/>
    <tableColumn id="10" xr3:uid="{8CC9BB3E-EEA9-45C9-AC83-7A2FB65CBAB7}" name="列7"/>
    <tableColumn id="11" xr3:uid="{DE0D6147-64EF-46BF-9E3A-6ECE98BB27AB}" name="列8"/>
    <tableColumn id="12" xr3:uid="{240CBACC-20E7-4C8D-8987-B1035F133D20}" name="列9"/>
    <tableColumn id="13" xr3:uid="{71E6C869-C710-4C5D-8454-2B9772890325}" name="列10"/>
    <tableColumn id="14" xr3:uid="{9E6E4861-C464-4AF2-9034-6F116B302F9A}" name="列11"/>
    <tableColumn id="15" xr3:uid="{E6D1ECB6-2949-42FF-B3FE-A18AC9C93F25}" name="列12"/>
    <tableColumn id="16" xr3:uid="{00BDAA65-1D4B-45C6-B526-334E1BBAB65C}" name="列13"/>
    <tableColumn id="17" xr3:uid="{61E70B86-3C42-44C4-8705-53B75BA02082}" name="列14"/>
    <tableColumn id="18" xr3:uid="{1264BF98-FAC0-4462-86B0-3177950A5745}" name="列15"/>
    <tableColumn id="19" xr3:uid="{C7058C6F-60C4-40CA-94B8-BB44B910381E}" name="列16"/>
    <tableColumn id="20" xr3:uid="{AFDDF050-CEE4-4199-B05A-6FB3E1082051}" name="列17"/>
    <tableColumn id="21" xr3:uid="{7DE03189-B664-44DA-8A23-600424BC3F80}" name="列18"/>
    <tableColumn id="22" xr3:uid="{BFE40D05-EF43-46E9-A024-6530C0306AF3}" name="列19"/>
    <tableColumn id="23" xr3:uid="{19A178CC-6257-4305-A848-4CE8CD3362A5}" name="列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egaldaily.com.cn/" TargetMode="External"/><Relationship Id="rId13" Type="http://schemas.openxmlformats.org/officeDocument/2006/relationships/hyperlink" Target="https://www.cakego.cn/favicon.ico" TargetMode="External"/><Relationship Id="rId18" Type="http://schemas.openxmlformats.org/officeDocument/2006/relationships/hyperlink" Target="https://www.56.link/" TargetMode="External"/><Relationship Id="rId3" Type="http://schemas.openxmlformats.org/officeDocument/2006/relationships/hyperlink" Target="http://www.cri.cn/" TargetMode="External"/><Relationship Id="rId21" Type="http://schemas.openxmlformats.org/officeDocument/2006/relationships/hyperlink" Target="https://www.douyin.com/" TargetMode="External"/><Relationship Id="rId7" Type="http://schemas.openxmlformats.org/officeDocument/2006/relationships/hyperlink" Target="http://www.farmer.com.cn/" TargetMode="External"/><Relationship Id="rId12" Type="http://schemas.openxmlformats.org/officeDocument/2006/relationships/hyperlink" Target="https://www.cakego.cn/" TargetMode="External"/><Relationship Id="rId17" Type="http://schemas.openxmlformats.org/officeDocument/2006/relationships/hyperlink" Target="http://www.judh.cn/favicon.ico" TargetMode="External"/><Relationship Id="rId25" Type="http://schemas.openxmlformats.org/officeDocument/2006/relationships/table" Target="../tables/table1.xml"/><Relationship Id="rId2" Type="http://schemas.openxmlformats.org/officeDocument/2006/relationships/hyperlink" Target="http://www.81.cn/" TargetMode="External"/><Relationship Id="rId16" Type="http://schemas.openxmlformats.org/officeDocument/2006/relationships/hyperlink" Target="http://www.judh.cn/" TargetMode="External"/><Relationship Id="rId20" Type="http://schemas.openxmlformats.org/officeDocument/2006/relationships/hyperlink" Target="https://www.douyin.com/" TargetMode="External"/><Relationship Id="rId1" Type="http://schemas.openxmlformats.org/officeDocument/2006/relationships/hyperlink" Target="http://www.china.com.cn/index.shtml" TargetMode="External"/><Relationship Id="rId6" Type="http://schemas.openxmlformats.org/officeDocument/2006/relationships/hyperlink" Target="http://www.cnwomen.com.cn/" TargetMode="External"/><Relationship Id="rId11" Type="http://schemas.openxmlformats.org/officeDocument/2006/relationships/hyperlink" Target="http://www.npc.gov.cn/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://www.jjjcb.cn/" TargetMode="External"/><Relationship Id="rId15" Type="http://schemas.openxmlformats.org/officeDocument/2006/relationships/hyperlink" Target="http://xyy3.cn/favicon.ico" TargetMode="External"/><Relationship Id="rId23" Type="http://schemas.openxmlformats.org/officeDocument/2006/relationships/hyperlink" Target="https://sf3-dycdn-tos.pstatp.com/obj/eden-cn/uhbfnupkbps/toutiao_favicon.ico" TargetMode="External"/><Relationship Id="rId10" Type="http://schemas.openxmlformats.org/officeDocument/2006/relationships/hyperlink" Target="http://p4.img.cctvpic.com/photoAlbum/templet/common/DEPA1356314678315297/sy_dyw377.ico" TargetMode="External"/><Relationship Id="rId19" Type="http://schemas.openxmlformats.org/officeDocument/2006/relationships/hyperlink" Target="https://bytedance.com/zh/products" TargetMode="External"/><Relationship Id="rId4" Type="http://schemas.openxmlformats.org/officeDocument/2006/relationships/hyperlink" Target="http://www.stdaily.com/" TargetMode="External"/><Relationship Id="rId9" Type="http://schemas.openxmlformats.org/officeDocument/2006/relationships/hyperlink" Target="http://www.12371.cn/" TargetMode="External"/><Relationship Id="rId14" Type="http://schemas.openxmlformats.org/officeDocument/2006/relationships/hyperlink" Target="http://www.xyy3.cn/" TargetMode="External"/><Relationship Id="rId22" Type="http://schemas.openxmlformats.org/officeDocument/2006/relationships/hyperlink" Target="https://www.toutiao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://sn.xzdw.gov.cn/" TargetMode="External"/><Relationship Id="rId7" Type="http://schemas.openxmlformats.org/officeDocument/2006/relationships/hyperlink" Target="http://ali.xzdw.gov.cn/" TargetMode="External"/><Relationship Id="rId2" Type="http://schemas.openxmlformats.org/officeDocument/2006/relationships/hyperlink" Target="http://cd.xzdw.gov.cn/" TargetMode="External"/><Relationship Id="rId1" Type="http://schemas.openxmlformats.org/officeDocument/2006/relationships/hyperlink" Target="http://www.xzdw.gov.cn/" TargetMode="External"/><Relationship Id="rId6" Type="http://schemas.openxmlformats.org/officeDocument/2006/relationships/hyperlink" Target="http://nq.xzdw.gov.cn/" TargetMode="External"/><Relationship Id="rId5" Type="http://schemas.openxmlformats.org/officeDocument/2006/relationships/hyperlink" Target="http://lz.xzdw.gov.cn/" TargetMode="External"/><Relationship Id="rId4" Type="http://schemas.openxmlformats.org/officeDocument/2006/relationships/hyperlink" Target="http://rikaze.xzdw.gov.c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AD78-CD66-4607-8899-BE9B4331F644}">
  <sheetPr codeName="Sheet1"/>
  <dimension ref="A1:S312"/>
  <sheetViews>
    <sheetView tabSelected="1" workbookViewId="0">
      <pane xSplit="19" ySplit="1" topLeftCell="W123" activePane="bottomRight" state="frozen"/>
      <selection pane="topRight" activeCell="T1" sqref="T1"/>
      <selection pane="bottomLeft" activeCell="A2" sqref="A2"/>
      <selection pane="bottomRight" activeCell="N130" sqref="N130:N138"/>
    </sheetView>
  </sheetViews>
  <sheetFormatPr defaultRowHeight="14.25" x14ac:dyDescent="0.2"/>
  <cols>
    <col min="1" max="1" width="16.125" bestFit="1" customWidth="1"/>
    <col min="2" max="4" width="6.375" bestFit="1" customWidth="1"/>
    <col min="5" max="5" width="7.25" bestFit="1" customWidth="1"/>
    <col min="6" max="6" width="29.75" customWidth="1"/>
    <col min="7" max="7" width="7.875" customWidth="1"/>
    <col min="8" max="9" width="10.875" customWidth="1"/>
    <col min="10" max="10" width="10.25" customWidth="1"/>
    <col min="11" max="11" width="13" bestFit="1" customWidth="1"/>
    <col min="12" max="12" width="17.25" bestFit="1" customWidth="1"/>
    <col min="13" max="13" width="13" bestFit="1" customWidth="1"/>
    <col min="14" max="14" width="11" bestFit="1" customWidth="1"/>
    <col min="15" max="17" width="10.25" customWidth="1"/>
    <col min="18" max="18" width="12.875" customWidth="1"/>
    <col min="19" max="19" width="18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539</v>
      </c>
      <c r="G2" t="s">
        <v>540</v>
      </c>
      <c r="H2" t="s">
        <v>29</v>
      </c>
      <c r="I2" t="s">
        <v>541</v>
      </c>
      <c r="J2" t="s">
        <v>1707</v>
      </c>
      <c r="K2" t="s">
        <v>542</v>
      </c>
      <c r="N2" t="s">
        <v>1848</v>
      </c>
      <c r="O2" t="s">
        <v>1166</v>
      </c>
      <c r="Q2">
        <v>64</v>
      </c>
      <c r="R2" t="s">
        <v>1826</v>
      </c>
      <c r="S2" t="s">
        <v>1830</v>
      </c>
    </row>
    <row r="3" spans="1:19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543</v>
      </c>
      <c r="G3" t="s">
        <v>544</v>
      </c>
      <c r="H3" t="s">
        <v>29</v>
      </c>
      <c r="I3" t="s">
        <v>545</v>
      </c>
      <c r="J3" t="s">
        <v>1707</v>
      </c>
      <c r="K3" t="s">
        <v>542</v>
      </c>
      <c r="L3" t="s">
        <v>1757</v>
      </c>
      <c r="N3" t="s">
        <v>1848</v>
      </c>
      <c r="O3" t="s">
        <v>1166</v>
      </c>
      <c r="Q3">
        <v>32</v>
      </c>
      <c r="R3" t="s">
        <v>1831</v>
      </c>
    </row>
    <row r="4" spans="1:19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101</v>
      </c>
      <c r="F4" t="s">
        <v>546</v>
      </c>
      <c r="G4" t="s">
        <v>547</v>
      </c>
      <c r="H4" t="s">
        <v>29</v>
      </c>
      <c r="I4" t="s">
        <v>548</v>
      </c>
      <c r="J4" t="s">
        <v>1707</v>
      </c>
      <c r="K4" t="s">
        <v>542</v>
      </c>
      <c r="L4" t="s">
        <v>1757</v>
      </c>
      <c r="N4" t="s">
        <v>1848</v>
      </c>
      <c r="O4" t="s">
        <v>1166</v>
      </c>
      <c r="Q4">
        <v>32</v>
      </c>
      <c r="R4" t="s">
        <v>1826</v>
      </c>
      <c r="S4" t="s">
        <v>1830</v>
      </c>
    </row>
    <row r="5" spans="1:19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F5" t="s">
        <v>549</v>
      </c>
      <c r="G5" t="s">
        <v>550</v>
      </c>
      <c r="H5" t="s">
        <v>1832</v>
      </c>
      <c r="I5" t="s">
        <v>551</v>
      </c>
      <c r="J5" t="s">
        <v>1707</v>
      </c>
      <c r="K5" t="s">
        <v>542</v>
      </c>
      <c r="L5" t="s">
        <v>552</v>
      </c>
      <c r="N5" t="s">
        <v>1848</v>
      </c>
      <c r="O5" t="s">
        <v>1166</v>
      </c>
      <c r="Q5">
        <v>16</v>
      </c>
      <c r="R5" t="s">
        <v>1831</v>
      </c>
    </row>
    <row r="6" spans="1:19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F6" t="s">
        <v>553</v>
      </c>
      <c r="G6" t="s">
        <v>554</v>
      </c>
      <c r="H6" t="s">
        <v>29</v>
      </c>
      <c r="I6" t="s">
        <v>555</v>
      </c>
      <c r="J6" t="s">
        <v>1707</v>
      </c>
      <c r="K6" t="s">
        <v>542</v>
      </c>
      <c r="L6" t="s">
        <v>556</v>
      </c>
      <c r="N6" t="s">
        <v>1848</v>
      </c>
      <c r="O6" t="s">
        <v>1166</v>
      </c>
      <c r="Q6">
        <v>20</v>
      </c>
    </row>
    <row r="7" spans="1:19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F7" t="s">
        <v>557</v>
      </c>
      <c r="G7" t="s">
        <v>558</v>
      </c>
      <c r="H7" t="s">
        <v>29</v>
      </c>
      <c r="I7" t="s">
        <v>559</v>
      </c>
      <c r="J7" t="s">
        <v>1707</v>
      </c>
      <c r="K7" t="s">
        <v>542</v>
      </c>
      <c r="L7" t="s">
        <v>560</v>
      </c>
      <c r="N7" t="s">
        <v>1848</v>
      </c>
      <c r="O7" t="s">
        <v>1166</v>
      </c>
      <c r="Q7">
        <v>32</v>
      </c>
    </row>
    <row r="8" spans="1:19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561</v>
      </c>
      <c r="G8" t="s">
        <v>562</v>
      </c>
      <c r="H8" t="s">
        <v>563</v>
      </c>
      <c r="I8" t="s">
        <v>564</v>
      </c>
      <c r="J8" t="s">
        <v>1707</v>
      </c>
      <c r="K8" t="s">
        <v>542</v>
      </c>
      <c r="L8" t="s">
        <v>565</v>
      </c>
      <c r="N8" t="s">
        <v>1848</v>
      </c>
      <c r="O8" t="s">
        <v>1166</v>
      </c>
      <c r="R8" t="s">
        <v>1831</v>
      </c>
    </row>
    <row r="9" spans="1:19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566</v>
      </c>
      <c r="G9" t="s">
        <v>567</v>
      </c>
      <c r="H9" t="s">
        <v>1858</v>
      </c>
      <c r="I9" t="s">
        <v>568</v>
      </c>
      <c r="J9" t="s">
        <v>1707</v>
      </c>
      <c r="K9" t="s">
        <v>542</v>
      </c>
      <c r="L9" t="s">
        <v>569</v>
      </c>
      <c r="N9" t="s">
        <v>1848</v>
      </c>
      <c r="O9" t="s">
        <v>1166</v>
      </c>
      <c r="R9" t="s">
        <v>1826</v>
      </c>
    </row>
    <row r="10" spans="1:19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 s="2">
        <f ca="1">MATCH(表_网址[[#This Row],[版层分类]],序列_版层分类,0)*1000+MATCH(表_网址[[#This Row],[首要关键词]],序列_首要关键词,0)</f>
        <v>1002</v>
      </c>
      <c r="C10" s="2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570</v>
      </c>
      <c r="G10" t="s">
        <v>571</v>
      </c>
      <c r="H10" t="s">
        <v>29</v>
      </c>
      <c r="I10" t="s">
        <v>572</v>
      </c>
      <c r="J10" t="s">
        <v>1707</v>
      </c>
      <c r="K10" t="s">
        <v>573</v>
      </c>
      <c r="N10" t="s">
        <v>1848</v>
      </c>
      <c r="O10" t="s">
        <v>1166</v>
      </c>
      <c r="Q10">
        <v>256</v>
      </c>
    </row>
    <row r="11" spans="1:19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 s="2">
        <f ca="1">MATCH(表_网址[[#This Row],[版层分类]],序列_版层分类,0)*1000+MATCH(表_网址[[#This Row],[首要关键词]],序列_首要关键词,0)</f>
        <v>1002</v>
      </c>
      <c r="C11" s="2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580</v>
      </c>
      <c r="G11" t="s">
        <v>581</v>
      </c>
      <c r="H11" t="s">
        <v>29</v>
      </c>
      <c r="I11" t="s">
        <v>582</v>
      </c>
      <c r="J11" t="s">
        <v>1707</v>
      </c>
      <c r="K11" t="s">
        <v>573</v>
      </c>
      <c r="L11" t="s">
        <v>1755</v>
      </c>
      <c r="N11" t="s">
        <v>1848</v>
      </c>
      <c r="O11" t="s">
        <v>1166</v>
      </c>
      <c r="Q11">
        <v>16</v>
      </c>
      <c r="R11" t="s">
        <v>1826</v>
      </c>
      <c r="S11" t="s">
        <v>1830</v>
      </c>
    </row>
    <row r="12" spans="1:19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 s="2">
        <f ca="1">MATCH(表_网址[[#This Row],[版层分类]],序列_版层分类,0)*1000+MATCH(表_网址[[#This Row],[首要关键词]],序列_首要关键词,0)</f>
        <v>1002</v>
      </c>
      <c r="C12" s="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Row],[首要关键词]]=K11,表_网址[[#This Row],[次要关键词]]=L11,表_网址[[#This Row],[重点关键词]]=M11),E11+1,IF(表_网址[[#This Row],[重点关键词]]="",100,101))</f>
        <v>101</v>
      </c>
      <c r="F12" t="s">
        <v>574</v>
      </c>
      <c r="G12" t="s">
        <v>575</v>
      </c>
      <c r="H12" t="s">
        <v>29</v>
      </c>
      <c r="I12" t="s">
        <v>576</v>
      </c>
      <c r="J12" t="s">
        <v>1707</v>
      </c>
      <c r="K12" t="s">
        <v>573</v>
      </c>
      <c r="L12" t="s">
        <v>1755</v>
      </c>
      <c r="N12" t="s">
        <v>1848</v>
      </c>
      <c r="O12" t="s">
        <v>1166</v>
      </c>
      <c r="Q12">
        <v>32</v>
      </c>
      <c r="R12" t="s">
        <v>1826</v>
      </c>
      <c r="S12" t="s">
        <v>1830</v>
      </c>
    </row>
    <row r="13" spans="1:19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 s="2">
        <f ca="1">MATCH(表_网址[[#This Row],[版层分类]],序列_版层分类,0)*1000+MATCH(表_网址[[#This Row],[首要关键词]],序列_首要关键词,0)</f>
        <v>1002</v>
      </c>
      <c r="C13" s="2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Row],[首要关键词]]=K12,表_网址[[#This Row],[次要关键词]]=L12,表_网址[[#This Row],[重点关键词]]=M12),E12+1,IF(表_网址[[#This Row],[重点关键词]]="",100,101))</f>
        <v>102</v>
      </c>
      <c r="F13" t="s">
        <v>577</v>
      </c>
      <c r="G13" t="s">
        <v>578</v>
      </c>
      <c r="H13" t="s">
        <v>29</v>
      </c>
      <c r="I13" t="s">
        <v>579</v>
      </c>
      <c r="J13" t="s">
        <v>1707</v>
      </c>
      <c r="K13" t="s">
        <v>573</v>
      </c>
      <c r="L13" t="s">
        <v>1755</v>
      </c>
      <c r="N13" t="s">
        <v>1848</v>
      </c>
      <c r="Q13">
        <v>16</v>
      </c>
      <c r="R13" t="s">
        <v>1826</v>
      </c>
      <c r="S13" t="s">
        <v>1830</v>
      </c>
    </row>
    <row r="14" spans="1:19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 s="2">
        <f ca="1">MATCH(表_网址[[#This Row],[版层分类]],序列_版层分类,0)*1000+MATCH(表_网址[[#This Row],[首要关键词]],序列_首要关键词,0)</f>
        <v>1002</v>
      </c>
      <c r="C14" s="2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Row],[首要关键词]]=K13,表_网址[[#This Row],[次要关键词]]=L13,表_网址[[#This Row],[重点关键词]]=M13),E13+1,IF(表_网址[[#This Row],[重点关键词]]="",100,101))</f>
        <v>103</v>
      </c>
      <c r="F14" t="s">
        <v>583</v>
      </c>
      <c r="G14" t="s">
        <v>584</v>
      </c>
      <c r="H14" t="s">
        <v>29</v>
      </c>
      <c r="I14" t="s">
        <v>585</v>
      </c>
      <c r="J14" t="s">
        <v>1707</v>
      </c>
      <c r="K14" t="s">
        <v>573</v>
      </c>
      <c r="L14" t="s">
        <v>1755</v>
      </c>
      <c r="N14" t="s">
        <v>1848</v>
      </c>
      <c r="O14" t="s">
        <v>1166</v>
      </c>
      <c r="Q14">
        <v>16</v>
      </c>
      <c r="R14" t="s">
        <v>1826</v>
      </c>
      <c r="S14" t="s">
        <v>1830</v>
      </c>
    </row>
    <row r="15" spans="1:19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 s="2">
        <f ca="1">MATCH(表_网址[[#This Row],[版层分类]],序列_版层分类,0)*1000+MATCH(表_网址[[#This Row],[首要关键词]],序列_首要关键词,0)</f>
        <v>1002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Row],[首要关键词]]=K14,表_网址[[#This Row],[次要关键词]]=L14,表_网址[[#This Row],[重点关键词]]=M14),E14+1,IF(表_网址[[#This Row],[重点关键词]]="",100,101))</f>
        <v>104</v>
      </c>
      <c r="F15" t="s">
        <v>586</v>
      </c>
      <c r="G15" t="s">
        <v>587</v>
      </c>
      <c r="H15" t="s">
        <v>29</v>
      </c>
      <c r="I15" t="s">
        <v>588</v>
      </c>
      <c r="J15" t="s">
        <v>1707</v>
      </c>
      <c r="K15" t="s">
        <v>573</v>
      </c>
      <c r="L15" t="s">
        <v>1755</v>
      </c>
      <c r="N15" t="s">
        <v>1848</v>
      </c>
      <c r="O15" t="s">
        <v>1166</v>
      </c>
      <c r="Q15">
        <v>16</v>
      </c>
      <c r="R15" t="s">
        <v>1826</v>
      </c>
      <c r="S15" t="s">
        <v>1830</v>
      </c>
    </row>
    <row r="16" spans="1:19" x14ac:dyDescent="0.2">
      <c r="A16" t="str">
        <f ca="1">表_网址[[#This Row],[1级]]&amp;"-"&amp;表_网址[[#This Row],[2级]]&amp;"-"&amp;表_网址[[#This Row],[3级]]&amp;"-"&amp;表_网址[[#This Row],[级内]]</f>
        <v>1002-13-10-100</v>
      </c>
      <c r="B16" s="2">
        <f ca="1">MATCH(表_网址[[#This Row],[版层分类]],序列_版层分类,0)*1000+MATCH(表_网址[[#This Row],[首要关键词]],序列_首要关键词,0)</f>
        <v>1002</v>
      </c>
      <c r="C16" s="2">
        <f ca="1">IF(表_网址[[#This Row],[次要关键词]]="",10,MATCH(表_网址[[#This Row],[次要关键词]],序列_次要关键词,0)+10)</f>
        <v>13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Row],[首要关键词]]=K15,表_网址[[#This Row],[次要关键词]]=L15,表_网址[[#This Row],[重点关键词]]=M15),E15+1,IF(表_网址[[#This Row],[重点关键词]]="",100,101))</f>
        <v>100</v>
      </c>
      <c r="H16" t="s">
        <v>29</v>
      </c>
      <c r="J16" t="s">
        <v>1707</v>
      </c>
      <c r="K16" t="s">
        <v>573</v>
      </c>
      <c r="L16" t="s">
        <v>1880</v>
      </c>
    </row>
    <row r="17" spans="1:18" x14ac:dyDescent="0.2">
      <c r="A17" t="str">
        <f ca="1">表_网址[[#This Row],[1级]]&amp;"-"&amp;表_网址[[#This Row],[2级]]&amp;"-"&amp;表_网址[[#This Row],[3级]]&amp;"-"&amp;表_网址[[#This Row],[级内]]</f>
        <v>1002-13-11-101</v>
      </c>
      <c r="B17" s="2">
        <f ca="1">MATCH(表_网址[[#This Row],[版层分类]],序列_版层分类,0)*1000+MATCH(表_网址[[#This Row],[首要关键词]],序列_首要关键词,0)</f>
        <v>1002</v>
      </c>
      <c r="C17" s="2">
        <f ca="1">IF(表_网址[[#This Row],[次要关键词]]="",10,MATCH(表_网址[[#This Row],[次要关键词]],序列_次要关键词,0)+10)</f>
        <v>13</v>
      </c>
      <c r="D17">
        <f ca="1">IF(表_网址[[#This Row],[重点关键词]]="",10,MATCH(表_网址[[#This Row],[重点关键词]],序列_重点关键词,0)+10)</f>
        <v>11</v>
      </c>
      <c r="E17" s="2">
        <f>IF(AND(表_网址[[#This Row],[首要关键词]]=K16,表_网址[[#This Row],[次要关键词]]=L16,表_网址[[#This Row],[重点关键词]]=M16),E16+1,IF(表_网址[[#This Row],[重点关键词]]="",100,101))</f>
        <v>101</v>
      </c>
      <c r="F17" t="s">
        <v>1564</v>
      </c>
      <c r="G17" t="s">
        <v>1565</v>
      </c>
      <c r="H17" t="s">
        <v>29</v>
      </c>
      <c r="I17" t="s">
        <v>1566</v>
      </c>
      <c r="J17" t="s">
        <v>1707</v>
      </c>
      <c r="K17" t="s">
        <v>573</v>
      </c>
      <c r="L17" t="s">
        <v>1880</v>
      </c>
      <c r="M17" t="s">
        <v>552</v>
      </c>
      <c r="N17" t="s">
        <v>1848</v>
      </c>
      <c r="O17" t="s">
        <v>1166</v>
      </c>
    </row>
    <row r="18" spans="1:18" x14ac:dyDescent="0.2">
      <c r="A18" t="str">
        <f ca="1">表_网址[[#This Row],[1级]]&amp;"-"&amp;表_网址[[#This Row],[2级]]&amp;"-"&amp;表_网址[[#This Row],[3级]]&amp;"-"&amp;表_网址[[#This Row],[级内]]</f>
        <v>1002-13-12-101</v>
      </c>
      <c r="B18" s="2">
        <f ca="1">MATCH(表_网址[[#This Row],[版层分类]],序列_版层分类,0)*1000+MATCH(表_网址[[#This Row],[首要关键词]],序列_首要关键词,0)</f>
        <v>1002</v>
      </c>
      <c r="C18" s="2">
        <f ca="1">IF(表_网址[[#This Row],[次要关键词]]="",10,MATCH(表_网址[[#This Row],[次要关键词]],序列_次要关键词,0)+10)</f>
        <v>13</v>
      </c>
      <c r="D18">
        <f ca="1">IF(表_网址[[#This Row],[重点关键词]]="",10,MATCH(表_网址[[#This Row],[重点关键词]],序列_重点关键词,0)+10)</f>
        <v>12</v>
      </c>
      <c r="E18" s="2">
        <f>IF(AND(表_网址[[#This Row],[首要关键词]]=K17,表_网址[[#This Row],[次要关键词]]=L17,表_网址[[#This Row],[重点关键词]]=M17),E17+1,IF(表_网址[[#This Row],[重点关键词]]="",100,101))</f>
        <v>101</v>
      </c>
      <c r="F18" t="s">
        <v>1603</v>
      </c>
      <c r="G18" t="s">
        <v>1604</v>
      </c>
      <c r="H18" t="s">
        <v>29</v>
      </c>
      <c r="I18" t="s">
        <v>1605</v>
      </c>
      <c r="J18" t="s">
        <v>1707</v>
      </c>
      <c r="K18" t="s">
        <v>573</v>
      </c>
      <c r="L18" t="s">
        <v>1880</v>
      </c>
      <c r="M18" t="s">
        <v>1883</v>
      </c>
      <c r="N18" t="s">
        <v>1848</v>
      </c>
      <c r="O18" t="s">
        <v>1166</v>
      </c>
      <c r="Q18">
        <v>128</v>
      </c>
    </row>
    <row r="19" spans="1:18" x14ac:dyDescent="0.2">
      <c r="A19" t="str">
        <f ca="1">表_网址[[#This Row],[1级]]&amp;"-"&amp;表_网址[[#This Row],[2级]]&amp;"-"&amp;表_网址[[#This Row],[3级]]&amp;"-"&amp;表_网址[[#This Row],[级内]]</f>
        <v>1002-13-13-101</v>
      </c>
      <c r="B19" s="2">
        <f ca="1">MATCH(表_网址[[#This Row],[版层分类]],序列_版层分类,0)*1000+MATCH(表_网址[[#This Row],[首要关键词]],序列_首要关键词,0)</f>
        <v>1002</v>
      </c>
      <c r="C19" s="2">
        <f ca="1">IF(表_网址[[#This Row],[次要关键词]]="",10,MATCH(表_网址[[#This Row],[次要关键词]],序列_次要关键词,0)+10)</f>
        <v>13</v>
      </c>
      <c r="D19">
        <f ca="1">IF(表_网址[[#This Row],[重点关键词]]="",10,MATCH(表_网址[[#This Row],[重点关键词]],序列_重点关键词,0)+10)</f>
        <v>13</v>
      </c>
      <c r="E19" s="2">
        <f>IF(AND(表_网址[[#This Row],[首要关键词]]=K18,表_网址[[#This Row],[次要关键词]]=L18,表_网址[[#This Row],[重点关键词]]=M18),E18+1,IF(表_网址[[#This Row],[重点关键词]]="",100,101))</f>
        <v>101</v>
      </c>
      <c r="F19" t="s">
        <v>1870</v>
      </c>
      <c r="G19" s="8" t="s">
        <v>1869</v>
      </c>
      <c r="H19" t="s">
        <v>29</v>
      </c>
      <c r="J19" t="s">
        <v>1707</v>
      </c>
      <c r="K19" t="s">
        <v>573</v>
      </c>
      <c r="L19" t="s">
        <v>1880</v>
      </c>
      <c r="M19" t="s">
        <v>1885</v>
      </c>
      <c r="N19" t="s">
        <v>1848</v>
      </c>
    </row>
    <row r="20" spans="1:18" x14ac:dyDescent="0.2">
      <c r="A20" t="str">
        <f ca="1">表_网址[[#This Row],[1级]]&amp;"-"&amp;表_网址[[#This Row],[2级]]&amp;"-"&amp;表_网址[[#This Row],[3级]]&amp;"-"&amp;表_网址[[#This Row],[级内]]</f>
        <v>1002-13-14-101</v>
      </c>
      <c r="B20" s="2">
        <f ca="1">MATCH(表_网址[[#This Row],[版层分类]],序列_版层分类,0)*1000+MATCH(表_网址[[#This Row],[首要关键词]],序列_首要关键词,0)</f>
        <v>1002</v>
      </c>
      <c r="C20" s="2">
        <f ca="1">IF(表_网址[[#This Row],[次要关键词]]="",10,MATCH(表_网址[[#This Row],[次要关键词]],序列_次要关键词,0)+10)</f>
        <v>13</v>
      </c>
      <c r="D20">
        <f ca="1">IF(表_网址[[#This Row],[重点关键词]]="",10,MATCH(表_网址[[#This Row],[重点关键词]],序列_重点关键词,0)+10)</f>
        <v>14</v>
      </c>
      <c r="E20" s="2">
        <f>IF(AND(表_网址[[#This Row],[首要关键词]]=K19,表_网址[[#This Row],[次要关键词]]=L19,表_网址[[#This Row],[重点关键词]]=M19),E19+1,IF(表_网址[[#This Row],[重点关键词]]="",100,101))</f>
        <v>101</v>
      </c>
      <c r="F20" t="s">
        <v>1573</v>
      </c>
      <c r="G20" t="s">
        <v>1574</v>
      </c>
      <c r="H20" t="s">
        <v>29</v>
      </c>
      <c r="I20" t="s">
        <v>1575</v>
      </c>
      <c r="J20" t="s">
        <v>1707</v>
      </c>
      <c r="K20" t="s">
        <v>573</v>
      </c>
      <c r="L20" t="s">
        <v>1880</v>
      </c>
      <c r="M20" t="s">
        <v>1888</v>
      </c>
      <c r="N20" t="s">
        <v>1848</v>
      </c>
      <c r="O20" t="s">
        <v>1166</v>
      </c>
      <c r="Q20">
        <v>64</v>
      </c>
    </row>
    <row r="21" spans="1:18" x14ac:dyDescent="0.2">
      <c r="A21" t="str">
        <f ca="1">表_网址[[#This Row],[1级]]&amp;"-"&amp;表_网址[[#This Row],[2级]]&amp;"-"&amp;表_网址[[#This Row],[3级]]&amp;"-"&amp;表_网址[[#This Row],[级内]]</f>
        <v>1002-14-10-100</v>
      </c>
      <c r="B21" s="2">
        <f ca="1">MATCH(表_网址[[#This Row],[版层分类]],序列_版层分类,0)*1000+MATCH(表_网址[[#This Row],[首要关键词]],序列_首要关键词,0)</f>
        <v>1002</v>
      </c>
      <c r="C21" s="2">
        <f ca="1">IF(表_网址[[#This Row],[次要关键词]]="",10,MATCH(表_网址[[#This Row],[次要关键词]],序列_次要关键词,0)+10)</f>
        <v>14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H21" t="s">
        <v>29</v>
      </c>
      <c r="J21" t="s">
        <v>1707</v>
      </c>
      <c r="K21" t="s">
        <v>573</v>
      </c>
      <c r="L21" t="s">
        <v>1875</v>
      </c>
    </row>
    <row r="22" spans="1:18" x14ac:dyDescent="0.2">
      <c r="A22" t="str">
        <f ca="1">表_网址[[#This Row],[1级]]&amp;"-"&amp;表_网址[[#This Row],[2级]]&amp;"-"&amp;表_网址[[#This Row],[3级]]&amp;"-"&amp;表_网址[[#This Row],[级内]]</f>
        <v>1002-14-11-101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14</v>
      </c>
      <c r="D22">
        <f ca="1">IF(表_网址[[#This Row],[重点关键词]]="",10,MATCH(表_网址[[#This Row],[重点关键词]],序列_重点关键词,0)+10)</f>
        <v>11</v>
      </c>
      <c r="E22" s="2">
        <f>IF(AND(表_网址[[#This Row],[首要关键词]]=K21,表_网址[[#This Row],[次要关键词]]=L21,表_网址[[#This Row],[重点关键词]]=M21),E21+1,IF(表_网址[[#This Row],[重点关键词]]="",100,101))</f>
        <v>101</v>
      </c>
      <c r="F22" t="s">
        <v>1588</v>
      </c>
      <c r="G22" t="s">
        <v>1589</v>
      </c>
      <c r="H22" t="s">
        <v>29</v>
      </c>
      <c r="I22" t="s">
        <v>1590</v>
      </c>
      <c r="J22" t="s">
        <v>1707</v>
      </c>
      <c r="K22" t="s">
        <v>573</v>
      </c>
      <c r="L22" t="s">
        <v>1875</v>
      </c>
      <c r="M22" t="s">
        <v>1878</v>
      </c>
      <c r="N22" t="s">
        <v>1848</v>
      </c>
    </row>
    <row r="23" spans="1:18" x14ac:dyDescent="0.2">
      <c r="A23" t="str">
        <f ca="1">表_网址[[#This Row],[1级]]&amp;"-"&amp;表_网址[[#This Row],[2级]]&amp;"-"&amp;表_网址[[#This Row],[3级]]&amp;"-"&amp;表_网址[[#This Row],[级内]]</f>
        <v>1002-15-10-100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15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100</v>
      </c>
      <c r="F23" t="s">
        <v>589</v>
      </c>
      <c r="G23" t="s">
        <v>590</v>
      </c>
      <c r="H23" t="s">
        <v>29</v>
      </c>
      <c r="J23" t="s">
        <v>1707</v>
      </c>
      <c r="K23" t="s">
        <v>573</v>
      </c>
      <c r="L23" t="s">
        <v>1873</v>
      </c>
      <c r="N23" t="s">
        <v>1848</v>
      </c>
      <c r="R23" t="s">
        <v>1826</v>
      </c>
    </row>
    <row r="24" spans="1:18" x14ac:dyDescent="0.2">
      <c r="A24" t="str">
        <f ca="1">表_网址[[#This Row],[1级]]&amp;"-"&amp;表_网址[[#This Row],[2级]]&amp;"-"&amp;表_网址[[#This Row],[3级]]&amp;"-"&amp;表_网址[[#This Row],[级内]]</f>
        <v>1002-16-10-100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100</v>
      </c>
      <c r="F24" t="s">
        <v>1857</v>
      </c>
      <c r="G24" s="8" t="s">
        <v>1855</v>
      </c>
      <c r="H24" t="s">
        <v>29</v>
      </c>
      <c r="I24" s="8" t="s">
        <v>1856</v>
      </c>
      <c r="J24" t="s">
        <v>1707</v>
      </c>
      <c r="K24" t="s">
        <v>573</v>
      </c>
      <c r="L24" t="s">
        <v>1867</v>
      </c>
      <c r="N24" t="s">
        <v>1848</v>
      </c>
      <c r="O24" t="s">
        <v>1166</v>
      </c>
      <c r="Q24">
        <v>32</v>
      </c>
    </row>
    <row r="25" spans="1:18" x14ac:dyDescent="0.2">
      <c r="A25" t="str">
        <f ca="1">表_网址[[#This Row],[1级]]&amp;"-"&amp;表_网址[[#This Row],[2级]]&amp;"-"&amp;表_网址[[#This Row],[3级]]&amp;"-"&amp;表_网址[[#This Row],[级内]]</f>
        <v>1002-16-10-101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101</v>
      </c>
      <c r="F25" t="s">
        <v>1863</v>
      </c>
      <c r="G25" s="8" t="s">
        <v>1862</v>
      </c>
      <c r="H25" t="s">
        <v>29</v>
      </c>
      <c r="I25" s="8" t="s">
        <v>1864</v>
      </c>
      <c r="J25" t="s">
        <v>1707</v>
      </c>
      <c r="K25" t="s">
        <v>573</v>
      </c>
      <c r="L25" t="s">
        <v>1867</v>
      </c>
      <c r="N25" t="s">
        <v>1848</v>
      </c>
      <c r="O25" t="s">
        <v>1166</v>
      </c>
      <c r="Q25">
        <v>100</v>
      </c>
    </row>
    <row r="26" spans="1:18" x14ac:dyDescent="0.2">
      <c r="A26" t="str">
        <f ca="1">表_网址[[#This Row],[1级]]&amp;"-"&amp;表_网址[[#This Row],[2级]]&amp;"-"&amp;表_网址[[#This Row],[3级]]&amp;"-"&amp;表_网址[[#This Row],[级内]]</f>
        <v>1002-16-10-102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102</v>
      </c>
      <c r="F26" t="s">
        <v>1859</v>
      </c>
      <c r="G26" s="8" t="s">
        <v>1860</v>
      </c>
      <c r="H26" t="s">
        <v>1865</v>
      </c>
      <c r="I26" s="8" t="s">
        <v>1861</v>
      </c>
      <c r="J26" t="s">
        <v>1707</v>
      </c>
      <c r="K26" t="s">
        <v>573</v>
      </c>
      <c r="L26" t="s">
        <v>1867</v>
      </c>
      <c r="N26" t="s">
        <v>1848</v>
      </c>
      <c r="Q26">
        <v>32</v>
      </c>
    </row>
    <row r="27" spans="1:18" x14ac:dyDescent="0.2">
      <c r="A27" t="str">
        <f ca="1">表_网址[[#This Row],[1级]]&amp;"-"&amp;表_网址[[#This Row],[2级]]&amp;"-"&amp;表_网址[[#This Row],[3级]]&amp;"-"&amp;表_网址[[#This Row],[级内]]</f>
        <v>1002-18-10-100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18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100</v>
      </c>
      <c r="F27" t="s">
        <v>1558</v>
      </c>
      <c r="G27" t="s">
        <v>1559</v>
      </c>
      <c r="H27" t="s">
        <v>1858</v>
      </c>
      <c r="I27" t="s">
        <v>1560</v>
      </c>
      <c r="J27" t="s">
        <v>1707</v>
      </c>
      <c r="K27" t="s">
        <v>573</v>
      </c>
      <c r="L27" t="s">
        <v>1871</v>
      </c>
      <c r="N27" t="s">
        <v>1848</v>
      </c>
      <c r="O27" t="s">
        <v>1166</v>
      </c>
    </row>
    <row r="28" spans="1:18" x14ac:dyDescent="0.2">
      <c r="A28" t="str">
        <f ca="1">表_网址[[#This Row],[1级]]&amp;"-"&amp;表_网址[[#This Row],[2级]]&amp;"-"&amp;表_网址[[#This Row],[3级]]&amp;"-"&amp;表_网址[[#This Row],[级内]]</f>
        <v>1002-18-10-101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18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101</v>
      </c>
      <c r="F28" t="s">
        <v>1554</v>
      </c>
      <c r="G28" t="s">
        <v>1555</v>
      </c>
      <c r="H28" t="s">
        <v>1858</v>
      </c>
      <c r="I28" t="s">
        <v>1556</v>
      </c>
      <c r="J28" t="s">
        <v>1707</v>
      </c>
      <c r="K28" t="s">
        <v>573</v>
      </c>
      <c r="L28" t="s">
        <v>1871</v>
      </c>
      <c r="N28" t="s">
        <v>1848</v>
      </c>
      <c r="Q28">
        <v>32</v>
      </c>
    </row>
    <row r="29" spans="1:18" x14ac:dyDescent="0.2">
      <c r="A29" t="str">
        <f ca="1">表_网址[[#This Row],[1级]]&amp;"-"&amp;表_网址[[#This Row],[2级]]&amp;"-"&amp;表_网址[[#This Row],[3级]]&amp;"-"&amp;表_网址[[#This Row],[级内]]</f>
        <v>1002-18-10-102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18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102</v>
      </c>
      <c r="F29" t="s">
        <v>1612</v>
      </c>
      <c r="G29" t="s">
        <v>1613</v>
      </c>
      <c r="H29" t="s">
        <v>29</v>
      </c>
      <c r="J29" t="s">
        <v>1707</v>
      </c>
      <c r="K29" t="s">
        <v>573</v>
      </c>
      <c r="L29" t="s">
        <v>1871</v>
      </c>
      <c r="N29" t="s">
        <v>1848</v>
      </c>
    </row>
    <row r="30" spans="1:18" x14ac:dyDescent="0.2">
      <c r="A30" t="str">
        <f ca="1">表_网址[[#This Row],[1级]]&amp;"-"&amp;表_网址[[#This Row],[2级]]&amp;"-"&amp;表_网址[[#This Row],[3级]]&amp;"-"&amp;表_网址[[#This Row],[级内]]</f>
        <v>1002-18-10-103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18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103</v>
      </c>
      <c r="F30" t="s">
        <v>1609</v>
      </c>
      <c r="G30" t="s">
        <v>1610</v>
      </c>
      <c r="H30" t="s">
        <v>1858</v>
      </c>
      <c r="I30" t="s">
        <v>1611</v>
      </c>
      <c r="J30" t="s">
        <v>1707</v>
      </c>
      <c r="K30" t="s">
        <v>573</v>
      </c>
      <c r="L30" t="s">
        <v>1871</v>
      </c>
      <c r="N30" t="s">
        <v>1848</v>
      </c>
      <c r="O30" t="s">
        <v>1166</v>
      </c>
    </row>
    <row r="31" spans="1:18" x14ac:dyDescent="0.2">
      <c r="A31" t="str">
        <f ca="1">表_网址[[#This Row],[1级]]&amp;"-"&amp;表_网址[[#This Row],[2级]]&amp;"-"&amp;表_网址[[#This Row],[3级]]&amp;"-"&amp;表_网址[[#This Row],[级内]]</f>
        <v>1002-18-10-104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18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104</v>
      </c>
      <c r="F31" t="s">
        <v>1561</v>
      </c>
      <c r="G31" t="s">
        <v>1562</v>
      </c>
      <c r="H31" t="s">
        <v>1858</v>
      </c>
      <c r="I31" t="s">
        <v>1563</v>
      </c>
      <c r="J31" t="s">
        <v>1707</v>
      </c>
      <c r="K31" t="s">
        <v>573</v>
      </c>
      <c r="L31" t="s">
        <v>1871</v>
      </c>
      <c r="N31" t="s">
        <v>1848</v>
      </c>
      <c r="O31" t="s">
        <v>1166</v>
      </c>
    </row>
    <row r="32" spans="1:18" x14ac:dyDescent="0.2">
      <c r="A32" t="str">
        <f ca="1">表_网址[[#This Row],[1级]]&amp;"-"&amp;表_网址[[#This Row],[2级]]&amp;"-"&amp;表_网址[[#This Row],[3级]]&amp;"-"&amp;表_网址[[#This Row],[级内]]</f>
        <v>1002-18-10-105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18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105</v>
      </c>
      <c r="F32" t="s">
        <v>1614</v>
      </c>
      <c r="G32" t="s">
        <v>1615</v>
      </c>
      <c r="H32" t="s">
        <v>1858</v>
      </c>
      <c r="J32" t="s">
        <v>1707</v>
      </c>
      <c r="K32" t="s">
        <v>573</v>
      </c>
      <c r="L32" t="s">
        <v>1871</v>
      </c>
      <c r="N32" t="s">
        <v>1848</v>
      </c>
    </row>
    <row r="33" spans="1:17" x14ac:dyDescent="0.2">
      <c r="A33" t="str">
        <f ca="1">表_网址[[#This Row],[1级]]&amp;"-"&amp;表_网址[[#This Row],[2级]]&amp;"-"&amp;表_网址[[#This Row],[3级]]&amp;"-"&amp;表_网址[[#This Row],[级内]]</f>
        <v>1002-18-10-106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18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106</v>
      </c>
      <c r="F33" t="s">
        <v>1616</v>
      </c>
      <c r="G33" t="s">
        <v>1617</v>
      </c>
      <c r="H33" t="s">
        <v>29</v>
      </c>
      <c r="J33" t="s">
        <v>1707</v>
      </c>
      <c r="K33" t="s">
        <v>573</v>
      </c>
      <c r="L33" t="s">
        <v>1871</v>
      </c>
      <c r="N33" t="s">
        <v>1848</v>
      </c>
    </row>
    <row r="34" spans="1:17" x14ac:dyDescent="0.2">
      <c r="A34" t="str">
        <f ca="1">表_网址[[#This Row],[1级]]&amp;"-"&amp;表_网址[[#This Row],[2级]]&amp;"-"&amp;表_网址[[#This Row],[3级]]&amp;"-"&amp;表_网址[[#This Row],[级内]]</f>
        <v>1002-18-10-107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18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107</v>
      </c>
      <c r="F34" t="s">
        <v>1576</v>
      </c>
      <c r="G34" t="s">
        <v>1577</v>
      </c>
      <c r="H34" t="s">
        <v>1858</v>
      </c>
      <c r="I34" t="s">
        <v>1578</v>
      </c>
      <c r="J34" t="s">
        <v>1707</v>
      </c>
      <c r="K34" t="s">
        <v>573</v>
      </c>
      <c r="L34" t="s">
        <v>1871</v>
      </c>
      <c r="N34" t="s">
        <v>1848</v>
      </c>
      <c r="O34" t="s">
        <v>1166</v>
      </c>
      <c r="Q34">
        <v>32</v>
      </c>
    </row>
    <row r="35" spans="1:17" x14ac:dyDescent="0.2">
      <c r="A35" t="str">
        <f ca="1">表_网址[[#This Row],[1级]]&amp;"-"&amp;表_网址[[#This Row],[2级]]&amp;"-"&amp;表_网址[[#This Row],[3级]]&amp;"-"&amp;表_网址[[#This Row],[级内]]</f>
        <v>1002-18-10-108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18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108</v>
      </c>
      <c r="F35" t="s">
        <v>1591</v>
      </c>
      <c r="G35" t="s">
        <v>1592</v>
      </c>
      <c r="H35" t="s">
        <v>1858</v>
      </c>
      <c r="I35" t="s">
        <v>1593</v>
      </c>
      <c r="J35" t="s">
        <v>1707</v>
      </c>
      <c r="K35" t="s">
        <v>573</v>
      </c>
      <c r="L35" t="s">
        <v>1871</v>
      </c>
      <c r="N35" t="s">
        <v>1848</v>
      </c>
      <c r="O35" t="s">
        <v>1166</v>
      </c>
    </row>
    <row r="36" spans="1:17" x14ac:dyDescent="0.2">
      <c r="A36" t="str">
        <f ca="1">表_网址[[#This Row],[1级]]&amp;"-"&amp;表_网址[[#This Row],[2级]]&amp;"-"&amp;表_网址[[#This Row],[3级]]&amp;"-"&amp;表_网址[[#This Row],[级内]]</f>
        <v>1002-18-10-109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18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109</v>
      </c>
      <c r="F36" t="s">
        <v>1606</v>
      </c>
      <c r="G36" t="s">
        <v>1607</v>
      </c>
      <c r="H36" t="s">
        <v>1858</v>
      </c>
      <c r="I36" t="s">
        <v>1608</v>
      </c>
      <c r="J36" t="s">
        <v>1707</v>
      </c>
      <c r="K36" t="s">
        <v>573</v>
      </c>
      <c r="L36" t="s">
        <v>1871</v>
      </c>
      <c r="N36" t="s">
        <v>1848</v>
      </c>
      <c r="O36" t="s">
        <v>1166</v>
      </c>
    </row>
    <row r="37" spans="1:17" x14ac:dyDescent="0.2">
      <c r="A37" t="str">
        <f ca="1">表_网址[[#This Row],[1级]]&amp;"-"&amp;表_网址[[#This Row],[2级]]&amp;"-"&amp;表_网址[[#This Row],[3级]]&amp;"-"&amp;表_网址[[#This Row],[级内]]</f>
        <v>1002-18-10-110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18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110</v>
      </c>
      <c r="F37" t="s">
        <v>1567</v>
      </c>
      <c r="G37" t="s">
        <v>1568</v>
      </c>
      <c r="H37" t="s">
        <v>1858</v>
      </c>
      <c r="I37" t="s">
        <v>1569</v>
      </c>
      <c r="J37" t="s">
        <v>1707</v>
      </c>
      <c r="K37" t="s">
        <v>573</v>
      </c>
      <c r="L37" t="s">
        <v>1871</v>
      </c>
      <c r="N37" t="s">
        <v>1848</v>
      </c>
      <c r="O37" t="s">
        <v>1166</v>
      </c>
    </row>
    <row r="38" spans="1:17" x14ac:dyDescent="0.2">
      <c r="A38" t="str">
        <f ca="1">表_网址[[#This Row],[1级]]&amp;"-"&amp;表_网址[[#This Row],[2级]]&amp;"-"&amp;表_网址[[#This Row],[3级]]&amp;"-"&amp;表_网址[[#This Row],[级内]]</f>
        <v>1002-18-10-111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18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111</v>
      </c>
      <c r="F38" t="s">
        <v>1579</v>
      </c>
      <c r="G38" t="s">
        <v>1580</v>
      </c>
      <c r="H38" t="s">
        <v>1858</v>
      </c>
      <c r="I38" t="s">
        <v>1581</v>
      </c>
      <c r="J38" t="s">
        <v>1707</v>
      </c>
      <c r="K38" t="s">
        <v>573</v>
      </c>
      <c r="L38" t="s">
        <v>1871</v>
      </c>
      <c r="N38" t="s">
        <v>1848</v>
      </c>
      <c r="O38" t="s">
        <v>1166</v>
      </c>
    </row>
    <row r="39" spans="1:17" x14ac:dyDescent="0.2">
      <c r="A39" t="str">
        <f ca="1">表_网址[[#This Row],[1级]]&amp;"-"&amp;表_网址[[#This Row],[2级]]&amp;"-"&amp;表_网址[[#This Row],[3级]]&amp;"-"&amp;表_网址[[#This Row],[级内]]</f>
        <v>1002-18-10-112</v>
      </c>
      <c r="B39" s="2">
        <f ca="1">MATCH(表_网址[[#This Row],[版层分类]],序列_版层分类,0)*1000+MATCH(表_网址[[#This Row],[首要关键词]],序列_首要关键词,0)</f>
        <v>1002</v>
      </c>
      <c r="C39" s="2">
        <f ca="1">IF(表_网址[[#This Row],[次要关键词]]="",10,MATCH(表_网址[[#This Row],[次要关键词]],序列_次要关键词,0)+10)</f>
        <v>18</v>
      </c>
      <c r="D39">
        <f>IF(表_网址[[#This Row],[重点关键词]]="",10,MATCH(表_网址[[#This Row],[重点关键词]],序列_重点关键词,0)+10)</f>
        <v>10</v>
      </c>
      <c r="E39" s="2">
        <f>IF(AND(表_网址[[#This Row],[首要关键词]]=K38,表_网址[[#This Row],[次要关键词]]=L38,表_网址[[#This Row],[重点关键词]]=M38),E38+1,IF(表_网址[[#This Row],[重点关键词]]="",100,101))</f>
        <v>112</v>
      </c>
      <c r="F39" t="s">
        <v>1594</v>
      </c>
      <c r="G39" t="s">
        <v>1595</v>
      </c>
      <c r="H39" t="s">
        <v>1858</v>
      </c>
      <c r="I39" t="s">
        <v>1596</v>
      </c>
      <c r="J39" t="s">
        <v>1707</v>
      </c>
      <c r="K39" t="s">
        <v>573</v>
      </c>
      <c r="L39" t="s">
        <v>1871</v>
      </c>
      <c r="N39" t="s">
        <v>1848</v>
      </c>
      <c r="O39" t="s">
        <v>1166</v>
      </c>
      <c r="Q39">
        <v>80</v>
      </c>
    </row>
    <row r="40" spans="1:17" x14ac:dyDescent="0.2">
      <c r="A40" t="str">
        <f ca="1">表_网址[[#This Row],[1级]]&amp;"-"&amp;表_网址[[#This Row],[2级]]&amp;"-"&amp;表_网址[[#This Row],[3级]]&amp;"-"&amp;表_网址[[#This Row],[级内]]</f>
        <v>1002-18-10-113</v>
      </c>
      <c r="B40" s="2">
        <f ca="1">MATCH(表_网址[[#This Row],[版层分类]],序列_版层分类,0)*1000+MATCH(表_网址[[#This Row],[首要关键词]],序列_首要关键词,0)</f>
        <v>1002</v>
      </c>
      <c r="C40" s="2">
        <f ca="1">IF(表_网址[[#This Row],[次要关键词]]="",10,MATCH(表_网址[[#This Row],[次要关键词]],序列_次要关键词,0)+10)</f>
        <v>18</v>
      </c>
      <c r="D40">
        <f>IF(表_网址[[#This Row],[重点关键词]]="",10,MATCH(表_网址[[#This Row],[重点关键词]],序列_重点关键词,0)+10)</f>
        <v>10</v>
      </c>
      <c r="E40" s="2">
        <f>IF(AND(表_网址[[#This Row],[首要关键词]]=K39,表_网址[[#This Row],[次要关键词]]=L39,表_网址[[#This Row],[重点关键词]]=M39),E39+1,IF(表_网址[[#This Row],[重点关键词]]="",100,101))</f>
        <v>113</v>
      </c>
      <c r="F40" t="s">
        <v>1618</v>
      </c>
      <c r="G40" t="s">
        <v>1619</v>
      </c>
      <c r="H40" t="s">
        <v>29</v>
      </c>
      <c r="J40" t="s">
        <v>1707</v>
      </c>
      <c r="K40" t="s">
        <v>573</v>
      </c>
      <c r="L40" t="s">
        <v>1871</v>
      </c>
      <c r="N40" t="s">
        <v>1848</v>
      </c>
    </row>
    <row r="41" spans="1:17" x14ac:dyDescent="0.2">
      <c r="A41" t="str">
        <f ca="1">表_网址[[#This Row],[1级]]&amp;"-"&amp;表_网址[[#This Row],[2级]]&amp;"-"&amp;表_网址[[#This Row],[3级]]&amp;"-"&amp;表_网址[[#This Row],[级内]]</f>
        <v>1002-18-10-114</v>
      </c>
      <c r="B41" s="2">
        <f ca="1">MATCH(表_网址[[#This Row],[版层分类]],序列_版层分类,0)*1000+MATCH(表_网址[[#This Row],[首要关键词]],序列_首要关键词,0)</f>
        <v>1002</v>
      </c>
      <c r="C41" s="2">
        <f ca="1">IF(表_网址[[#This Row],[次要关键词]]="",10,MATCH(表_网址[[#This Row],[次要关键词]],序列_次要关键词,0)+10)</f>
        <v>18</v>
      </c>
      <c r="D41">
        <f>IF(表_网址[[#This Row],[重点关键词]]="",10,MATCH(表_网址[[#This Row],[重点关键词]],序列_重点关键词,0)+10)</f>
        <v>10</v>
      </c>
      <c r="E41" s="2">
        <f>IF(AND(表_网址[[#This Row],[首要关键词]]=K40,表_网址[[#This Row],[次要关键词]]=L40,表_网址[[#This Row],[重点关键词]]=M40),E40+1,IF(表_网址[[#This Row],[重点关键词]]="",100,101))</f>
        <v>114</v>
      </c>
      <c r="F41" t="s">
        <v>1582</v>
      </c>
      <c r="G41" t="s">
        <v>1583</v>
      </c>
      <c r="H41" t="s">
        <v>29</v>
      </c>
      <c r="I41" t="s">
        <v>1584</v>
      </c>
      <c r="J41" t="s">
        <v>1707</v>
      </c>
      <c r="K41" t="s">
        <v>573</v>
      </c>
      <c r="L41" t="s">
        <v>1871</v>
      </c>
      <c r="N41" t="s">
        <v>1848</v>
      </c>
      <c r="O41" t="s">
        <v>1166</v>
      </c>
    </row>
    <row r="42" spans="1:17" x14ac:dyDescent="0.2">
      <c r="A42" t="str">
        <f ca="1">表_网址[[#This Row],[1级]]&amp;"-"&amp;表_网址[[#This Row],[2级]]&amp;"-"&amp;表_网址[[#This Row],[3级]]&amp;"-"&amp;表_网址[[#This Row],[级内]]</f>
        <v>1002-18-10-115</v>
      </c>
      <c r="B42" s="2">
        <f ca="1">MATCH(表_网址[[#This Row],[版层分类]],序列_版层分类,0)*1000+MATCH(表_网址[[#This Row],[首要关键词]],序列_首要关键词,0)</f>
        <v>1002</v>
      </c>
      <c r="C42" s="2">
        <f ca="1">IF(表_网址[[#This Row],[次要关键词]]="",10,MATCH(表_网址[[#This Row],[次要关键词]],序列_次要关键词,0)+10)</f>
        <v>18</v>
      </c>
      <c r="D42">
        <f>IF(表_网址[[#This Row],[重点关键词]]="",10,MATCH(表_网址[[#This Row],[重点关键词]],序列_重点关键词,0)+10)</f>
        <v>10</v>
      </c>
      <c r="E42" s="2">
        <f>IF(AND(表_网址[[#This Row],[首要关键词]]=K41,表_网址[[#This Row],[次要关键词]]=L41,表_网址[[#This Row],[重点关键词]]=M41),E41+1,IF(表_网址[[#This Row],[重点关键词]]="",100,101))</f>
        <v>115</v>
      </c>
      <c r="F42" t="s">
        <v>1597</v>
      </c>
      <c r="G42" t="s">
        <v>1598</v>
      </c>
      <c r="H42" t="s">
        <v>29</v>
      </c>
      <c r="I42" t="s">
        <v>1599</v>
      </c>
      <c r="J42" t="s">
        <v>1707</v>
      </c>
      <c r="K42" t="s">
        <v>573</v>
      </c>
      <c r="L42" t="s">
        <v>1871</v>
      </c>
      <c r="N42" t="s">
        <v>1848</v>
      </c>
      <c r="O42" t="s">
        <v>1166</v>
      </c>
    </row>
    <row r="43" spans="1:17" x14ac:dyDescent="0.2">
      <c r="A43" t="str">
        <f ca="1">表_网址[[#This Row],[1级]]&amp;"-"&amp;表_网址[[#This Row],[2级]]&amp;"-"&amp;表_网址[[#This Row],[3级]]&amp;"-"&amp;表_网址[[#This Row],[级内]]</f>
        <v>1002-18-10-116</v>
      </c>
      <c r="B43" s="2">
        <f ca="1">MATCH(表_网址[[#This Row],[版层分类]],序列_版层分类,0)*1000+MATCH(表_网址[[#This Row],[首要关键词]],序列_首要关键词,0)</f>
        <v>1002</v>
      </c>
      <c r="C43" s="2">
        <f ca="1">IF(表_网址[[#This Row],[次要关键词]]="",10,MATCH(表_网址[[#This Row],[次要关键词]],序列_次要关键词,0)+10)</f>
        <v>18</v>
      </c>
      <c r="D43">
        <f>IF(表_网址[[#This Row],[重点关键词]]="",10,MATCH(表_网址[[#This Row],[重点关键词]],序列_重点关键词,0)+10)</f>
        <v>10</v>
      </c>
      <c r="E43" s="2">
        <f>IF(AND(表_网址[[#This Row],[首要关键词]]=K42,表_网址[[#This Row],[次要关键词]]=L42,表_网址[[#This Row],[重点关键词]]=M42),E42+1,IF(表_网址[[#This Row],[重点关键词]]="",100,101))</f>
        <v>116</v>
      </c>
      <c r="F43" t="s">
        <v>1570</v>
      </c>
      <c r="G43" t="s">
        <v>1571</v>
      </c>
      <c r="H43" t="s">
        <v>29</v>
      </c>
      <c r="I43" t="s">
        <v>1572</v>
      </c>
      <c r="J43" t="s">
        <v>1707</v>
      </c>
      <c r="K43" t="s">
        <v>573</v>
      </c>
      <c r="L43" t="s">
        <v>1871</v>
      </c>
      <c r="N43" t="s">
        <v>1848</v>
      </c>
      <c r="O43" t="s">
        <v>1166</v>
      </c>
    </row>
    <row r="44" spans="1:17" x14ac:dyDescent="0.2">
      <c r="A44" t="str">
        <f ca="1">表_网址[[#This Row],[1级]]&amp;"-"&amp;表_网址[[#This Row],[2级]]&amp;"-"&amp;表_网址[[#This Row],[3级]]&amp;"-"&amp;表_网址[[#This Row],[级内]]</f>
        <v>1002-18-10-117</v>
      </c>
      <c r="B44" s="2">
        <f ca="1">MATCH(表_网址[[#This Row],[版层分类]],序列_版层分类,0)*1000+MATCH(表_网址[[#This Row],[首要关键词]],序列_首要关键词,0)</f>
        <v>1002</v>
      </c>
      <c r="C44" s="2">
        <f ca="1">IF(表_网址[[#This Row],[次要关键词]]="",10,MATCH(表_网址[[#This Row],[次要关键词]],序列_次要关键词,0)+10)</f>
        <v>18</v>
      </c>
      <c r="D44">
        <f>IF(表_网址[[#This Row],[重点关键词]]="",10,MATCH(表_网址[[#This Row],[重点关键词]],序列_重点关键词,0)+10)</f>
        <v>10</v>
      </c>
      <c r="E44" s="2">
        <f>IF(AND(表_网址[[#This Row],[首要关键词]]=K43,表_网址[[#This Row],[次要关键词]]=L43,表_网址[[#This Row],[重点关键词]]=M43),E43+1,IF(表_网址[[#This Row],[重点关键词]]="",100,101))</f>
        <v>117</v>
      </c>
      <c r="F44" t="s">
        <v>1585</v>
      </c>
      <c r="G44" t="s">
        <v>1586</v>
      </c>
      <c r="H44" t="s">
        <v>29</v>
      </c>
      <c r="I44" t="s">
        <v>1587</v>
      </c>
      <c r="J44" t="s">
        <v>1707</v>
      </c>
      <c r="K44" t="s">
        <v>573</v>
      </c>
      <c r="L44" t="s">
        <v>1871</v>
      </c>
      <c r="N44" t="s">
        <v>1848</v>
      </c>
      <c r="O44" t="s">
        <v>1166</v>
      </c>
      <c r="Q44">
        <v>48</v>
      </c>
    </row>
    <row r="45" spans="1:17" x14ac:dyDescent="0.2">
      <c r="A45" t="str">
        <f ca="1">表_网址[[#This Row],[1级]]&amp;"-"&amp;表_网址[[#This Row],[2级]]&amp;"-"&amp;表_网址[[#This Row],[3级]]&amp;"-"&amp;表_网址[[#This Row],[级内]]</f>
        <v>1002-18-10-118</v>
      </c>
      <c r="B45" s="2">
        <f ca="1">MATCH(表_网址[[#This Row],[版层分类]],序列_版层分类,0)*1000+MATCH(表_网址[[#This Row],[首要关键词]],序列_首要关键词,0)</f>
        <v>1002</v>
      </c>
      <c r="C45" s="2">
        <f ca="1">IF(表_网址[[#This Row],[次要关键词]]="",10,MATCH(表_网址[[#This Row],[次要关键词]],序列_次要关键词,0)+10)</f>
        <v>18</v>
      </c>
      <c r="D45">
        <f>IF(表_网址[[#This Row],[重点关键词]]="",10,MATCH(表_网址[[#This Row],[重点关键词]],序列_重点关键词,0)+10)</f>
        <v>10</v>
      </c>
      <c r="E45" s="2">
        <f>IF(AND(表_网址[[#This Row],[首要关键词]]=K44,表_网址[[#This Row],[次要关键词]]=L44,表_网址[[#This Row],[重点关键词]]=M44),E44+1,IF(表_网址[[#This Row],[重点关键词]]="",100,101))</f>
        <v>118</v>
      </c>
      <c r="F45" t="s">
        <v>1600</v>
      </c>
      <c r="G45" t="s">
        <v>1601</v>
      </c>
      <c r="H45" t="s">
        <v>29</v>
      </c>
      <c r="I45" t="s">
        <v>1602</v>
      </c>
      <c r="J45" t="s">
        <v>1707</v>
      </c>
      <c r="K45" t="s">
        <v>573</v>
      </c>
      <c r="L45" t="s">
        <v>1871</v>
      </c>
      <c r="N45" t="s">
        <v>1848</v>
      </c>
      <c r="O45" t="s">
        <v>1166</v>
      </c>
    </row>
    <row r="46" spans="1:17" x14ac:dyDescent="0.2">
      <c r="A46" t="str">
        <f ca="1">表_网址[[#This Row],[1级]]&amp;"-"&amp;表_网址[[#This Row],[2级]]&amp;"-"&amp;表_网址[[#This Row],[3级]]&amp;"-"&amp;表_网址[[#This Row],[级内]]</f>
        <v>1003-10-10-100</v>
      </c>
      <c r="B46" s="2">
        <f ca="1">MATCH(表_网址[[#This Row],[版层分类]],序列_版层分类,0)*1000+MATCH(表_网址[[#This Row],[首要关键词]],序列_首要关键词,0)</f>
        <v>1003</v>
      </c>
      <c r="C46" s="2">
        <f>IF(表_网址[[#This Row],[次要关键词]]="",10,MATCH(表_网址[[#This Row],[次要关键词]],序列_次要关键词,0)+10)</f>
        <v>10</v>
      </c>
      <c r="D46">
        <f>IF(表_网址[[#This Row],[重点关键词]]="",10,MATCH(表_网址[[#This Row],[重点关键词]],序列_重点关键词,0)+10)</f>
        <v>10</v>
      </c>
      <c r="E46" s="2">
        <f>IF(AND(表_网址[[#This Row],[首要关键词]]=K45,表_网址[[#This Row],[次要关键词]]=L45,表_网址[[#This Row],[重点关键词]]=M45),E45+1,IF(表_网址[[#This Row],[重点关键词]]="",100,101))</f>
        <v>100</v>
      </c>
      <c r="F46" t="s">
        <v>591</v>
      </c>
      <c r="G46" t="s">
        <v>592</v>
      </c>
      <c r="H46" t="s">
        <v>29</v>
      </c>
      <c r="I46" t="s">
        <v>593</v>
      </c>
      <c r="J46" t="s">
        <v>1707</v>
      </c>
      <c r="K46" t="s">
        <v>594</v>
      </c>
      <c r="N46" t="s">
        <v>1848</v>
      </c>
      <c r="O46" t="s">
        <v>1166</v>
      </c>
      <c r="Q46">
        <v>16</v>
      </c>
    </row>
    <row r="47" spans="1:17" x14ac:dyDescent="0.2">
      <c r="A47" t="str">
        <f ca="1">表_网址[[#This Row],[1级]]&amp;"-"&amp;表_网址[[#This Row],[2级]]&amp;"-"&amp;表_网址[[#This Row],[3级]]&amp;"-"&amp;表_网址[[#This Row],[级内]]</f>
        <v>1003-10-10-101</v>
      </c>
      <c r="B47" s="2">
        <f ca="1">MATCH(表_网址[[#This Row],[版层分类]],序列_版层分类,0)*1000+MATCH(表_网址[[#This Row],[首要关键词]],序列_首要关键词,0)</f>
        <v>1003</v>
      </c>
      <c r="C47" s="2">
        <f>IF(表_网址[[#This Row],[次要关键词]]="",10,MATCH(表_网址[[#This Row],[次要关键词]],序列_次要关键词,0)+10)</f>
        <v>10</v>
      </c>
      <c r="D47">
        <f>IF(表_网址[[#This Row],[重点关键词]]="",10,MATCH(表_网址[[#This Row],[重点关键词]],序列_重点关键词,0)+10)</f>
        <v>10</v>
      </c>
      <c r="E47" s="2">
        <f>IF(AND(表_网址[[#This Row],[首要关键词]]=K46,表_网址[[#This Row],[次要关键词]]=L46,表_网址[[#This Row],[重点关键词]]=M46),E46+1,IF(表_网址[[#This Row],[重点关键词]]="",100,101))</f>
        <v>101</v>
      </c>
      <c r="F47" t="s">
        <v>595</v>
      </c>
      <c r="G47" t="s">
        <v>596</v>
      </c>
      <c r="H47" t="s">
        <v>29</v>
      </c>
      <c r="I47" t="s">
        <v>597</v>
      </c>
      <c r="J47" t="s">
        <v>1707</v>
      </c>
      <c r="K47" t="s">
        <v>594</v>
      </c>
      <c r="N47" t="s">
        <v>1848</v>
      </c>
      <c r="O47" t="s">
        <v>1166</v>
      </c>
      <c r="Q47">
        <v>32</v>
      </c>
    </row>
    <row r="48" spans="1:17" x14ac:dyDescent="0.2">
      <c r="A48" t="str">
        <f ca="1">表_网址[[#This Row],[1级]]&amp;"-"&amp;表_网址[[#This Row],[2级]]&amp;"-"&amp;表_网址[[#This Row],[3级]]&amp;"-"&amp;表_网址[[#This Row],[级内]]</f>
        <v>1003-10-10-102</v>
      </c>
      <c r="B48" s="2">
        <f ca="1">MATCH(表_网址[[#This Row],[版层分类]],序列_版层分类,0)*1000+MATCH(表_网址[[#This Row],[首要关键词]],序列_首要关键词,0)</f>
        <v>1003</v>
      </c>
      <c r="C48" s="2">
        <f>IF(表_网址[[#This Row],[次要关键词]]="",10,MATCH(表_网址[[#This Row],[次要关键词]],序列_次要关键词,0)+10)</f>
        <v>10</v>
      </c>
      <c r="D48">
        <f>IF(表_网址[[#This Row],[重点关键词]]="",10,MATCH(表_网址[[#This Row],[重点关键词]],序列_重点关键词,0)+10)</f>
        <v>10</v>
      </c>
      <c r="E48" s="2">
        <f>IF(AND(表_网址[[#This Row],[首要关键词]]=K47,表_网址[[#This Row],[次要关键词]]=L47,表_网址[[#This Row],[重点关键词]]=M47),E47+1,IF(表_网址[[#This Row],[重点关键词]]="",100,101))</f>
        <v>102</v>
      </c>
      <c r="F48" t="s">
        <v>598</v>
      </c>
      <c r="G48" t="s">
        <v>599</v>
      </c>
      <c r="H48" t="s">
        <v>29</v>
      </c>
      <c r="I48" t="s">
        <v>600</v>
      </c>
      <c r="J48" t="s">
        <v>1707</v>
      </c>
      <c r="K48" t="s">
        <v>594</v>
      </c>
      <c r="N48" t="s">
        <v>1848</v>
      </c>
      <c r="O48" t="s">
        <v>1166</v>
      </c>
      <c r="Q48">
        <v>48</v>
      </c>
    </row>
    <row r="49" spans="1:18" x14ac:dyDescent="0.2">
      <c r="A49" t="str">
        <f ca="1">表_网址[[#This Row],[1级]]&amp;"-"&amp;表_网址[[#This Row],[2级]]&amp;"-"&amp;表_网址[[#This Row],[3级]]&amp;"-"&amp;表_网址[[#This Row],[级内]]</f>
        <v>5001-10-10-100</v>
      </c>
      <c r="B49" s="2">
        <f ca="1">MATCH(表_网址[[#This Row],[版层分类]],序列_版层分类,0)*1000+MATCH(表_网址[[#This Row],[首要关键词]],序列_首要关键词,0)</f>
        <v>5001</v>
      </c>
      <c r="C49" s="2">
        <f>IF(表_网址[[#This Row],[次要关键词]]="",10,MATCH(表_网址[[#This Row],[次要关键词]],序列_次要关键词,0)+10)</f>
        <v>10</v>
      </c>
      <c r="D49">
        <f>IF(表_网址[[#This Row],[重点关键词]]="",10,MATCH(表_网址[[#This Row],[重点关键词]],序列_重点关键词,0)+10)</f>
        <v>10</v>
      </c>
      <c r="E49" s="2">
        <f>IF(AND(表_网址[[#This Row],[首要关键词]]=K48,表_网址[[#This Row],[次要关键词]]=L48,表_网址[[#This Row],[重点关键词]]=M48),E48+1,IF(表_网址[[#This Row],[重点关键词]]="",100,101))</f>
        <v>100</v>
      </c>
      <c r="F49" t="s">
        <v>698</v>
      </c>
      <c r="G49" t="s">
        <v>699</v>
      </c>
      <c r="H49" t="s">
        <v>29</v>
      </c>
      <c r="I49" t="s">
        <v>700</v>
      </c>
      <c r="J49" t="s">
        <v>1742</v>
      </c>
      <c r="K49" t="s">
        <v>1744</v>
      </c>
      <c r="N49" t="s">
        <v>1848</v>
      </c>
      <c r="O49" t="s">
        <v>1166</v>
      </c>
    </row>
    <row r="50" spans="1:18" x14ac:dyDescent="0.2">
      <c r="A50" t="str">
        <f ca="1">表_网址[[#This Row],[1级]]&amp;"-"&amp;表_网址[[#This Row],[2级]]&amp;"-"&amp;表_网址[[#This Row],[3级]]&amp;"-"&amp;表_网址[[#This Row],[级内]]</f>
        <v>5001-11-10-100</v>
      </c>
      <c r="B50" s="2">
        <f ca="1">MATCH(表_网址[[#This Row],[版层分类]],序列_版层分类,0)*1000+MATCH(表_网址[[#This Row],[首要关键词]],序列_首要关键词,0)</f>
        <v>5001</v>
      </c>
      <c r="C50" s="2">
        <f ca="1">IF(表_网址[[#This Row],[次要关键词]]="",10,MATCH(表_网址[[#This Row],[次要关键词]],序列_次要关键词,0)+10)</f>
        <v>11</v>
      </c>
      <c r="D50">
        <f>IF(表_网址[[#This Row],[重点关键词]]="",10,MATCH(表_网址[[#This Row],[重点关键词]],序列_重点关键词,0)+10)</f>
        <v>10</v>
      </c>
      <c r="E50" s="2">
        <f>IF(AND(表_网址[[#This Row],[首要关键词]]=K49,表_网址[[#This Row],[次要关键词]]=L49,表_网址[[#This Row],[重点关键词]]=M49),E49+1,IF(表_网址[[#This Row],[重点关键词]]="",100,101))</f>
        <v>100</v>
      </c>
      <c r="F50" t="s">
        <v>108</v>
      </c>
      <c r="G50" t="s">
        <v>109</v>
      </c>
      <c r="H50" t="s">
        <v>29</v>
      </c>
      <c r="I50" t="s">
        <v>110</v>
      </c>
      <c r="J50" t="s">
        <v>1742</v>
      </c>
      <c r="K50" t="s">
        <v>1744</v>
      </c>
      <c r="L50" t="s">
        <v>701</v>
      </c>
      <c r="N50" t="s">
        <v>1848</v>
      </c>
      <c r="Q50">
        <v>16</v>
      </c>
      <c r="R50" t="s">
        <v>1826</v>
      </c>
    </row>
    <row r="51" spans="1:18" x14ac:dyDescent="0.2">
      <c r="A51" t="str">
        <f ca="1">表_网址[[#This Row],[1级]]&amp;"-"&amp;表_网址[[#This Row],[2级]]&amp;"-"&amp;表_网址[[#This Row],[3级]]&amp;"-"&amp;表_网址[[#This Row],[级内]]</f>
        <v>5001-12-10-100</v>
      </c>
      <c r="B51" s="2">
        <f ca="1">MATCH(表_网址[[#This Row],[版层分类]],序列_版层分类,0)*1000+MATCH(表_网址[[#This Row],[首要关键词]],序列_首要关键词,0)</f>
        <v>5001</v>
      </c>
      <c r="C51" s="2">
        <f ca="1">IF(表_网址[[#This Row],[次要关键词]]="",10,MATCH(表_网址[[#This Row],[次要关键词]],序列_次要关键词,0)+10)</f>
        <v>12</v>
      </c>
      <c r="D51">
        <f>IF(表_网址[[#This Row],[重点关键词]]="",10,MATCH(表_网址[[#This Row],[重点关键词]],序列_重点关键词,0)+10)</f>
        <v>10</v>
      </c>
      <c r="E51" s="2">
        <f>IF(AND(表_网址[[#This Row],[首要关键词]]=K50,表_网址[[#This Row],[次要关键词]]=L50,表_网址[[#This Row],[重点关键词]]=M50),E50+1,IF(表_网址[[#This Row],[重点关键词]]="",100,101))</f>
        <v>100</v>
      </c>
      <c r="F51" t="s">
        <v>702</v>
      </c>
      <c r="G51" t="s">
        <v>703</v>
      </c>
      <c r="H51" t="s">
        <v>29</v>
      </c>
      <c r="I51" t="s">
        <v>704</v>
      </c>
      <c r="J51" t="s">
        <v>1742</v>
      </c>
      <c r="K51" t="s">
        <v>1744</v>
      </c>
      <c r="L51" t="s">
        <v>705</v>
      </c>
      <c r="N51" t="s">
        <v>1848</v>
      </c>
      <c r="Q51">
        <v>64</v>
      </c>
      <c r="R51" t="s">
        <v>1826</v>
      </c>
    </row>
    <row r="52" spans="1:18" x14ac:dyDescent="0.2">
      <c r="A52" t="str">
        <f ca="1">表_网址[[#This Row],[1级]]&amp;"-"&amp;表_网址[[#This Row],[2级]]&amp;"-"&amp;表_网址[[#This Row],[3级]]&amp;"-"&amp;表_网址[[#This Row],[级内]]</f>
        <v>5001-12-10-101</v>
      </c>
      <c r="B52" s="2">
        <f ca="1">MATCH(表_网址[[#This Row],[版层分类]],序列_版层分类,0)*1000+MATCH(表_网址[[#This Row],[首要关键词]],序列_首要关键词,0)</f>
        <v>5001</v>
      </c>
      <c r="C52" s="2">
        <f ca="1">IF(表_网址[[#This Row],[次要关键词]]="",10,MATCH(表_网址[[#This Row],[次要关键词]],序列_次要关键词,0)+10)</f>
        <v>12</v>
      </c>
      <c r="D52">
        <f>IF(表_网址[[#This Row],[重点关键词]]="",10,MATCH(表_网址[[#This Row],[重点关键词]],序列_重点关键词,0)+10)</f>
        <v>10</v>
      </c>
      <c r="E52" s="2">
        <f>IF(AND(表_网址[[#This Row],[首要关键词]]=K51,表_网址[[#This Row],[次要关键词]]=L51,表_网址[[#This Row],[重点关键词]]=M51),E51+1,IF(表_网址[[#This Row],[重点关键词]]="",100,101))</f>
        <v>101</v>
      </c>
      <c r="F52" t="s">
        <v>706</v>
      </c>
      <c r="G52" t="s">
        <v>707</v>
      </c>
      <c r="H52" t="s">
        <v>29</v>
      </c>
      <c r="J52" t="s">
        <v>1742</v>
      </c>
      <c r="K52" t="s">
        <v>1744</v>
      </c>
      <c r="L52" t="s">
        <v>705</v>
      </c>
      <c r="N52" t="s">
        <v>1848</v>
      </c>
      <c r="R52" t="s">
        <v>1826</v>
      </c>
    </row>
    <row r="53" spans="1:18" x14ac:dyDescent="0.2">
      <c r="A53" t="str">
        <f ca="1">表_网址[[#This Row],[1级]]&amp;"-"&amp;表_网址[[#This Row],[2级]]&amp;"-"&amp;表_网址[[#This Row],[3级]]&amp;"-"&amp;表_网址[[#This Row],[级内]]</f>
        <v>5001-12-10-102</v>
      </c>
      <c r="B53" s="2">
        <f ca="1">MATCH(表_网址[[#This Row],[版层分类]],序列_版层分类,0)*1000+MATCH(表_网址[[#This Row],[首要关键词]],序列_首要关键词,0)</f>
        <v>5001</v>
      </c>
      <c r="C53" s="2">
        <f ca="1">IF(表_网址[[#This Row],[次要关键词]]="",10,MATCH(表_网址[[#This Row],[次要关键词]],序列_次要关键词,0)+10)</f>
        <v>12</v>
      </c>
      <c r="D53">
        <f>IF(表_网址[[#This Row],[重点关键词]]="",10,MATCH(表_网址[[#This Row],[重点关键词]],序列_重点关键词,0)+10)</f>
        <v>10</v>
      </c>
      <c r="E53" s="2">
        <f>IF(AND(表_网址[[#This Row],[首要关键词]]=K52,表_网址[[#This Row],[次要关键词]]=L52,表_网址[[#This Row],[重点关键词]]=M52),E52+1,IF(表_网址[[#This Row],[重点关键词]]="",100,101))</f>
        <v>102</v>
      </c>
      <c r="F53" t="s">
        <v>708</v>
      </c>
      <c r="G53" t="s">
        <v>709</v>
      </c>
      <c r="H53" t="s">
        <v>29</v>
      </c>
      <c r="J53" t="s">
        <v>1742</v>
      </c>
      <c r="K53" t="s">
        <v>1744</v>
      </c>
      <c r="L53" t="s">
        <v>705</v>
      </c>
      <c r="N53" t="s">
        <v>1848</v>
      </c>
      <c r="R53" t="s">
        <v>1826</v>
      </c>
    </row>
    <row r="54" spans="1:18" x14ac:dyDescent="0.2">
      <c r="A54" t="str">
        <f ca="1">表_网址[[#This Row],[1级]]&amp;"-"&amp;表_网址[[#This Row],[2级]]&amp;"-"&amp;表_网址[[#This Row],[3级]]&amp;"-"&amp;表_网址[[#This Row],[级内]]</f>
        <v>5001-13-10-100</v>
      </c>
      <c r="B54" s="2">
        <f ca="1">MATCH(表_网址[[#This Row],[版层分类]],序列_版层分类,0)*1000+MATCH(表_网址[[#This Row],[首要关键词]],序列_首要关键词,0)</f>
        <v>5001</v>
      </c>
      <c r="C54" s="2">
        <f ca="1">IF(表_网址[[#This Row],[次要关键词]]="",10,MATCH(表_网址[[#This Row],[次要关键词]],序列_次要关键词,0)+10)</f>
        <v>13</v>
      </c>
      <c r="D54">
        <f>IF(表_网址[[#This Row],[重点关键词]]="",10,MATCH(表_网址[[#This Row],[重点关键词]],序列_重点关键词,0)+10)</f>
        <v>10</v>
      </c>
      <c r="E54" s="2">
        <f>IF(AND(表_网址[[#This Row],[首要关键词]]=K53,表_网址[[#This Row],[次要关键词]]=L53,表_网址[[#This Row],[重点关键词]]=M53),E53+1,IF(表_网址[[#This Row],[重点关键词]]="",100,101))</f>
        <v>100</v>
      </c>
      <c r="F54" t="s">
        <v>710</v>
      </c>
      <c r="G54" t="s">
        <v>711</v>
      </c>
      <c r="H54" t="s">
        <v>29</v>
      </c>
      <c r="I54" t="s">
        <v>712</v>
      </c>
      <c r="J54" t="s">
        <v>1742</v>
      </c>
      <c r="K54" t="s">
        <v>1744</v>
      </c>
      <c r="L54" t="s">
        <v>713</v>
      </c>
      <c r="N54" t="s">
        <v>1848</v>
      </c>
      <c r="R54" t="s">
        <v>1826</v>
      </c>
    </row>
    <row r="55" spans="1:18" x14ac:dyDescent="0.2">
      <c r="A55" t="str">
        <f ca="1">表_网址[[#This Row],[1级]]&amp;"-"&amp;表_网址[[#This Row],[2级]]&amp;"-"&amp;表_网址[[#This Row],[3级]]&amp;"-"&amp;表_网址[[#This Row],[级内]]</f>
        <v>5001-14-10-100</v>
      </c>
      <c r="B55" s="2">
        <f ca="1">MATCH(表_网址[[#This Row],[版层分类]],序列_版层分类,0)*1000+MATCH(表_网址[[#This Row],[首要关键词]],序列_首要关键词,0)</f>
        <v>5001</v>
      </c>
      <c r="C55" s="2">
        <f ca="1">IF(表_网址[[#This Row],[次要关键词]]="",10,MATCH(表_网址[[#This Row],[次要关键词]],序列_次要关键词,0)+10)</f>
        <v>14</v>
      </c>
      <c r="D55">
        <f>IF(表_网址[[#This Row],[重点关键词]]="",10,MATCH(表_网址[[#This Row],[重点关键词]],序列_重点关键词,0)+10)</f>
        <v>10</v>
      </c>
      <c r="E55" s="2">
        <f>IF(AND(表_网址[[#This Row],[首要关键词]]=K54,表_网址[[#This Row],[次要关键词]]=L54,表_网址[[#This Row],[重点关键词]]=M54),E54+1,IF(表_网址[[#This Row],[重点关键词]]="",100,101))</f>
        <v>100</v>
      </c>
      <c r="F55" t="s">
        <v>714</v>
      </c>
      <c r="G55" t="s">
        <v>715</v>
      </c>
      <c r="H55" t="s">
        <v>29</v>
      </c>
      <c r="I55" t="s">
        <v>716</v>
      </c>
      <c r="J55" t="s">
        <v>1742</v>
      </c>
      <c r="K55" t="s">
        <v>1744</v>
      </c>
      <c r="L55" t="s">
        <v>717</v>
      </c>
      <c r="N55" t="s">
        <v>1848</v>
      </c>
      <c r="O55" t="s">
        <v>1166</v>
      </c>
      <c r="Q55">
        <v>16</v>
      </c>
      <c r="R55" t="s">
        <v>1826</v>
      </c>
    </row>
    <row r="56" spans="1:18" x14ac:dyDescent="0.2">
      <c r="A56" t="str">
        <f ca="1">表_网址[[#This Row],[1级]]&amp;"-"&amp;表_网址[[#This Row],[2级]]&amp;"-"&amp;表_网址[[#This Row],[3级]]&amp;"-"&amp;表_网址[[#This Row],[级内]]</f>
        <v>5001-14-10-101</v>
      </c>
      <c r="B56" s="2">
        <f ca="1">MATCH(表_网址[[#This Row],[版层分类]],序列_版层分类,0)*1000+MATCH(表_网址[[#This Row],[首要关键词]],序列_首要关键词,0)</f>
        <v>5001</v>
      </c>
      <c r="C56" s="2">
        <f ca="1">IF(表_网址[[#This Row],[次要关键词]]="",10,MATCH(表_网址[[#This Row],[次要关键词]],序列_次要关键词,0)+10)</f>
        <v>14</v>
      </c>
      <c r="D56">
        <f>IF(表_网址[[#This Row],[重点关键词]]="",10,MATCH(表_网址[[#This Row],[重点关键词]],序列_重点关键词,0)+10)</f>
        <v>10</v>
      </c>
      <c r="E56" s="2">
        <f>IF(AND(表_网址[[#This Row],[首要关键词]]=K55,表_网址[[#This Row],[次要关键词]]=L55,表_网址[[#This Row],[重点关键词]]=M55),E55+1,IF(表_网址[[#This Row],[重点关键词]]="",100,101))</f>
        <v>101</v>
      </c>
      <c r="F56" t="s">
        <v>718</v>
      </c>
      <c r="G56" t="s">
        <v>719</v>
      </c>
      <c r="H56" t="s">
        <v>29</v>
      </c>
      <c r="I56" t="s">
        <v>720</v>
      </c>
      <c r="J56" t="s">
        <v>1742</v>
      </c>
      <c r="K56" t="s">
        <v>1744</v>
      </c>
      <c r="L56" t="s">
        <v>717</v>
      </c>
      <c r="N56" t="s">
        <v>1848</v>
      </c>
      <c r="R56" t="s">
        <v>1826</v>
      </c>
    </row>
    <row r="57" spans="1:18" x14ac:dyDescent="0.2">
      <c r="A57" t="str">
        <f ca="1">表_网址[[#This Row],[1级]]&amp;"-"&amp;表_网址[[#This Row],[2级]]&amp;"-"&amp;表_网址[[#This Row],[3级]]&amp;"-"&amp;表_网址[[#This Row],[级内]]</f>
        <v>5001-14-10-102</v>
      </c>
      <c r="B57" s="2">
        <f ca="1">MATCH(表_网址[[#This Row],[版层分类]],序列_版层分类,0)*1000+MATCH(表_网址[[#This Row],[首要关键词]],序列_首要关键词,0)</f>
        <v>5001</v>
      </c>
      <c r="C57" s="2">
        <f ca="1">IF(表_网址[[#This Row],[次要关键词]]="",10,MATCH(表_网址[[#This Row],[次要关键词]],序列_次要关键词,0)+10)</f>
        <v>14</v>
      </c>
      <c r="D57">
        <f>IF(表_网址[[#This Row],[重点关键词]]="",10,MATCH(表_网址[[#This Row],[重点关键词]],序列_重点关键词,0)+10)</f>
        <v>10</v>
      </c>
      <c r="E57" s="2">
        <f>IF(AND(表_网址[[#This Row],[首要关键词]]=K56,表_网址[[#This Row],[次要关键词]]=L56,表_网址[[#This Row],[重点关键词]]=M56),E56+1,IF(表_网址[[#This Row],[重点关键词]]="",100,101))</f>
        <v>102</v>
      </c>
      <c r="F57" t="s">
        <v>721</v>
      </c>
      <c r="G57" t="s">
        <v>722</v>
      </c>
      <c r="H57" t="s">
        <v>29</v>
      </c>
      <c r="I57" t="s">
        <v>723</v>
      </c>
      <c r="J57" t="s">
        <v>1742</v>
      </c>
      <c r="K57" t="s">
        <v>1744</v>
      </c>
      <c r="L57" t="s">
        <v>717</v>
      </c>
      <c r="N57" t="s">
        <v>1848</v>
      </c>
      <c r="Q57">
        <v>16</v>
      </c>
      <c r="R57" t="s">
        <v>1826</v>
      </c>
    </row>
    <row r="58" spans="1:18" x14ac:dyDescent="0.2">
      <c r="A58" t="str">
        <f ca="1">表_网址[[#This Row],[1级]]&amp;"-"&amp;表_网址[[#This Row],[2级]]&amp;"-"&amp;表_网址[[#This Row],[3级]]&amp;"-"&amp;表_网址[[#This Row],[级内]]</f>
        <v>5001-14-10-103</v>
      </c>
      <c r="B58" s="2">
        <f ca="1">MATCH(表_网址[[#This Row],[版层分类]],序列_版层分类,0)*1000+MATCH(表_网址[[#This Row],[首要关键词]],序列_首要关键词,0)</f>
        <v>5001</v>
      </c>
      <c r="C58" s="2">
        <f ca="1">IF(表_网址[[#This Row],[次要关键词]]="",10,MATCH(表_网址[[#This Row],[次要关键词]],序列_次要关键词,0)+10)</f>
        <v>14</v>
      </c>
      <c r="D58">
        <f>IF(表_网址[[#This Row],[重点关键词]]="",10,MATCH(表_网址[[#This Row],[重点关键词]],序列_重点关键词,0)+10)</f>
        <v>10</v>
      </c>
      <c r="E58" s="2">
        <f>IF(AND(表_网址[[#This Row],[首要关键词]]=K57,表_网址[[#This Row],[次要关键词]]=L57,表_网址[[#This Row],[重点关键词]]=M57),E57+1,IF(表_网址[[#This Row],[重点关键词]]="",100,101))</f>
        <v>103</v>
      </c>
      <c r="F58" t="s">
        <v>724</v>
      </c>
      <c r="G58" t="s">
        <v>725</v>
      </c>
      <c r="H58" t="s">
        <v>29</v>
      </c>
      <c r="I58" t="s">
        <v>726</v>
      </c>
      <c r="J58" t="s">
        <v>1742</v>
      </c>
      <c r="K58" t="s">
        <v>1744</v>
      </c>
      <c r="L58" t="s">
        <v>717</v>
      </c>
      <c r="N58" t="s">
        <v>1848</v>
      </c>
      <c r="Q58">
        <v>16</v>
      </c>
      <c r="R58" t="s">
        <v>1826</v>
      </c>
    </row>
    <row r="59" spans="1:18" x14ac:dyDescent="0.2">
      <c r="A59" t="str">
        <f ca="1">表_网址[[#This Row],[1级]]&amp;"-"&amp;表_网址[[#This Row],[2级]]&amp;"-"&amp;表_网址[[#This Row],[3级]]&amp;"-"&amp;表_网址[[#This Row],[级内]]</f>
        <v>5001-14-10-104</v>
      </c>
      <c r="B59" s="2">
        <f ca="1">MATCH(表_网址[[#This Row],[版层分类]],序列_版层分类,0)*1000+MATCH(表_网址[[#This Row],[首要关键词]],序列_首要关键词,0)</f>
        <v>5001</v>
      </c>
      <c r="C59" s="2">
        <f ca="1">IF(表_网址[[#This Row],[次要关键词]]="",10,MATCH(表_网址[[#This Row],[次要关键词]],序列_次要关键词,0)+10)</f>
        <v>14</v>
      </c>
      <c r="D59">
        <f>IF(表_网址[[#This Row],[重点关键词]]="",10,MATCH(表_网址[[#This Row],[重点关键词]],序列_重点关键词,0)+10)</f>
        <v>10</v>
      </c>
      <c r="E59" s="2">
        <f>IF(AND(表_网址[[#This Row],[首要关键词]]=K58,表_网址[[#This Row],[次要关键词]]=L58,表_网址[[#This Row],[重点关键词]]=M58),E58+1,IF(表_网址[[#This Row],[重点关键词]]="",100,101))</f>
        <v>104</v>
      </c>
      <c r="F59" t="s">
        <v>727</v>
      </c>
      <c r="G59" t="s">
        <v>728</v>
      </c>
      <c r="H59" t="s">
        <v>29</v>
      </c>
      <c r="I59" t="s">
        <v>729</v>
      </c>
      <c r="J59" t="s">
        <v>1742</v>
      </c>
      <c r="K59" t="s">
        <v>1744</v>
      </c>
      <c r="L59" t="s">
        <v>717</v>
      </c>
      <c r="N59" t="s">
        <v>1848</v>
      </c>
      <c r="O59" t="s">
        <v>1166</v>
      </c>
      <c r="Q59">
        <v>16</v>
      </c>
      <c r="R59" t="s">
        <v>1826</v>
      </c>
    </row>
    <row r="60" spans="1:18" x14ac:dyDescent="0.2">
      <c r="A60" t="str">
        <f ca="1">表_网址[[#This Row],[1级]]&amp;"-"&amp;表_网址[[#This Row],[2级]]&amp;"-"&amp;表_网址[[#This Row],[3级]]&amp;"-"&amp;表_网址[[#This Row],[级内]]</f>
        <v>5001-15-10-100</v>
      </c>
      <c r="B60" s="2">
        <f ca="1">MATCH(表_网址[[#This Row],[版层分类]],序列_版层分类,0)*1000+MATCH(表_网址[[#This Row],[首要关键词]],序列_首要关键词,0)</f>
        <v>5001</v>
      </c>
      <c r="C60" s="2">
        <f ca="1">IF(表_网址[[#This Row],[次要关键词]]="",10,MATCH(表_网址[[#This Row],[次要关键词]],序列_次要关键词,0)+10)</f>
        <v>15</v>
      </c>
      <c r="D60">
        <f>IF(表_网址[[#This Row],[重点关键词]]="",10,MATCH(表_网址[[#This Row],[重点关键词]],序列_重点关键词,0)+10)</f>
        <v>10</v>
      </c>
      <c r="E60" s="2">
        <f>IF(AND(表_网址[[#This Row],[首要关键词]]=K59,表_网址[[#This Row],[次要关键词]]=L59,表_网址[[#This Row],[重点关键词]]=M59),E59+1,IF(表_网址[[#This Row],[重点关键词]]="",100,101))</f>
        <v>100</v>
      </c>
      <c r="F60" t="s">
        <v>698</v>
      </c>
      <c r="G60" t="s">
        <v>699</v>
      </c>
      <c r="H60" t="s">
        <v>29</v>
      </c>
      <c r="I60" t="s">
        <v>700</v>
      </c>
      <c r="J60" t="s">
        <v>1742</v>
      </c>
      <c r="K60" t="s">
        <v>1744</v>
      </c>
      <c r="L60" t="s">
        <v>730</v>
      </c>
      <c r="N60" t="s">
        <v>1848</v>
      </c>
      <c r="O60" t="s">
        <v>1166</v>
      </c>
      <c r="Q60">
        <v>48</v>
      </c>
      <c r="R60" t="s">
        <v>1826</v>
      </c>
    </row>
    <row r="61" spans="1:18" x14ac:dyDescent="0.2">
      <c r="A61" t="str">
        <f ca="1">表_网址[[#This Row],[1级]]&amp;"-"&amp;表_网址[[#This Row],[2级]]&amp;"-"&amp;表_网址[[#This Row],[3级]]&amp;"-"&amp;表_网址[[#This Row],[级内]]</f>
        <v>5001-15-10-101</v>
      </c>
      <c r="B61" s="2">
        <f ca="1">MATCH(表_网址[[#This Row],[版层分类]],序列_版层分类,0)*1000+MATCH(表_网址[[#This Row],[首要关键词]],序列_首要关键词,0)</f>
        <v>5001</v>
      </c>
      <c r="C61" s="2">
        <f ca="1">IF(表_网址[[#This Row],[次要关键词]]="",10,MATCH(表_网址[[#This Row],[次要关键词]],序列_次要关键词,0)+10)</f>
        <v>15</v>
      </c>
      <c r="D61">
        <f>IF(表_网址[[#This Row],[重点关键词]]="",10,MATCH(表_网址[[#This Row],[重点关键词]],序列_重点关键词,0)+10)</f>
        <v>10</v>
      </c>
      <c r="E61" s="2">
        <f>IF(AND(表_网址[[#This Row],[首要关键词]]=K60,表_网址[[#This Row],[次要关键词]]=L60,表_网址[[#This Row],[重点关键词]]=M60),E60+1,IF(表_网址[[#This Row],[重点关键词]]="",100,101))</f>
        <v>101</v>
      </c>
      <c r="F61" t="s">
        <v>731</v>
      </c>
      <c r="G61" t="s">
        <v>732</v>
      </c>
      <c r="H61" t="s">
        <v>29</v>
      </c>
      <c r="I61" t="s">
        <v>733</v>
      </c>
      <c r="J61" t="s">
        <v>1742</v>
      </c>
      <c r="K61" t="s">
        <v>1744</v>
      </c>
      <c r="L61" t="s">
        <v>730</v>
      </c>
      <c r="N61" t="s">
        <v>1848</v>
      </c>
      <c r="R61" t="s">
        <v>1826</v>
      </c>
    </row>
    <row r="62" spans="1:18" x14ac:dyDescent="0.2">
      <c r="A62" t="str">
        <f ca="1">表_网址[[#This Row],[1级]]&amp;"-"&amp;表_网址[[#This Row],[2级]]&amp;"-"&amp;表_网址[[#This Row],[3级]]&amp;"-"&amp;表_网址[[#This Row],[级内]]</f>
        <v>5001-15-10-102</v>
      </c>
      <c r="B62" s="2">
        <f ca="1">MATCH(表_网址[[#This Row],[版层分类]],序列_版层分类,0)*1000+MATCH(表_网址[[#This Row],[首要关键词]],序列_首要关键词,0)</f>
        <v>5001</v>
      </c>
      <c r="C62" s="2">
        <f ca="1">IF(表_网址[[#This Row],[次要关键词]]="",10,MATCH(表_网址[[#This Row],[次要关键词]],序列_次要关键词,0)+10)</f>
        <v>15</v>
      </c>
      <c r="D62">
        <f>IF(表_网址[[#This Row],[重点关键词]]="",10,MATCH(表_网址[[#This Row],[重点关键词]],序列_重点关键词,0)+10)</f>
        <v>10</v>
      </c>
      <c r="E62" s="2">
        <f>IF(AND(表_网址[[#This Row],[首要关键词]]=K61,表_网址[[#This Row],[次要关键词]]=L61,表_网址[[#This Row],[重点关键词]]=M61),E61+1,IF(表_网址[[#This Row],[重点关键词]]="",100,101))</f>
        <v>102</v>
      </c>
      <c r="F62" t="s">
        <v>734</v>
      </c>
      <c r="G62" t="s">
        <v>735</v>
      </c>
      <c r="H62" t="s">
        <v>29</v>
      </c>
      <c r="I62" t="s">
        <v>736</v>
      </c>
      <c r="J62" t="s">
        <v>1742</v>
      </c>
      <c r="K62" t="s">
        <v>1744</v>
      </c>
      <c r="L62" t="s">
        <v>730</v>
      </c>
      <c r="N62" t="s">
        <v>1848</v>
      </c>
      <c r="Q62">
        <v>16</v>
      </c>
      <c r="R62" t="s">
        <v>1826</v>
      </c>
    </row>
    <row r="63" spans="1:18" x14ac:dyDescent="0.2">
      <c r="A63" t="str">
        <f ca="1">表_网址[[#This Row],[1级]]&amp;"-"&amp;表_网址[[#This Row],[2级]]&amp;"-"&amp;表_网址[[#This Row],[3级]]&amp;"-"&amp;表_网址[[#This Row],[级内]]</f>
        <v>5001-15-10-103</v>
      </c>
      <c r="B63" s="2">
        <f ca="1">MATCH(表_网址[[#This Row],[版层分类]],序列_版层分类,0)*1000+MATCH(表_网址[[#This Row],[首要关键词]],序列_首要关键词,0)</f>
        <v>5001</v>
      </c>
      <c r="C63" s="2">
        <f ca="1">IF(表_网址[[#This Row],[次要关键词]]="",10,MATCH(表_网址[[#This Row],[次要关键词]],序列_次要关键词,0)+10)</f>
        <v>15</v>
      </c>
      <c r="D63">
        <f>IF(表_网址[[#This Row],[重点关键词]]="",10,MATCH(表_网址[[#This Row],[重点关键词]],序列_重点关键词,0)+10)</f>
        <v>10</v>
      </c>
      <c r="E63" s="2">
        <f>IF(AND(表_网址[[#This Row],[首要关键词]]=K62,表_网址[[#This Row],[次要关键词]]=L62,表_网址[[#This Row],[重点关键词]]=M62),E62+1,IF(表_网址[[#This Row],[重点关键词]]="",100,101))</f>
        <v>103</v>
      </c>
      <c r="F63" t="s">
        <v>737</v>
      </c>
      <c r="G63" t="s">
        <v>738</v>
      </c>
      <c r="H63" t="s">
        <v>29</v>
      </c>
      <c r="I63" t="s">
        <v>739</v>
      </c>
      <c r="J63" t="s">
        <v>1742</v>
      </c>
      <c r="K63" t="s">
        <v>1744</v>
      </c>
      <c r="L63" t="s">
        <v>730</v>
      </c>
      <c r="N63" t="s">
        <v>1848</v>
      </c>
      <c r="O63" t="s">
        <v>1166</v>
      </c>
      <c r="Q63">
        <v>16</v>
      </c>
      <c r="R63" t="s">
        <v>1826</v>
      </c>
    </row>
    <row r="64" spans="1:18" x14ac:dyDescent="0.2">
      <c r="A64" t="str">
        <f ca="1">表_网址[[#This Row],[1级]]&amp;"-"&amp;表_网址[[#This Row],[2级]]&amp;"-"&amp;表_网址[[#This Row],[3级]]&amp;"-"&amp;表_网址[[#This Row],[级内]]</f>
        <v>5001-15-10-104</v>
      </c>
      <c r="B64" s="2">
        <f ca="1">MATCH(表_网址[[#This Row],[版层分类]],序列_版层分类,0)*1000+MATCH(表_网址[[#This Row],[首要关键词]],序列_首要关键词,0)</f>
        <v>5001</v>
      </c>
      <c r="C64" s="2">
        <f ca="1">IF(表_网址[[#This Row],[次要关键词]]="",10,MATCH(表_网址[[#This Row],[次要关键词]],序列_次要关键词,0)+10)</f>
        <v>15</v>
      </c>
      <c r="D64">
        <f>IF(表_网址[[#This Row],[重点关键词]]="",10,MATCH(表_网址[[#This Row],[重点关键词]],序列_重点关键词,0)+10)</f>
        <v>10</v>
      </c>
      <c r="E64" s="2">
        <f>IF(AND(表_网址[[#This Row],[首要关键词]]=K63,表_网址[[#This Row],[次要关键词]]=L63,表_网址[[#This Row],[重点关键词]]=M63),E63+1,IF(表_网址[[#This Row],[重点关键词]]="",100,101))</f>
        <v>104</v>
      </c>
      <c r="F64" t="s">
        <v>740</v>
      </c>
      <c r="G64" t="s">
        <v>741</v>
      </c>
      <c r="H64" t="s">
        <v>29</v>
      </c>
      <c r="I64" t="s">
        <v>742</v>
      </c>
      <c r="J64" t="s">
        <v>1742</v>
      </c>
      <c r="K64" t="s">
        <v>1744</v>
      </c>
      <c r="L64" t="s">
        <v>730</v>
      </c>
      <c r="N64" t="s">
        <v>1848</v>
      </c>
      <c r="O64" t="s">
        <v>1166</v>
      </c>
      <c r="Q64">
        <v>16</v>
      </c>
      <c r="R64" t="s">
        <v>1826</v>
      </c>
    </row>
    <row r="65" spans="1:18" x14ac:dyDescent="0.2">
      <c r="A65" t="str">
        <f ca="1">表_网址[[#This Row],[1级]]&amp;"-"&amp;表_网址[[#This Row],[2级]]&amp;"-"&amp;表_网址[[#This Row],[3级]]&amp;"-"&amp;表_网址[[#This Row],[级内]]</f>
        <v>5001-15-10-105</v>
      </c>
      <c r="B65" s="2">
        <f ca="1">MATCH(表_网址[[#This Row],[版层分类]],序列_版层分类,0)*1000+MATCH(表_网址[[#This Row],[首要关键词]],序列_首要关键词,0)</f>
        <v>5001</v>
      </c>
      <c r="C65" s="2">
        <f ca="1">IF(表_网址[[#This Row],[次要关键词]]="",10,MATCH(表_网址[[#This Row],[次要关键词]],序列_次要关键词,0)+10)</f>
        <v>15</v>
      </c>
      <c r="D65">
        <f>IF(表_网址[[#This Row],[重点关键词]]="",10,MATCH(表_网址[[#This Row],[重点关键词]],序列_重点关键词,0)+10)</f>
        <v>10</v>
      </c>
      <c r="E65" s="2">
        <f>IF(AND(表_网址[[#This Row],[首要关键词]]=K64,表_网址[[#This Row],[次要关键词]]=L64,表_网址[[#This Row],[重点关键词]]=M64),E64+1,IF(表_网址[[#This Row],[重点关键词]]="",100,101))</f>
        <v>105</v>
      </c>
      <c r="F65" t="s">
        <v>743</v>
      </c>
      <c r="G65" t="s">
        <v>744</v>
      </c>
      <c r="H65" t="s">
        <v>29</v>
      </c>
      <c r="I65" t="s">
        <v>745</v>
      </c>
      <c r="J65" t="s">
        <v>1742</v>
      </c>
      <c r="K65" t="s">
        <v>1744</v>
      </c>
      <c r="L65" t="s">
        <v>730</v>
      </c>
      <c r="N65" t="s">
        <v>1848</v>
      </c>
      <c r="O65" t="s">
        <v>1166</v>
      </c>
      <c r="Q65">
        <v>16</v>
      </c>
      <c r="R65" t="s">
        <v>1826</v>
      </c>
    </row>
    <row r="66" spans="1:18" x14ac:dyDescent="0.2">
      <c r="A66" t="str">
        <f ca="1">表_网址[[#This Row],[1级]]&amp;"-"&amp;表_网址[[#This Row],[2级]]&amp;"-"&amp;表_网址[[#This Row],[3级]]&amp;"-"&amp;表_网址[[#This Row],[级内]]</f>
        <v>5001-15-10-106</v>
      </c>
      <c r="B66" s="2">
        <f ca="1">MATCH(表_网址[[#This Row],[版层分类]],序列_版层分类,0)*1000+MATCH(表_网址[[#This Row],[首要关键词]],序列_首要关键词,0)</f>
        <v>5001</v>
      </c>
      <c r="C66" s="2">
        <f ca="1">IF(表_网址[[#This Row],[次要关键词]]="",10,MATCH(表_网址[[#This Row],[次要关键词]],序列_次要关键词,0)+10)</f>
        <v>15</v>
      </c>
      <c r="D66">
        <f>IF(表_网址[[#This Row],[重点关键词]]="",10,MATCH(表_网址[[#This Row],[重点关键词]],序列_重点关键词,0)+10)</f>
        <v>10</v>
      </c>
      <c r="E66" s="2">
        <f>IF(AND(表_网址[[#This Row],[首要关键词]]=K65,表_网址[[#This Row],[次要关键词]]=L65,表_网址[[#This Row],[重点关键词]]=M65),E65+1,IF(表_网址[[#This Row],[重点关键词]]="",100,101))</f>
        <v>106</v>
      </c>
      <c r="F66" t="s">
        <v>746</v>
      </c>
      <c r="G66" t="s">
        <v>747</v>
      </c>
      <c r="H66" t="s">
        <v>29</v>
      </c>
      <c r="I66" t="s">
        <v>748</v>
      </c>
      <c r="J66" t="s">
        <v>1742</v>
      </c>
      <c r="K66" t="s">
        <v>1744</v>
      </c>
      <c r="L66" t="s">
        <v>730</v>
      </c>
      <c r="N66" t="s">
        <v>1848</v>
      </c>
      <c r="O66" t="s">
        <v>1166</v>
      </c>
      <c r="Q66">
        <v>48</v>
      </c>
      <c r="R66" t="s">
        <v>1826</v>
      </c>
    </row>
    <row r="67" spans="1:18" x14ac:dyDescent="0.2">
      <c r="A67" t="str">
        <f ca="1">表_网址[[#This Row],[1级]]&amp;"-"&amp;表_网址[[#This Row],[2级]]&amp;"-"&amp;表_网址[[#This Row],[3级]]&amp;"-"&amp;表_网址[[#This Row],[级内]]</f>
        <v>5001-15-10-107</v>
      </c>
      <c r="B67" s="2">
        <f ca="1">MATCH(表_网址[[#This Row],[版层分类]],序列_版层分类,0)*1000+MATCH(表_网址[[#This Row],[首要关键词]],序列_首要关键词,0)</f>
        <v>5001</v>
      </c>
      <c r="C67" s="2">
        <f ca="1">IF(表_网址[[#This Row],[次要关键词]]="",10,MATCH(表_网址[[#This Row],[次要关键词]],序列_次要关键词,0)+10)</f>
        <v>15</v>
      </c>
      <c r="D67">
        <f>IF(表_网址[[#This Row],[重点关键词]]="",10,MATCH(表_网址[[#This Row],[重点关键词]],序列_重点关键词,0)+10)</f>
        <v>10</v>
      </c>
      <c r="E67" s="2">
        <f>IF(AND(表_网址[[#This Row],[首要关键词]]=K66,表_网址[[#This Row],[次要关键词]]=L66,表_网址[[#This Row],[重点关键词]]=M66),E66+1,IF(表_网址[[#This Row],[重点关键词]]="",100,101))</f>
        <v>107</v>
      </c>
      <c r="F67" t="s">
        <v>749</v>
      </c>
      <c r="G67" t="s">
        <v>750</v>
      </c>
      <c r="H67" t="s">
        <v>29</v>
      </c>
      <c r="I67" t="s">
        <v>751</v>
      </c>
      <c r="J67" t="s">
        <v>1742</v>
      </c>
      <c r="K67" t="s">
        <v>1744</v>
      </c>
      <c r="L67" t="s">
        <v>730</v>
      </c>
      <c r="N67" t="s">
        <v>1848</v>
      </c>
      <c r="Q67">
        <v>16</v>
      </c>
      <c r="R67" t="s">
        <v>1826</v>
      </c>
    </row>
    <row r="68" spans="1:18" x14ac:dyDescent="0.2">
      <c r="A68" t="str">
        <f ca="1">表_网址[[#This Row],[1级]]&amp;"-"&amp;表_网址[[#This Row],[2级]]&amp;"-"&amp;表_网址[[#This Row],[3级]]&amp;"-"&amp;表_网址[[#This Row],[级内]]</f>
        <v>5001-15-10-108</v>
      </c>
      <c r="B68" s="2">
        <f ca="1">MATCH(表_网址[[#This Row],[版层分类]],序列_版层分类,0)*1000+MATCH(表_网址[[#This Row],[首要关键词]],序列_首要关键词,0)</f>
        <v>5001</v>
      </c>
      <c r="C68" s="2">
        <f ca="1">IF(表_网址[[#This Row],[次要关键词]]="",10,MATCH(表_网址[[#This Row],[次要关键词]],序列_次要关键词,0)+10)</f>
        <v>15</v>
      </c>
      <c r="D68">
        <f>IF(表_网址[[#This Row],[重点关键词]]="",10,MATCH(表_网址[[#This Row],[重点关键词]],序列_重点关键词,0)+10)</f>
        <v>10</v>
      </c>
      <c r="E68" s="2">
        <f>IF(AND(表_网址[[#This Row],[首要关键词]]=K67,表_网址[[#This Row],[次要关键词]]=L67,表_网址[[#This Row],[重点关键词]]=M67),E67+1,IF(表_网址[[#This Row],[重点关键词]]="",100,101))</f>
        <v>108</v>
      </c>
      <c r="F68" t="s">
        <v>752</v>
      </c>
      <c r="G68" t="s">
        <v>753</v>
      </c>
      <c r="H68" t="s">
        <v>29</v>
      </c>
      <c r="I68" t="s">
        <v>754</v>
      </c>
      <c r="J68" t="s">
        <v>1742</v>
      </c>
      <c r="K68" t="s">
        <v>1744</v>
      </c>
      <c r="L68" t="s">
        <v>730</v>
      </c>
      <c r="N68" t="s">
        <v>1848</v>
      </c>
      <c r="O68" t="s">
        <v>1166</v>
      </c>
      <c r="Q68">
        <v>16</v>
      </c>
      <c r="R68" t="s">
        <v>1826</v>
      </c>
    </row>
    <row r="69" spans="1:18" x14ac:dyDescent="0.2">
      <c r="A69" t="str">
        <f ca="1">表_网址[[#This Row],[1级]]&amp;"-"&amp;表_网址[[#This Row],[2级]]&amp;"-"&amp;表_网址[[#This Row],[3级]]&amp;"-"&amp;表_网址[[#This Row],[级内]]</f>
        <v>5001-15-10-109</v>
      </c>
      <c r="B69" s="2">
        <f ca="1">MATCH(表_网址[[#This Row],[版层分类]],序列_版层分类,0)*1000+MATCH(表_网址[[#This Row],[首要关键词]],序列_首要关键词,0)</f>
        <v>5001</v>
      </c>
      <c r="C69" s="2">
        <f ca="1">IF(表_网址[[#This Row],[次要关键词]]="",10,MATCH(表_网址[[#This Row],[次要关键词]],序列_次要关键词,0)+10)</f>
        <v>15</v>
      </c>
      <c r="D69">
        <f>IF(表_网址[[#This Row],[重点关键词]]="",10,MATCH(表_网址[[#This Row],[重点关键词]],序列_重点关键词,0)+10)</f>
        <v>10</v>
      </c>
      <c r="E69" s="2">
        <f>IF(AND(表_网址[[#This Row],[首要关键词]]=K68,表_网址[[#This Row],[次要关键词]]=L68,表_网址[[#This Row],[重点关键词]]=M68),E68+1,IF(表_网址[[#This Row],[重点关键词]]="",100,101))</f>
        <v>109</v>
      </c>
      <c r="F69" t="s">
        <v>755</v>
      </c>
      <c r="G69" t="s">
        <v>756</v>
      </c>
      <c r="H69" t="s">
        <v>29</v>
      </c>
      <c r="I69" t="s">
        <v>757</v>
      </c>
      <c r="J69" t="s">
        <v>1742</v>
      </c>
      <c r="K69" t="s">
        <v>1744</v>
      </c>
      <c r="L69" t="s">
        <v>730</v>
      </c>
      <c r="N69" t="s">
        <v>1848</v>
      </c>
      <c r="R69" t="s">
        <v>1826</v>
      </c>
    </row>
    <row r="70" spans="1:18" x14ac:dyDescent="0.2">
      <c r="A70" t="str">
        <f ca="1">表_网址[[#This Row],[1级]]&amp;"-"&amp;表_网址[[#This Row],[2级]]&amp;"-"&amp;表_网址[[#This Row],[3级]]&amp;"-"&amp;表_网址[[#This Row],[级内]]</f>
        <v>5001-15-10-110</v>
      </c>
      <c r="B70" s="2">
        <f ca="1">MATCH(表_网址[[#This Row],[版层分类]],序列_版层分类,0)*1000+MATCH(表_网址[[#This Row],[首要关键词]],序列_首要关键词,0)</f>
        <v>5001</v>
      </c>
      <c r="C70" s="2">
        <f ca="1">IF(表_网址[[#This Row],[次要关键词]]="",10,MATCH(表_网址[[#This Row],[次要关键词]],序列_次要关键词,0)+10)</f>
        <v>15</v>
      </c>
      <c r="D70">
        <f>IF(表_网址[[#This Row],[重点关键词]]="",10,MATCH(表_网址[[#This Row],[重点关键词]],序列_重点关键词,0)+10)</f>
        <v>10</v>
      </c>
      <c r="E70" s="2">
        <f>IF(AND(表_网址[[#This Row],[首要关键词]]=K69,表_网址[[#This Row],[次要关键词]]=L69,表_网址[[#This Row],[重点关键词]]=M69),E69+1,IF(表_网址[[#This Row],[重点关键词]]="",100,101))</f>
        <v>110</v>
      </c>
      <c r="F70" t="s">
        <v>758</v>
      </c>
      <c r="G70" t="s">
        <v>759</v>
      </c>
      <c r="H70" t="s">
        <v>29</v>
      </c>
      <c r="I70" t="s">
        <v>760</v>
      </c>
      <c r="J70" t="s">
        <v>1742</v>
      </c>
      <c r="K70" t="s">
        <v>1744</v>
      </c>
      <c r="L70" t="s">
        <v>730</v>
      </c>
      <c r="N70" t="s">
        <v>1848</v>
      </c>
      <c r="R70" t="s">
        <v>1826</v>
      </c>
    </row>
    <row r="71" spans="1:18" x14ac:dyDescent="0.2">
      <c r="A71" t="str">
        <f ca="1">表_网址[[#This Row],[1级]]&amp;"-"&amp;表_网址[[#This Row],[2级]]&amp;"-"&amp;表_网址[[#This Row],[3级]]&amp;"-"&amp;表_网址[[#This Row],[级内]]</f>
        <v>5001-15-10-111</v>
      </c>
      <c r="B71" s="2">
        <f ca="1">MATCH(表_网址[[#This Row],[版层分类]],序列_版层分类,0)*1000+MATCH(表_网址[[#This Row],[首要关键词]],序列_首要关键词,0)</f>
        <v>5001</v>
      </c>
      <c r="C71" s="2">
        <f ca="1">IF(表_网址[[#This Row],[次要关键词]]="",10,MATCH(表_网址[[#This Row],[次要关键词]],序列_次要关键词,0)+10)</f>
        <v>15</v>
      </c>
      <c r="D71">
        <f>IF(表_网址[[#This Row],[重点关键词]]="",10,MATCH(表_网址[[#This Row],[重点关键词]],序列_重点关键词,0)+10)</f>
        <v>10</v>
      </c>
      <c r="E71" s="2">
        <f>IF(AND(表_网址[[#This Row],[首要关键词]]=K70,表_网址[[#This Row],[次要关键词]]=L70,表_网址[[#This Row],[重点关键词]]=M70),E70+1,IF(表_网址[[#This Row],[重点关键词]]="",100,101))</f>
        <v>111</v>
      </c>
      <c r="F71" t="s">
        <v>761</v>
      </c>
      <c r="G71" t="s">
        <v>762</v>
      </c>
      <c r="H71" t="s">
        <v>29</v>
      </c>
      <c r="I71" t="s">
        <v>763</v>
      </c>
      <c r="J71" t="s">
        <v>1742</v>
      </c>
      <c r="K71" t="s">
        <v>1744</v>
      </c>
      <c r="L71" t="s">
        <v>730</v>
      </c>
      <c r="N71" t="s">
        <v>1848</v>
      </c>
      <c r="Q71">
        <v>48</v>
      </c>
      <c r="R71" t="s">
        <v>1826</v>
      </c>
    </row>
    <row r="72" spans="1:18" x14ac:dyDescent="0.2">
      <c r="A72" t="str">
        <f ca="1">表_网址[[#This Row],[1级]]&amp;"-"&amp;表_网址[[#This Row],[2级]]&amp;"-"&amp;表_网址[[#This Row],[3级]]&amp;"-"&amp;表_网址[[#This Row],[级内]]</f>
        <v>5001-15-10-112</v>
      </c>
      <c r="B72" s="2">
        <f ca="1">MATCH(表_网址[[#This Row],[版层分类]],序列_版层分类,0)*1000+MATCH(表_网址[[#This Row],[首要关键词]],序列_首要关键词,0)</f>
        <v>5001</v>
      </c>
      <c r="C72" s="2">
        <f ca="1">IF(表_网址[[#This Row],[次要关键词]]="",10,MATCH(表_网址[[#This Row],[次要关键词]],序列_次要关键词,0)+10)</f>
        <v>15</v>
      </c>
      <c r="D72">
        <f>IF(表_网址[[#This Row],[重点关键词]]="",10,MATCH(表_网址[[#This Row],[重点关键词]],序列_重点关键词,0)+10)</f>
        <v>10</v>
      </c>
      <c r="E72" s="2">
        <f>IF(AND(表_网址[[#This Row],[首要关键词]]=K71,表_网址[[#This Row],[次要关键词]]=L71,表_网址[[#This Row],[重点关键词]]=M71),E71+1,IF(表_网址[[#This Row],[重点关键词]]="",100,101))</f>
        <v>112</v>
      </c>
      <c r="F72" t="s">
        <v>764</v>
      </c>
      <c r="G72" t="s">
        <v>765</v>
      </c>
      <c r="H72" t="s">
        <v>29</v>
      </c>
      <c r="I72" t="s">
        <v>766</v>
      </c>
      <c r="J72" t="s">
        <v>1742</v>
      </c>
      <c r="K72" t="s">
        <v>1744</v>
      </c>
      <c r="L72" t="s">
        <v>730</v>
      </c>
      <c r="N72" t="s">
        <v>1848</v>
      </c>
      <c r="R72" t="s">
        <v>1826</v>
      </c>
    </row>
    <row r="73" spans="1:18" x14ac:dyDescent="0.2">
      <c r="A73" t="str">
        <f ca="1">表_网址[[#This Row],[1级]]&amp;"-"&amp;表_网址[[#This Row],[2级]]&amp;"-"&amp;表_网址[[#This Row],[3级]]&amp;"-"&amp;表_网址[[#This Row],[级内]]</f>
        <v>5001-15-10-113</v>
      </c>
      <c r="B73" s="2">
        <f ca="1">MATCH(表_网址[[#This Row],[版层分类]],序列_版层分类,0)*1000+MATCH(表_网址[[#This Row],[首要关键词]],序列_首要关键词,0)</f>
        <v>5001</v>
      </c>
      <c r="C73" s="2">
        <f ca="1">IF(表_网址[[#This Row],[次要关键词]]="",10,MATCH(表_网址[[#This Row],[次要关键词]],序列_次要关键词,0)+10)</f>
        <v>15</v>
      </c>
      <c r="D73">
        <f>IF(表_网址[[#This Row],[重点关键词]]="",10,MATCH(表_网址[[#This Row],[重点关键词]],序列_重点关键词,0)+10)</f>
        <v>10</v>
      </c>
      <c r="E73" s="2">
        <f>IF(AND(表_网址[[#This Row],[首要关键词]]=K72,表_网址[[#This Row],[次要关键词]]=L72,表_网址[[#This Row],[重点关键词]]=M72),E72+1,IF(表_网址[[#This Row],[重点关键词]]="",100,101))</f>
        <v>113</v>
      </c>
      <c r="F73" t="s">
        <v>767</v>
      </c>
      <c r="G73" t="s">
        <v>768</v>
      </c>
      <c r="H73" t="s">
        <v>29</v>
      </c>
      <c r="I73" t="s">
        <v>769</v>
      </c>
      <c r="J73" t="s">
        <v>1742</v>
      </c>
      <c r="K73" t="s">
        <v>1744</v>
      </c>
      <c r="L73" t="s">
        <v>730</v>
      </c>
      <c r="N73" t="s">
        <v>1848</v>
      </c>
      <c r="Q73">
        <v>32</v>
      </c>
      <c r="R73" t="s">
        <v>1826</v>
      </c>
    </row>
    <row r="74" spans="1:18" x14ac:dyDescent="0.2">
      <c r="A74" t="str">
        <f ca="1">表_网址[[#This Row],[1级]]&amp;"-"&amp;表_网址[[#This Row],[2级]]&amp;"-"&amp;表_网址[[#This Row],[3级]]&amp;"-"&amp;表_网址[[#This Row],[级内]]</f>
        <v>5001-15-10-114</v>
      </c>
      <c r="B74" s="2">
        <f ca="1">MATCH(表_网址[[#This Row],[版层分类]],序列_版层分类,0)*1000+MATCH(表_网址[[#This Row],[首要关键词]],序列_首要关键词,0)</f>
        <v>5001</v>
      </c>
      <c r="C74" s="2">
        <f ca="1">IF(表_网址[[#This Row],[次要关键词]]="",10,MATCH(表_网址[[#This Row],[次要关键词]],序列_次要关键词,0)+10)</f>
        <v>15</v>
      </c>
      <c r="D74">
        <f>IF(表_网址[[#This Row],[重点关键词]]="",10,MATCH(表_网址[[#This Row],[重点关键词]],序列_重点关键词,0)+10)</f>
        <v>10</v>
      </c>
      <c r="E74" s="2">
        <f>IF(AND(表_网址[[#This Row],[首要关键词]]=K73,表_网址[[#This Row],[次要关键词]]=L73,表_网址[[#This Row],[重点关键词]]=M73),E73+1,IF(表_网址[[#This Row],[重点关键词]]="",100,101))</f>
        <v>114</v>
      </c>
      <c r="F74" t="s">
        <v>770</v>
      </c>
      <c r="G74" t="s">
        <v>771</v>
      </c>
      <c r="H74" t="s">
        <v>29</v>
      </c>
      <c r="I74" t="s">
        <v>772</v>
      </c>
      <c r="J74" t="s">
        <v>1742</v>
      </c>
      <c r="K74" t="s">
        <v>1744</v>
      </c>
      <c r="L74" t="s">
        <v>730</v>
      </c>
      <c r="N74" t="s">
        <v>1848</v>
      </c>
      <c r="Q74">
        <v>126</v>
      </c>
      <c r="R74" t="s">
        <v>1826</v>
      </c>
    </row>
    <row r="75" spans="1:18" x14ac:dyDescent="0.2">
      <c r="A75" t="str">
        <f ca="1">表_网址[[#This Row],[1级]]&amp;"-"&amp;表_网址[[#This Row],[2级]]&amp;"-"&amp;表_网址[[#This Row],[3级]]&amp;"-"&amp;表_网址[[#This Row],[级内]]</f>
        <v>5001-15-10-115</v>
      </c>
      <c r="B75" s="2">
        <f ca="1">MATCH(表_网址[[#This Row],[版层分类]],序列_版层分类,0)*1000+MATCH(表_网址[[#This Row],[首要关键词]],序列_首要关键词,0)</f>
        <v>5001</v>
      </c>
      <c r="C75" s="2">
        <f ca="1">IF(表_网址[[#This Row],[次要关键词]]="",10,MATCH(表_网址[[#This Row],[次要关键词]],序列_次要关键词,0)+10)</f>
        <v>15</v>
      </c>
      <c r="D75">
        <f>IF(表_网址[[#This Row],[重点关键词]]="",10,MATCH(表_网址[[#This Row],[重点关键词]],序列_重点关键词,0)+10)</f>
        <v>10</v>
      </c>
      <c r="E75" s="2">
        <f>IF(AND(表_网址[[#This Row],[首要关键词]]=K74,表_网址[[#This Row],[次要关键词]]=L74,表_网址[[#This Row],[重点关键词]]=M74),E74+1,IF(表_网址[[#This Row],[重点关键词]]="",100,101))</f>
        <v>115</v>
      </c>
      <c r="F75" t="s">
        <v>773</v>
      </c>
      <c r="G75" t="s">
        <v>774</v>
      </c>
      <c r="H75" t="s">
        <v>29</v>
      </c>
      <c r="I75" t="s">
        <v>775</v>
      </c>
      <c r="J75" t="s">
        <v>1742</v>
      </c>
      <c r="K75" t="s">
        <v>1744</v>
      </c>
      <c r="L75" t="s">
        <v>730</v>
      </c>
      <c r="N75" t="s">
        <v>1848</v>
      </c>
      <c r="O75" t="s">
        <v>1166</v>
      </c>
      <c r="Q75">
        <v>16</v>
      </c>
      <c r="R75" t="s">
        <v>1826</v>
      </c>
    </row>
    <row r="76" spans="1:18" x14ac:dyDescent="0.2">
      <c r="A76" t="str">
        <f ca="1">表_网址[[#This Row],[1级]]&amp;"-"&amp;表_网址[[#This Row],[2级]]&amp;"-"&amp;表_网址[[#This Row],[3级]]&amp;"-"&amp;表_网址[[#This Row],[级内]]</f>
        <v>5001-15-10-116</v>
      </c>
      <c r="B76" s="2">
        <f ca="1">MATCH(表_网址[[#This Row],[版层分类]],序列_版层分类,0)*1000+MATCH(表_网址[[#This Row],[首要关键词]],序列_首要关键词,0)</f>
        <v>5001</v>
      </c>
      <c r="C76" s="2">
        <f ca="1">IF(表_网址[[#This Row],[次要关键词]]="",10,MATCH(表_网址[[#This Row],[次要关键词]],序列_次要关键词,0)+10)</f>
        <v>15</v>
      </c>
      <c r="D76">
        <f>IF(表_网址[[#This Row],[重点关键词]]="",10,MATCH(表_网址[[#This Row],[重点关键词]],序列_重点关键词,0)+10)</f>
        <v>10</v>
      </c>
      <c r="E76" s="2">
        <f>IF(AND(表_网址[[#This Row],[首要关键词]]=K75,表_网址[[#This Row],[次要关键词]]=L75,表_网址[[#This Row],[重点关键词]]=M75),E75+1,IF(表_网址[[#This Row],[重点关键词]]="",100,101))</f>
        <v>116</v>
      </c>
      <c r="F76" t="s">
        <v>776</v>
      </c>
      <c r="G76" t="s">
        <v>777</v>
      </c>
      <c r="H76" t="s">
        <v>29</v>
      </c>
      <c r="I76" t="s">
        <v>778</v>
      </c>
      <c r="J76" t="s">
        <v>1742</v>
      </c>
      <c r="K76" t="s">
        <v>1744</v>
      </c>
      <c r="L76" t="s">
        <v>730</v>
      </c>
      <c r="N76" t="s">
        <v>1848</v>
      </c>
      <c r="Q76">
        <v>32</v>
      </c>
      <c r="R76" t="s">
        <v>1826</v>
      </c>
    </row>
    <row r="77" spans="1:18" x14ac:dyDescent="0.2">
      <c r="A77" t="str">
        <f ca="1">表_网址[[#This Row],[1级]]&amp;"-"&amp;表_网址[[#This Row],[2级]]&amp;"-"&amp;表_网址[[#This Row],[3级]]&amp;"-"&amp;表_网址[[#This Row],[级内]]</f>
        <v>5001-15-10-117</v>
      </c>
      <c r="B77" s="2">
        <f ca="1">MATCH(表_网址[[#This Row],[版层分类]],序列_版层分类,0)*1000+MATCH(表_网址[[#This Row],[首要关键词]],序列_首要关键词,0)</f>
        <v>5001</v>
      </c>
      <c r="C77" s="2">
        <f ca="1">IF(表_网址[[#This Row],[次要关键词]]="",10,MATCH(表_网址[[#This Row],[次要关键词]],序列_次要关键词,0)+10)</f>
        <v>15</v>
      </c>
      <c r="D77">
        <f>IF(表_网址[[#This Row],[重点关键词]]="",10,MATCH(表_网址[[#This Row],[重点关键词]],序列_重点关键词,0)+10)</f>
        <v>10</v>
      </c>
      <c r="E77" s="2">
        <f>IF(AND(表_网址[[#This Row],[首要关键词]]=K76,表_网址[[#This Row],[次要关键词]]=L76,表_网址[[#This Row],[重点关键词]]=M76),E76+1,IF(表_网址[[#This Row],[重点关键词]]="",100,101))</f>
        <v>117</v>
      </c>
      <c r="F77" t="s">
        <v>779</v>
      </c>
      <c r="G77" t="s">
        <v>780</v>
      </c>
      <c r="H77" t="s">
        <v>29</v>
      </c>
      <c r="I77" t="s">
        <v>781</v>
      </c>
      <c r="J77" t="s">
        <v>1742</v>
      </c>
      <c r="K77" t="s">
        <v>1744</v>
      </c>
      <c r="L77" t="s">
        <v>730</v>
      </c>
      <c r="N77" t="s">
        <v>1848</v>
      </c>
      <c r="O77" t="s">
        <v>1166</v>
      </c>
      <c r="Q77">
        <v>16</v>
      </c>
      <c r="R77" t="s">
        <v>1826</v>
      </c>
    </row>
    <row r="78" spans="1:18" x14ac:dyDescent="0.2">
      <c r="A78" t="str">
        <f ca="1">表_网址[[#This Row],[1级]]&amp;"-"&amp;表_网址[[#This Row],[2级]]&amp;"-"&amp;表_网址[[#This Row],[3级]]&amp;"-"&amp;表_网址[[#This Row],[级内]]</f>
        <v>5001-15-10-118</v>
      </c>
      <c r="B78" s="2">
        <f ca="1">MATCH(表_网址[[#This Row],[版层分类]],序列_版层分类,0)*1000+MATCH(表_网址[[#This Row],[首要关键词]],序列_首要关键词,0)</f>
        <v>5001</v>
      </c>
      <c r="C78" s="2">
        <f ca="1">IF(表_网址[[#This Row],[次要关键词]]="",10,MATCH(表_网址[[#This Row],[次要关键词]],序列_次要关键词,0)+10)</f>
        <v>15</v>
      </c>
      <c r="D78">
        <f>IF(表_网址[[#This Row],[重点关键词]]="",10,MATCH(表_网址[[#This Row],[重点关键词]],序列_重点关键词,0)+10)</f>
        <v>10</v>
      </c>
      <c r="E78" s="2">
        <f>IF(AND(表_网址[[#This Row],[首要关键词]]=K77,表_网址[[#This Row],[次要关键词]]=L77,表_网址[[#This Row],[重点关键词]]=M77),E77+1,IF(表_网址[[#This Row],[重点关键词]]="",100,101))</f>
        <v>118</v>
      </c>
      <c r="F78" t="s">
        <v>782</v>
      </c>
      <c r="G78" t="s">
        <v>783</v>
      </c>
      <c r="H78" t="s">
        <v>29</v>
      </c>
      <c r="I78" t="s">
        <v>784</v>
      </c>
      <c r="J78" t="s">
        <v>1742</v>
      </c>
      <c r="K78" t="s">
        <v>1744</v>
      </c>
      <c r="L78" t="s">
        <v>730</v>
      </c>
      <c r="N78" t="s">
        <v>1848</v>
      </c>
      <c r="R78" t="s">
        <v>1826</v>
      </c>
    </row>
    <row r="79" spans="1:18" x14ac:dyDescent="0.2">
      <c r="A79" t="str">
        <f ca="1">表_网址[[#This Row],[1级]]&amp;"-"&amp;表_网址[[#This Row],[2级]]&amp;"-"&amp;表_网址[[#This Row],[3级]]&amp;"-"&amp;表_网址[[#This Row],[级内]]</f>
        <v>5001-15-10-119</v>
      </c>
      <c r="B79" s="2">
        <f ca="1">MATCH(表_网址[[#This Row],[版层分类]],序列_版层分类,0)*1000+MATCH(表_网址[[#This Row],[首要关键词]],序列_首要关键词,0)</f>
        <v>5001</v>
      </c>
      <c r="C79" s="2">
        <f ca="1">IF(表_网址[[#This Row],[次要关键词]]="",10,MATCH(表_网址[[#This Row],[次要关键词]],序列_次要关键词,0)+10)</f>
        <v>15</v>
      </c>
      <c r="D79">
        <f>IF(表_网址[[#This Row],[重点关键词]]="",10,MATCH(表_网址[[#This Row],[重点关键词]],序列_重点关键词,0)+10)</f>
        <v>10</v>
      </c>
      <c r="E79" s="2">
        <f>IF(AND(表_网址[[#This Row],[首要关键词]]=K78,表_网址[[#This Row],[次要关键词]]=L78,表_网址[[#This Row],[重点关键词]]=M78),E78+1,IF(表_网址[[#This Row],[重点关键词]]="",100,101))</f>
        <v>119</v>
      </c>
      <c r="F79" t="s">
        <v>785</v>
      </c>
      <c r="G79" t="s">
        <v>786</v>
      </c>
      <c r="H79" t="s">
        <v>29</v>
      </c>
      <c r="I79" t="s">
        <v>787</v>
      </c>
      <c r="J79" t="s">
        <v>1742</v>
      </c>
      <c r="K79" t="s">
        <v>1744</v>
      </c>
      <c r="L79" t="s">
        <v>730</v>
      </c>
      <c r="N79" t="s">
        <v>1848</v>
      </c>
      <c r="Q79">
        <v>31</v>
      </c>
      <c r="R79" t="s">
        <v>1826</v>
      </c>
    </row>
    <row r="80" spans="1:18" x14ac:dyDescent="0.2">
      <c r="A80" t="str">
        <f ca="1">表_网址[[#This Row],[1级]]&amp;"-"&amp;表_网址[[#This Row],[2级]]&amp;"-"&amp;表_网址[[#This Row],[3级]]&amp;"-"&amp;表_网址[[#This Row],[级内]]</f>
        <v>5001-15-10-120</v>
      </c>
      <c r="B80" s="2">
        <f ca="1">MATCH(表_网址[[#This Row],[版层分类]],序列_版层分类,0)*1000+MATCH(表_网址[[#This Row],[首要关键词]],序列_首要关键词,0)</f>
        <v>5001</v>
      </c>
      <c r="C80" s="2">
        <f ca="1">IF(表_网址[[#This Row],[次要关键词]]="",10,MATCH(表_网址[[#This Row],[次要关键词]],序列_次要关键词,0)+10)</f>
        <v>15</v>
      </c>
      <c r="D80">
        <f>IF(表_网址[[#This Row],[重点关键词]]="",10,MATCH(表_网址[[#This Row],[重点关键词]],序列_重点关键词,0)+10)</f>
        <v>10</v>
      </c>
      <c r="E80" s="2">
        <f>IF(AND(表_网址[[#This Row],[首要关键词]]=K79,表_网址[[#This Row],[次要关键词]]=L79,表_网址[[#This Row],[重点关键词]]=M79),E79+1,IF(表_网址[[#This Row],[重点关键词]]="",100,101))</f>
        <v>120</v>
      </c>
      <c r="F80" t="s">
        <v>788</v>
      </c>
      <c r="G80" t="s">
        <v>789</v>
      </c>
      <c r="H80" t="s">
        <v>29</v>
      </c>
      <c r="I80" t="s">
        <v>790</v>
      </c>
      <c r="J80" t="s">
        <v>1742</v>
      </c>
      <c r="K80" t="s">
        <v>1744</v>
      </c>
      <c r="L80" t="s">
        <v>730</v>
      </c>
      <c r="N80" t="s">
        <v>1848</v>
      </c>
      <c r="Q80">
        <v>16</v>
      </c>
      <c r="R80" t="s">
        <v>1826</v>
      </c>
    </row>
    <row r="81" spans="1:18" x14ac:dyDescent="0.2">
      <c r="A81" t="str">
        <f ca="1">表_网址[[#This Row],[1级]]&amp;"-"&amp;表_网址[[#This Row],[2级]]&amp;"-"&amp;表_网址[[#This Row],[3级]]&amp;"-"&amp;表_网址[[#This Row],[级内]]</f>
        <v>5001-15-10-121</v>
      </c>
      <c r="B81" s="2">
        <f ca="1">MATCH(表_网址[[#This Row],[版层分类]],序列_版层分类,0)*1000+MATCH(表_网址[[#This Row],[首要关键词]],序列_首要关键词,0)</f>
        <v>5001</v>
      </c>
      <c r="C81" s="2">
        <f ca="1">IF(表_网址[[#This Row],[次要关键词]]="",10,MATCH(表_网址[[#This Row],[次要关键词]],序列_次要关键词,0)+10)</f>
        <v>15</v>
      </c>
      <c r="D81">
        <f>IF(表_网址[[#This Row],[重点关键词]]="",10,MATCH(表_网址[[#This Row],[重点关键词]],序列_重点关键词,0)+10)</f>
        <v>10</v>
      </c>
      <c r="E81" s="2">
        <f>IF(AND(表_网址[[#This Row],[首要关键词]]=K80,表_网址[[#This Row],[次要关键词]]=L80,表_网址[[#This Row],[重点关键词]]=M80),E80+1,IF(表_网址[[#This Row],[重点关键词]]="",100,101))</f>
        <v>121</v>
      </c>
      <c r="F81" t="s">
        <v>791</v>
      </c>
      <c r="G81" t="s">
        <v>792</v>
      </c>
      <c r="H81" t="s">
        <v>29</v>
      </c>
      <c r="I81" t="s">
        <v>793</v>
      </c>
      <c r="J81" t="s">
        <v>1742</v>
      </c>
      <c r="K81" t="s">
        <v>1744</v>
      </c>
      <c r="L81" t="s">
        <v>730</v>
      </c>
      <c r="N81" t="s">
        <v>1848</v>
      </c>
      <c r="R81" t="s">
        <v>1826</v>
      </c>
    </row>
    <row r="82" spans="1:18" x14ac:dyDescent="0.2">
      <c r="A82" t="str">
        <f ca="1">表_网址[[#This Row],[1级]]&amp;"-"&amp;表_网址[[#This Row],[2级]]&amp;"-"&amp;表_网址[[#This Row],[3级]]&amp;"-"&amp;表_网址[[#This Row],[级内]]</f>
        <v>5001-15-10-122</v>
      </c>
      <c r="B82" s="2">
        <f ca="1">MATCH(表_网址[[#This Row],[版层分类]],序列_版层分类,0)*1000+MATCH(表_网址[[#This Row],[首要关键词]],序列_首要关键词,0)</f>
        <v>5001</v>
      </c>
      <c r="C82" s="2">
        <f ca="1">IF(表_网址[[#This Row],[次要关键词]]="",10,MATCH(表_网址[[#This Row],[次要关键词]],序列_次要关键词,0)+10)</f>
        <v>15</v>
      </c>
      <c r="D82">
        <f>IF(表_网址[[#This Row],[重点关键词]]="",10,MATCH(表_网址[[#This Row],[重点关键词]],序列_重点关键词,0)+10)</f>
        <v>10</v>
      </c>
      <c r="E82" s="2">
        <f>IF(AND(表_网址[[#This Row],[首要关键词]]=K81,表_网址[[#This Row],[次要关键词]]=L81,表_网址[[#This Row],[重点关键词]]=M81),E81+1,IF(表_网址[[#This Row],[重点关键词]]="",100,101))</f>
        <v>122</v>
      </c>
      <c r="F82" t="s">
        <v>794</v>
      </c>
      <c r="G82" t="s">
        <v>795</v>
      </c>
      <c r="H82" t="s">
        <v>29</v>
      </c>
      <c r="I82" t="s">
        <v>796</v>
      </c>
      <c r="J82" t="s">
        <v>1742</v>
      </c>
      <c r="K82" t="s">
        <v>1744</v>
      </c>
      <c r="L82" t="s">
        <v>730</v>
      </c>
      <c r="N82" t="s">
        <v>1848</v>
      </c>
      <c r="O82" t="s">
        <v>1166</v>
      </c>
      <c r="R82" t="s">
        <v>1826</v>
      </c>
    </row>
    <row r="83" spans="1:18" x14ac:dyDescent="0.2">
      <c r="A83" t="str">
        <f ca="1">表_网址[[#This Row],[1级]]&amp;"-"&amp;表_网址[[#This Row],[2级]]&amp;"-"&amp;表_网址[[#This Row],[3级]]&amp;"-"&amp;表_网址[[#This Row],[级内]]</f>
        <v>5001-15-10-123</v>
      </c>
      <c r="B83" s="2">
        <f ca="1">MATCH(表_网址[[#This Row],[版层分类]],序列_版层分类,0)*1000+MATCH(表_网址[[#This Row],[首要关键词]],序列_首要关键词,0)</f>
        <v>5001</v>
      </c>
      <c r="C83" s="2">
        <f ca="1">IF(表_网址[[#This Row],[次要关键词]]="",10,MATCH(表_网址[[#This Row],[次要关键词]],序列_次要关键词,0)+10)</f>
        <v>15</v>
      </c>
      <c r="D83">
        <f>IF(表_网址[[#This Row],[重点关键词]]="",10,MATCH(表_网址[[#This Row],[重点关键词]],序列_重点关键词,0)+10)</f>
        <v>10</v>
      </c>
      <c r="E83" s="2">
        <f>IF(AND(表_网址[[#This Row],[首要关键词]]=K82,表_网址[[#This Row],[次要关键词]]=L82,表_网址[[#This Row],[重点关键词]]=M82),E82+1,IF(表_网址[[#This Row],[重点关键词]]="",100,101))</f>
        <v>123</v>
      </c>
      <c r="F83" t="s">
        <v>797</v>
      </c>
      <c r="G83" t="s">
        <v>798</v>
      </c>
      <c r="H83" t="s">
        <v>29</v>
      </c>
      <c r="I83" t="s">
        <v>799</v>
      </c>
      <c r="J83" t="s">
        <v>1742</v>
      </c>
      <c r="K83" t="s">
        <v>1744</v>
      </c>
      <c r="L83" t="s">
        <v>730</v>
      </c>
      <c r="N83" t="s">
        <v>1848</v>
      </c>
      <c r="R83" t="s">
        <v>1826</v>
      </c>
    </row>
    <row r="84" spans="1:18" x14ac:dyDescent="0.2">
      <c r="A84" t="str">
        <f ca="1">表_网址[[#This Row],[1级]]&amp;"-"&amp;表_网址[[#This Row],[2级]]&amp;"-"&amp;表_网址[[#This Row],[3级]]&amp;"-"&amp;表_网址[[#This Row],[级内]]</f>
        <v>5001-15-10-124</v>
      </c>
      <c r="B84" s="2">
        <f ca="1">MATCH(表_网址[[#This Row],[版层分类]],序列_版层分类,0)*1000+MATCH(表_网址[[#This Row],[首要关键词]],序列_首要关键词,0)</f>
        <v>5001</v>
      </c>
      <c r="C84" s="2">
        <f ca="1">IF(表_网址[[#This Row],[次要关键词]]="",10,MATCH(表_网址[[#This Row],[次要关键词]],序列_次要关键词,0)+10)</f>
        <v>15</v>
      </c>
      <c r="D84">
        <f>IF(表_网址[[#This Row],[重点关键词]]="",10,MATCH(表_网址[[#This Row],[重点关键词]],序列_重点关键词,0)+10)</f>
        <v>10</v>
      </c>
      <c r="E84" s="2">
        <f>IF(AND(表_网址[[#This Row],[首要关键词]]=K83,表_网址[[#This Row],[次要关键词]]=L83,表_网址[[#This Row],[重点关键词]]=M83),E83+1,IF(表_网址[[#This Row],[重点关键词]]="",100,101))</f>
        <v>124</v>
      </c>
      <c r="F84" t="s">
        <v>800</v>
      </c>
      <c r="G84" t="s">
        <v>801</v>
      </c>
      <c r="H84" t="s">
        <v>29</v>
      </c>
      <c r="I84" t="s">
        <v>802</v>
      </c>
      <c r="J84" t="s">
        <v>1742</v>
      </c>
      <c r="K84" t="s">
        <v>1744</v>
      </c>
      <c r="L84" t="s">
        <v>730</v>
      </c>
      <c r="N84" t="s">
        <v>1848</v>
      </c>
      <c r="R84" t="s">
        <v>1826</v>
      </c>
    </row>
    <row r="85" spans="1:18" x14ac:dyDescent="0.2">
      <c r="A85" t="str">
        <f ca="1">表_网址[[#This Row],[1级]]&amp;"-"&amp;表_网址[[#This Row],[2级]]&amp;"-"&amp;表_网址[[#This Row],[3级]]&amp;"-"&amp;表_网址[[#This Row],[级内]]</f>
        <v>5001-15-10-125</v>
      </c>
      <c r="B85" s="2">
        <f ca="1">MATCH(表_网址[[#This Row],[版层分类]],序列_版层分类,0)*1000+MATCH(表_网址[[#This Row],[首要关键词]],序列_首要关键词,0)</f>
        <v>5001</v>
      </c>
      <c r="C85" s="2">
        <f ca="1">IF(表_网址[[#This Row],[次要关键词]]="",10,MATCH(表_网址[[#This Row],[次要关键词]],序列_次要关键词,0)+10)</f>
        <v>15</v>
      </c>
      <c r="D85">
        <f>IF(表_网址[[#This Row],[重点关键词]]="",10,MATCH(表_网址[[#This Row],[重点关键词]],序列_重点关键词,0)+10)</f>
        <v>10</v>
      </c>
      <c r="E85" s="2">
        <f>IF(AND(表_网址[[#This Row],[首要关键词]]=K84,表_网址[[#This Row],[次要关键词]]=L84,表_网址[[#This Row],[重点关键词]]=M84),E84+1,IF(表_网址[[#This Row],[重点关键词]]="",100,101))</f>
        <v>125</v>
      </c>
      <c r="F85" t="s">
        <v>803</v>
      </c>
      <c r="G85" t="s">
        <v>804</v>
      </c>
      <c r="H85" t="s">
        <v>29</v>
      </c>
      <c r="I85" t="s">
        <v>805</v>
      </c>
      <c r="J85" t="s">
        <v>1742</v>
      </c>
      <c r="K85" t="s">
        <v>1744</v>
      </c>
      <c r="L85" t="s">
        <v>730</v>
      </c>
      <c r="N85" t="s">
        <v>1848</v>
      </c>
      <c r="Q85">
        <v>64</v>
      </c>
      <c r="R85" t="s">
        <v>1826</v>
      </c>
    </row>
    <row r="86" spans="1:18" x14ac:dyDescent="0.2">
      <c r="A86" t="str">
        <f ca="1">表_网址[[#This Row],[1级]]&amp;"-"&amp;表_网址[[#This Row],[2级]]&amp;"-"&amp;表_网址[[#This Row],[3级]]&amp;"-"&amp;表_网址[[#This Row],[级内]]</f>
        <v>5001-15-10-126</v>
      </c>
      <c r="B86" s="2">
        <f ca="1">MATCH(表_网址[[#This Row],[版层分类]],序列_版层分类,0)*1000+MATCH(表_网址[[#This Row],[首要关键词]],序列_首要关键词,0)</f>
        <v>5001</v>
      </c>
      <c r="C86" s="2">
        <f ca="1">IF(表_网址[[#This Row],[次要关键词]]="",10,MATCH(表_网址[[#This Row],[次要关键词]],序列_次要关键词,0)+10)</f>
        <v>15</v>
      </c>
      <c r="D86">
        <f>IF(表_网址[[#This Row],[重点关键词]]="",10,MATCH(表_网址[[#This Row],[重点关键词]],序列_重点关键词,0)+10)</f>
        <v>10</v>
      </c>
      <c r="E86" s="2">
        <f>IF(AND(表_网址[[#This Row],[首要关键词]]=K85,表_网址[[#This Row],[次要关键词]]=L85,表_网址[[#This Row],[重点关键词]]=M85),E85+1,IF(表_网址[[#This Row],[重点关键词]]="",100,101))</f>
        <v>126</v>
      </c>
      <c r="F86" t="s">
        <v>806</v>
      </c>
      <c r="G86" t="s">
        <v>807</v>
      </c>
      <c r="H86" t="s">
        <v>29</v>
      </c>
      <c r="I86" t="s">
        <v>808</v>
      </c>
      <c r="J86" t="s">
        <v>1742</v>
      </c>
      <c r="K86" t="s">
        <v>1744</v>
      </c>
      <c r="L86" t="s">
        <v>730</v>
      </c>
      <c r="N86" t="s">
        <v>1848</v>
      </c>
      <c r="R86" t="s">
        <v>1826</v>
      </c>
    </row>
    <row r="87" spans="1:18" x14ac:dyDescent="0.2">
      <c r="A87" t="str">
        <f ca="1">表_网址[[#This Row],[1级]]&amp;"-"&amp;表_网址[[#This Row],[2级]]&amp;"-"&amp;表_网址[[#This Row],[3级]]&amp;"-"&amp;表_网址[[#This Row],[级内]]</f>
        <v>5001-15-10-127</v>
      </c>
      <c r="B87" s="2">
        <f ca="1">MATCH(表_网址[[#This Row],[版层分类]],序列_版层分类,0)*1000+MATCH(表_网址[[#This Row],[首要关键词]],序列_首要关键词,0)</f>
        <v>5001</v>
      </c>
      <c r="C87" s="2">
        <f ca="1">IF(表_网址[[#This Row],[次要关键词]]="",10,MATCH(表_网址[[#This Row],[次要关键词]],序列_次要关键词,0)+10)</f>
        <v>15</v>
      </c>
      <c r="D87">
        <f>IF(表_网址[[#This Row],[重点关键词]]="",10,MATCH(表_网址[[#This Row],[重点关键词]],序列_重点关键词,0)+10)</f>
        <v>10</v>
      </c>
      <c r="E87" s="2">
        <f>IF(AND(表_网址[[#This Row],[首要关键词]]=K86,表_网址[[#This Row],[次要关键词]]=L86,表_网址[[#This Row],[重点关键词]]=M86),E86+1,IF(表_网址[[#This Row],[重点关键词]]="",100,101))</f>
        <v>127</v>
      </c>
      <c r="F87" t="s">
        <v>809</v>
      </c>
      <c r="G87" t="s">
        <v>810</v>
      </c>
      <c r="H87" t="s">
        <v>29</v>
      </c>
      <c r="I87" t="s">
        <v>811</v>
      </c>
      <c r="J87" t="s">
        <v>1742</v>
      </c>
      <c r="K87" t="s">
        <v>1744</v>
      </c>
      <c r="L87" t="s">
        <v>730</v>
      </c>
      <c r="N87" t="s">
        <v>1848</v>
      </c>
      <c r="Q87">
        <v>32</v>
      </c>
      <c r="R87" t="s">
        <v>1826</v>
      </c>
    </row>
    <row r="88" spans="1:18" x14ac:dyDescent="0.2">
      <c r="A88" t="str">
        <f ca="1">表_网址[[#This Row],[1级]]&amp;"-"&amp;表_网址[[#This Row],[2级]]&amp;"-"&amp;表_网址[[#This Row],[3级]]&amp;"-"&amp;表_网址[[#This Row],[级内]]</f>
        <v>5001-15-10-128</v>
      </c>
      <c r="B88" s="2">
        <f ca="1">MATCH(表_网址[[#This Row],[版层分类]],序列_版层分类,0)*1000+MATCH(表_网址[[#This Row],[首要关键词]],序列_首要关键词,0)</f>
        <v>5001</v>
      </c>
      <c r="C88" s="2">
        <f ca="1">IF(表_网址[[#This Row],[次要关键词]]="",10,MATCH(表_网址[[#This Row],[次要关键词]],序列_次要关键词,0)+10)</f>
        <v>15</v>
      </c>
      <c r="D88">
        <f>IF(表_网址[[#This Row],[重点关键词]]="",10,MATCH(表_网址[[#This Row],[重点关键词]],序列_重点关键词,0)+10)</f>
        <v>10</v>
      </c>
      <c r="E88" s="2">
        <f>IF(AND(表_网址[[#This Row],[首要关键词]]=K87,表_网址[[#This Row],[次要关键词]]=L87,表_网址[[#This Row],[重点关键词]]=M87),E87+1,IF(表_网址[[#This Row],[重点关键词]]="",100,101))</f>
        <v>128</v>
      </c>
      <c r="F88" t="s">
        <v>812</v>
      </c>
      <c r="G88" t="s">
        <v>813</v>
      </c>
      <c r="H88" t="s">
        <v>29</v>
      </c>
      <c r="I88" t="s">
        <v>814</v>
      </c>
      <c r="J88" t="s">
        <v>1742</v>
      </c>
      <c r="K88" t="s">
        <v>1744</v>
      </c>
      <c r="L88" t="s">
        <v>730</v>
      </c>
      <c r="N88" t="s">
        <v>1848</v>
      </c>
      <c r="O88" t="s">
        <v>1166</v>
      </c>
      <c r="Q88">
        <v>32</v>
      </c>
      <c r="R88" t="s">
        <v>1826</v>
      </c>
    </row>
    <row r="89" spans="1:18" x14ac:dyDescent="0.2">
      <c r="A89" t="str">
        <f ca="1">表_网址[[#This Row],[1级]]&amp;"-"&amp;表_网址[[#This Row],[2级]]&amp;"-"&amp;表_网址[[#This Row],[3级]]&amp;"-"&amp;表_网址[[#This Row],[级内]]</f>
        <v>5001-15-10-129</v>
      </c>
      <c r="B89" s="2">
        <f ca="1">MATCH(表_网址[[#This Row],[版层分类]],序列_版层分类,0)*1000+MATCH(表_网址[[#This Row],[首要关键词]],序列_首要关键词,0)</f>
        <v>5001</v>
      </c>
      <c r="C89" s="2">
        <f ca="1">IF(表_网址[[#This Row],[次要关键词]]="",10,MATCH(表_网址[[#This Row],[次要关键词]],序列_次要关键词,0)+10)</f>
        <v>15</v>
      </c>
      <c r="D89">
        <f>IF(表_网址[[#This Row],[重点关键词]]="",10,MATCH(表_网址[[#This Row],[重点关键词]],序列_重点关键词,0)+10)</f>
        <v>10</v>
      </c>
      <c r="E89" s="2">
        <f>IF(AND(表_网址[[#This Row],[首要关键词]]=K88,表_网址[[#This Row],[次要关键词]]=L88,表_网址[[#This Row],[重点关键词]]=M88),E88+1,IF(表_网址[[#This Row],[重点关键词]]="",100,101))</f>
        <v>129</v>
      </c>
      <c r="F89" t="s">
        <v>815</v>
      </c>
      <c r="G89" t="s">
        <v>816</v>
      </c>
      <c r="H89" t="s">
        <v>29</v>
      </c>
      <c r="I89" t="s">
        <v>817</v>
      </c>
      <c r="J89" t="s">
        <v>1742</v>
      </c>
      <c r="K89" t="s">
        <v>1744</v>
      </c>
      <c r="L89" t="s">
        <v>730</v>
      </c>
      <c r="N89" t="s">
        <v>1848</v>
      </c>
      <c r="R89" t="s">
        <v>1826</v>
      </c>
    </row>
    <row r="90" spans="1:18" x14ac:dyDescent="0.2">
      <c r="A90" t="str">
        <f ca="1">表_网址[[#This Row],[1级]]&amp;"-"&amp;表_网址[[#This Row],[2级]]&amp;"-"&amp;表_网址[[#This Row],[3级]]&amp;"-"&amp;表_网址[[#This Row],[级内]]</f>
        <v>5001-15-10-130</v>
      </c>
      <c r="B90" s="2">
        <f ca="1">MATCH(表_网址[[#This Row],[版层分类]],序列_版层分类,0)*1000+MATCH(表_网址[[#This Row],[首要关键词]],序列_首要关键词,0)</f>
        <v>5001</v>
      </c>
      <c r="C90" s="2">
        <f ca="1">IF(表_网址[[#This Row],[次要关键词]]="",10,MATCH(表_网址[[#This Row],[次要关键词]],序列_次要关键词,0)+10)</f>
        <v>15</v>
      </c>
      <c r="D90">
        <f>IF(表_网址[[#This Row],[重点关键词]]="",10,MATCH(表_网址[[#This Row],[重点关键词]],序列_重点关键词,0)+10)</f>
        <v>10</v>
      </c>
      <c r="E90" s="2">
        <f>IF(AND(表_网址[[#This Row],[首要关键词]]=K89,表_网址[[#This Row],[次要关键词]]=L89,表_网址[[#This Row],[重点关键词]]=M89),E89+1,IF(表_网址[[#This Row],[重点关键词]]="",100,101))</f>
        <v>130</v>
      </c>
      <c r="F90" t="s">
        <v>818</v>
      </c>
      <c r="G90" t="s">
        <v>819</v>
      </c>
      <c r="H90" t="s">
        <v>29</v>
      </c>
      <c r="I90" t="s">
        <v>820</v>
      </c>
      <c r="J90" t="s">
        <v>1742</v>
      </c>
      <c r="K90" t="s">
        <v>1744</v>
      </c>
      <c r="L90" t="s">
        <v>730</v>
      </c>
      <c r="N90" t="s">
        <v>1848</v>
      </c>
      <c r="R90" t="s">
        <v>1826</v>
      </c>
    </row>
    <row r="91" spans="1:18" x14ac:dyDescent="0.2">
      <c r="A91" t="str">
        <f ca="1">表_网址[[#This Row],[1级]]&amp;"-"&amp;表_网址[[#This Row],[2级]]&amp;"-"&amp;表_网址[[#This Row],[3级]]&amp;"-"&amp;表_网址[[#This Row],[级内]]</f>
        <v>5001-15-10-131</v>
      </c>
      <c r="B91" s="2">
        <f ca="1">MATCH(表_网址[[#This Row],[版层分类]],序列_版层分类,0)*1000+MATCH(表_网址[[#This Row],[首要关键词]],序列_首要关键词,0)</f>
        <v>5001</v>
      </c>
      <c r="C91" s="2">
        <f ca="1">IF(表_网址[[#This Row],[次要关键词]]="",10,MATCH(表_网址[[#This Row],[次要关键词]],序列_次要关键词,0)+10)</f>
        <v>15</v>
      </c>
      <c r="D91">
        <f>IF(表_网址[[#This Row],[重点关键词]]="",10,MATCH(表_网址[[#This Row],[重点关键词]],序列_重点关键词,0)+10)</f>
        <v>10</v>
      </c>
      <c r="E91" s="2">
        <f>IF(AND(表_网址[[#This Row],[首要关键词]]=K90,表_网址[[#This Row],[次要关键词]]=L90,表_网址[[#This Row],[重点关键词]]=M90),E90+1,IF(表_网址[[#This Row],[重点关键词]]="",100,101))</f>
        <v>131</v>
      </c>
      <c r="F91" t="s">
        <v>821</v>
      </c>
      <c r="G91" t="s">
        <v>822</v>
      </c>
      <c r="H91" t="s">
        <v>29</v>
      </c>
      <c r="I91" t="s">
        <v>823</v>
      </c>
      <c r="J91" t="s">
        <v>1742</v>
      </c>
      <c r="K91" t="s">
        <v>1744</v>
      </c>
      <c r="L91" t="s">
        <v>730</v>
      </c>
      <c r="N91" t="s">
        <v>1848</v>
      </c>
      <c r="Q91">
        <v>48</v>
      </c>
      <c r="R91" t="s">
        <v>1826</v>
      </c>
    </row>
    <row r="92" spans="1:18" x14ac:dyDescent="0.2">
      <c r="A92" t="str">
        <f ca="1">表_网址[[#This Row],[1级]]&amp;"-"&amp;表_网址[[#This Row],[2级]]&amp;"-"&amp;表_网址[[#This Row],[3级]]&amp;"-"&amp;表_网址[[#This Row],[级内]]</f>
        <v>5002-10-10-100</v>
      </c>
      <c r="B92" s="2">
        <f ca="1">MATCH(表_网址[[#This Row],[版层分类]],序列_版层分类,0)*1000+MATCH(表_网址[[#This Row],[首要关键词]],序列_首要关键词,0)</f>
        <v>5002</v>
      </c>
      <c r="C92" s="2">
        <f>IF(表_网址[[#This Row],[次要关键词]]="",10,MATCH(表_网址[[#This Row],[次要关键词]],序列_次要关键词,0)+10)</f>
        <v>10</v>
      </c>
      <c r="D92">
        <f>IF(表_网址[[#This Row],[重点关键词]]="",10,MATCH(表_网址[[#This Row],[重点关键词]],序列_重点关键词,0)+10)</f>
        <v>10</v>
      </c>
      <c r="E92" s="2">
        <f>IF(AND(表_网址[[#This Row],[首要关键词]]=K91,表_网址[[#This Row],[次要关键词]]=L91,表_网址[[#This Row],[重点关键词]]=M91),E91+1,IF(表_网址[[#This Row],[重点关键词]]="",100,101))</f>
        <v>100</v>
      </c>
      <c r="F92" t="s">
        <v>824</v>
      </c>
      <c r="G92" t="s">
        <v>825</v>
      </c>
      <c r="H92" t="s">
        <v>29</v>
      </c>
      <c r="I92" t="s">
        <v>826</v>
      </c>
      <c r="J92" t="s">
        <v>1742</v>
      </c>
      <c r="K92" t="s">
        <v>1746</v>
      </c>
      <c r="N92" t="s">
        <v>1848</v>
      </c>
      <c r="O92" t="s">
        <v>1166</v>
      </c>
      <c r="Q92">
        <v>32</v>
      </c>
      <c r="R92" t="s">
        <v>1826</v>
      </c>
    </row>
    <row r="93" spans="1:18" x14ac:dyDescent="0.2">
      <c r="A93" t="str">
        <f ca="1">表_网址[[#This Row],[1级]]&amp;"-"&amp;表_网址[[#This Row],[2级]]&amp;"-"&amp;表_网址[[#This Row],[3级]]&amp;"-"&amp;表_网址[[#This Row],[级内]]</f>
        <v>5002-10-10-101</v>
      </c>
      <c r="B93" s="2">
        <f ca="1">MATCH(表_网址[[#This Row],[版层分类]],序列_版层分类,0)*1000+MATCH(表_网址[[#This Row],[首要关键词]],序列_首要关键词,0)</f>
        <v>5002</v>
      </c>
      <c r="C93" s="2">
        <f>IF(表_网址[[#This Row],[次要关键词]]="",10,MATCH(表_网址[[#This Row],[次要关键词]],序列_次要关键词,0)+10)</f>
        <v>10</v>
      </c>
      <c r="D93">
        <f>IF(表_网址[[#This Row],[重点关键词]]="",10,MATCH(表_网址[[#This Row],[重点关键词]],序列_重点关键词,0)+10)</f>
        <v>10</v>
      </c>
      <c r="E93" s="2">
        <f>IF(AND(表_网址[[#This Row],[首要关键词]]=K92,表_网址[[#This Row],[次要关键词]]=L92,表_网址[[#This Row],[重点关键词]]=M92),E92+1,IF(表_网址[[#This Row],[重点关键词]]="",100,101))</f>
        <v>101</v>
      </c>
      <c r="F93" t="s">
        <v>827</v>
      </c>
      <c r="G93" t="s">
        <v>828</v>
      </c>
      <c r="H93" t="s">
        <v>29</v>
      </c>
      <c r="I93" t="s">
        <v>829</v>
      </c>
      <c r="J93" t="s">
        <v>1742</v>
      </c>
      <c r="K93" t="s">
        <v>1746</v>
      </c>
      <c r="N93" t="s">
        <v>1848</v>
      </c>
      <c r="R93" t="s">
        <v>1826</v>
      </c>
    </row>
    <row r="94" spans="1:18" x14ac:dyDescent="0.2">
      <c r="A94" t="str">
        <f ca="1">表_网址[[#This Row],[1级]]&amp;"-"&amp;表_网址[[#This Row],[2级]]&amp;"-"&amp;表_网址[[#This Row],[3级]]&amp;"-"&amp;表_网址[[#This Row],[级内]]</f>
        <v>5002-10-10-102</v>
      </c>
      <c r="B94" s="2">
        <f ca="1">MATCH(表_网址[[#This Row],[版层分类]],序列_版层分类,0)*1000+MATCH(表_网址[[#This Row],[首要关键词]],序列_首要关键词,0)</f>
        <v>5002</v>
      </c>
      <c r="C94" s="2">
        <f>IF(表_网址[[#This Row],[次要关键词]]="",10,MATCH(表_网址[[#This Row],[次要关键词]],序列_次要关键词,0)+10)</f>
        <v>10</v>
      </c>
      <c r="D94">
        <f>IF(表_网址[[#This Row],[重点关键词]]="",10,MATCH(表_网址[[#This Row],[重点关键词]],序列_重点关键词,0)+10)</f>
        <v>10</v>
      </c>
      <c r="E94" s="2">
        <f>IF(AND(表_网址[[#This Row],[首要关键词]]=K93,表_网址[[#This Row],[次要关键词]]=L93,表_网址[[#This Row],[重点关键词]]=M93),E93+1,IF(表_网址[[#This Row],[重点关键词]]="",100,101))</f>
        <v>102</v>
      </c>
      <c r="F94" t="s">
        <v>830</v>
      </c>
      <c r="G94" t="s">
        <v>831</v>
      </c>
      <c r="H94" t="s">
        <v>29</v>
      </c>
      <c r="I94" t="s">
        <v>832</v>
      </c>
      <c r="J94" t="s">
        <v>1742</v>
      </c>
      <c r="K94" t="s">
        <v>1746</v>
      </c>
      <c r="N94" t="s">
        <v>1848</v>
      </c>
      <c r="O94" t="s">
        <v>1166</v>
      </c>
      <c r="Q94">
        <v>16</v>
      </c>
      <c r="R94" t="s">
        <v>1826</v>
      </c>
    </row>
    <row r="95" spans="1:18" x14ac:dyDescent="0.2">
      <c r="A95" t="str">
        <f ca="1">表_网址[[#This Row],[1级]]&amp;"-"&amp;表_网址[[#This Row],[2级]]&amp;"-"&amp;表_网址[[#This Row],[3级]]&amp;"-"&amp;表_网址[[#This Row],[级内]]</f>
        <v>5002-10-10-103</v>
      </c>
      <c r="B95" s="2">
        <f ca="1">MATCH(表_网址[[#This Row],[版层分类]],序列_版层分类,0)*1000+MATCH(表_网址[[#This Row],[首要关键词]],序列_首要关键词,0)</f>
        <v>5002</v>
      </c>
      <c r="C95" s="2">
        <f>IF(表_网址[[#This Row],[次要关键词]]="",10,MATCH(表_网址[[#This Row],[次要关键词]],序列_次要关键词,0)+10)</f>
        <v>10</v>
      </c>
      <c r="D95">
        <f>IF(表_网址[[#This Row],[重点关键词]]="",10,MATCH(表_网址[[#This Row],[重点关键词]],序列_重点关键词,0)+10)</f>
        <v>10</v>
      </c>
      <c r="E95" s="2">
        <f>IF(AND(表_网址[[#This Row],[首要关键词]]=K94,表_网址[[#This Row],[次要关键词]]=L94,表_网址[[#This Row],[重点关键词]]=M94),E94+1,IF(表_网址[[#This Row],[重点关键词]]="",100,101))</f>
        <v>103</v>
      </c>
      <c r="F95" t="s">
        <v>833</v>
      </c>
      <c r="G95" t="s">
        <v>834</v>
      </c>
      <c r="H95" t="s">
        <v>29</v>
      </c>
      <c r="I95" t="s">
        <v>835</v>
      </c>
      <c r="J95" t="s">
        <v>1742</v>
      </c>
      <c r="K95" t="s">
        <v>1746</v>
      </c>
      <c r="N95" t="s">
        <v>1848</v>
      </c>
      <c r="O95" t="s">
        <v>1166</v>
      </c>
      <c r="R95" t="s">
        <v>1826</v>
      </c>
    </row>
    <row r="96" spans="1:18" x14ac:dyDescent="0.2">
      <c r="A96" t="str">
        <f ca="1">表_网址[[#This Row],[1级]]&amp;"-"&amp;表_网址[[#This Row],[2级]]&amp;"-"&amp;表_网址[[#This Row],[3级]]&amp;"-"&amp;表_网址[[#This Row],[级内]]</f>
        <v>5002-10-10-104</v>
      </c>
      <c r="B96" s="2">
        <f ca="1">MATCH(表_网址[[#This Row],[版层分类]],序列_版层分类,0)*1000+MATCH(表_网址[[#This Row],[首要关键词]],序列_首要关键词,0)</f>
        <v>5002</v>
      </c>
      <c r="C96" s="2">
        <f>IF(表_网址[[#This Row],[次要关键词]]="",10,MATCH(表_网址[[#This Row],[次要关键词]],序列_次要关键词,0)+10)</f>
        <v>10</v>
      </c>
      <c r="D96">
        <f>IF(表_网址[[#This Row],[重点关键词]]="",10,MATCH(表_网址[[#This Row],[重点关键词]],序列_重点关键词,0)+10)</f>
        <v>10</v>
      </c>
      <c r="E96" s="2">
        <f>IF(AND(表_网址[[#This Row],[首要关键词]]=K95,表_网址[[#This Row],[次要关键词]]=L95,表_网址[[#This Row],[重点关键词]]=M95),E95+1,IF(表_网址[[#This Row],[重点关键词]]="",100,101))</f>
        <v>104</v>
      </c>
      <c r="F96" t="s">
        <v>836</v>
      </c>
      <c r="G96" t="s">
        <v>837</v>
      </c>
      <c r="H96" t="s">
        <v>29</v>
      </c>
      <c r="I96" t="s">
        <v>838</v>
      </c>
      <c r="J96" t="s">
        <v>1742</v>
      </c>
      <c r="K96" t="s">
        <v>1746</v>
      </c>
      <c r="N96" t="s">
        <v>1848</v>
      </c>
      <c r="O96" t="s">
        <v>1166</v>
      </c>
      <c r="Q96">
        <v>16</v>
      </c>
      <c r="R96" t="s">
        <v>1826</v>
      </c>
    </row>
    <row r="97" spans="1:18" x14ac:dyDescent="0.2">
      <c r="A97" t="str">
        <f ca="1">表_网址[[#This Row],[1级]]&amp;"-"&amp;表_网址[[#This Row],[2级]]&amp;"-"&amp;表_网址[[#This Row],[3级]]&amp;"-"&amp;表_网址[[#This Row],[级内]]</f>
        <v>5002-10-10-105</v>
      </c>
      <c r="B97" s="2">
        <f ca="1">MATCH(表_网址[[#This Row],[版层分类]],序列_版层分类,0)*1000+MATCH(表_网址[[#This Row],[首要关键词]],序列_首要关键词,0)</f>
        <v>5002</v>
      </c>
      <c r="C97" s="2">
        <f>IF(表_网址[[#This Row],[次要关键词]]="",10,MATCH(表_网址[[#This Row],[次要关键词]],序列_次要关键词,0)+10)</f>
        <v>10</v>
      </c>
      <c r="D97">
        <f>IF(表_网址[[#This Row],[重点关键词]]="",10,MATCH(表_网址[[#This Row],[重点关键词]],序列_重点关键词,0)+10)</f>
        <v>10</v>
      </c>
      <c r="E97" s="2">
        <f>IF(AND(表_网址[[#This Row],[首要关键词]]=K96,表_网址[[#This Row],[次要关键词]]=L96,表_网址[[#This Row],[重点关键词]]=M96),E96+1,IF(表_网址[[#This Row],[重点关键词]]="",100,101))</f>
        <v>105</v>
      </c>
      <c r="F97" t="s">
        <v>839</v>
      </c>
      <c r="G97" t="s">
        <v>840</v>
      </c>
      <c r="H97" t="s">
        <v>29</v>
      </c>
      <c r="I97" t="s">
        <v>841</v>
      </c>
      <c r="J97" t="s">
        <v>1742</v>
      </c>
      <c r="K97" t="s">
        <v>1746</v>
      </c>
      <c r="N97" t="s">
        <v>1848</v>
      </c>
      <c r="O97" t="s">
        <v>1166</v>
      </c>
      <c r="Q97">
        <v>37</v>
      </c>
      <c r="R97" t="s">
        <v>1826</v>
      </c>
    </row>
    <row r="98" spans="1:18" x14ac:dyDescent="0.2">
      <c r="A98" t="str">
        <f ca="1">表_网址[[#This Row],[1级]]&amp;"-"&amp;表_网址[[#This Row],[2级]]&amp;"-"&amp;表_网址[[#This Row],[3级]]&amp;"-"&amp;表_网址[[#This Row],[级内]]</f>
        <v>5002-10-10-106</v>
      </c>
      <c r="B98" s="2">
        <f ca="1">MATCH(表_网址[[#This Row],[版层分类]],序列_版层分类,0)*1000+MATCH(表_网址[[#This Row],[首要关键词]],序列_首要关键词,0)</f>
        <v>5002</v>
      </c>
      <c r="C98" s="2">
        <f>IF(表_网址[[#This Row],[次要关键词]]="",10,MATCH(表_网址[[#This Row],[次要关键词]],序列_次要关键词,0)+10)</f>
        <v>10</v>
      </c>
      <c r="D98">
        <f>IF(表_网址[[#This Row],[重点关键词]]="",10,MATCH(表_网址[[#This Row],[重点关键词]],序列_重点关键词,0)+10)</f>
        <v>10</v>
      </c>
      <c r="E98" s="2">
        <f>IF(AND(表_网址[[#This Row],[首要关键词]]=K97,表_网址[[#This Row],[次要关键词]]=L97,表_网址[[#This Row],[重点关键词]]=M97),E97+1,IF(表_网址[[#This Row],[重点关键词]]="",100,101))</f>
        <v>106</v>
      </c>
      <c r="F98" t="s">
        <v>842</v>
      </c>
      <c r="G98" t="s">
        <v>843</v>
      </c>
      <c r="H98" t="s">
        <v>29</v>
      </c>
      <c r="I98" t="s">
        <v>844</v>
      </c>
      <c r="J98" t="s">
        <v>1742</v>
      </c>
      <c r="K98" t="s">
        <v>1746</v>
      </c>
      <c r="N98" t="s">
        <v>1848</v>
      </c>
      <c r="O98" t="s">
        <v>1166</v>
      </c>
      <c r="Q98">
        <v>16</v>
      </c>
      <c r="R98" t="s">
        <v>1826</v>
      </c>
    </row>
    <row r="99" spans="1:18" x14ac:dyDescent="0.2">
      <c r="A99" t="str">
        <f ca="1">表_网址[[#This Row],[1级]]&amp;"-"&amp;表_网址[[#This Row],[2级]]&amp;"-"&amp;表_网址[[#This Row],[3级]]&amp;"-"&amp;表_网址[[#This Row],[级内]]</f>
        <v>5003-10-10-100</v>
      </c>
      <c r="B99" s="2">
        <f ca="1">MATCH(表_网址[[#This Row],[版层分类]],序列_版层分类,0)*1000+MATCH(表_网址[[#This Row],[首要关键词]],序列_首要关键词,0)</f>
        <v>5003</v>
      </c>
      <c r="C99" s="2">
        <f>IF(表_网址[[#This Row],[次要关键词]]="",10,MATCH(表_网址[[#This Row],[次要关键词]],序列_次要关键词,0)+10)</f>
        <v>10</v>
      </c>
      <c r="D99">
        <f>IF(表_网址[[#This Row],[重点关键词]]="",10,MATCH(表_网址[[#This Row],[重点关键词]],序列_重点关键词,0)+10)</f>
        <v>10</v>
      </c>
      <c r="E99" s="2">
        <f>IF(AND(表_网址[[#This Row],[首要关键词]]=K98,表_网址[[#This Row],[次要关键词]]=L98,表_网址[[#This Row],[重点关键词]]=M98),E98+1,IF(表_网址[[#This Row],[重点关键词]]="",100,101))</f>
        <v>100</v>
      </c>
      <c r="F99" t="s">
        <v>845</v>
      </c>
      <c r="G99" t="s">
        <v>846</v>
      </c>
      <c r="H99" t="s">
        <v>29</v>
      </c>
      <c r="I99" t="s">
        <v>847</v>
      </c>
      <c r="J99" t="s">
        <v>1742</v>
      </c>
      <c r="K99" t="s">
        <v>1748</v>
      </c>
      <c r="N99" t="s">
        <v>1848</v>
      </c>
      <c r="O99" t="s">
        <v>1166</v>
      </c>
      <c r="Q99">
        <v>64</v>
      </c>
      <c r="R99" t="s">
        <v>1826</v>
      </c>
    </row>
    <row r="100" spans="1:18" x14ac:dyDescent="0.2">
      <c r="A100" t="str">
        <f ca="1">表_网址[[#This Row],[1级]]&amp;"-"&amp;表_网址[[#This Row],[2级]]&amp;"-"&amp;表_网址[[#This Row],[3级]]&amp;"-"&amp;表_网址[[#This Row],[级内]]</f>
        <v>5003-10-10-101</v>
      </c>
      <c r="B100" s="2">
        <f ca="1">MATCH(表_网址[[#This Row],[版层分类]],序列_版层分类,0)*1000+MATCH(表_网址[[#This Row],[首要关键词]],序列_首要关键词,0)</f>
        <v>5003</v>
      </c>
      <c r="C100" s="2">
        <f>IF(表_网址[[#This Row],[次要关键词]]="",10,MATCH(表_网址[[#This Row],[次要关键词]],序列_次要关键词,0)+10)</f>
        <v>10</v>
      </c>
      <c r="D100">
        <f>IF(表_网址[[#This Row],[重点关键词]]="",10,MATCH(表_网址[[#This Row],[重点关键词]],序列_重点关键词,0)+10)</f>
        <v>10</v>
      </c>
      <c r="E100" s="2">
        <f>IF(AND(表_网址[[#This Row],[首要关键词]]=K99,表_网址[[#This Row],[次要关键词]]=L99,表_网址[[#This Row],[重点关键词]]=M99),E99+1,IF(表_网址[[#This Row],[重点关键词]]="",100,101))</f>
        <v>101</v>
      </c>
      <c r="F100" t="s">
        <v>848</v>
      </c>
      <c r="G100" t="s">
        <v>849</v>
      </c>
      <c r="H100" t="s">
        <v>29</v>
      </c>
      <c r="I100" t="s">
        <v>850</v>
      </c>
      <c r="J100" t="s">
        <v>1742</v>
      </c>
      <c r="K100" t="s">
        <v>1748</v>
      </c>
      <c r="N100" t="s">
        <v>1848</v>
      </c>
      <c r="R100" t="s">
        <v>1826</v>
      </c>
    </row>
    <row r="101" spans="1:18" x14ac:dyDescent="0.2">
      <c r="A101" t="str">
        <f ca="1">表_网址[[#This Row],[1级]]&amp;"-"&amp;表_网址[[#This Row],[2级]]&amp;"-"&amp;表_网址[[#This Row],[3级]]&amp;"-"&amp;表_网址[[#This Row],[级内]]</f>
        <v>5003-10-10-102</v>
      </c>
      <c r="B101" s="2">
        <f ca="1">MATCH(表_网址[[#This Row],[版层分类]],序列_版层分类,0)*1000+MATCH(表_网址[[#This Row],[首要关键词]],序列_首要关键词,0)</f>
        <v>5003</v>
      </c>
      <c r="C101" s="2">
        <f>IF(表_网址[[#This Row],[次要关键词]]="",10,MATCH(表_网址[[#This Row],[次要关键词]],序列_次要关键词,0)+10)</f>
        <v>10</v>
      </c>
      <c r="D101">
        <f>IF(表_网址[[#This Row],[重点关键词]]="",10,MATCH(表_网址[[#This Row],[重点关键词]],序列_重点关键词,0)+10)</f>
        <v>10</v>
      </c>
      <c r="E101" s="2">
        <f>IF(AND(表_网址[[#This Row],[首要关键词]]=K100,表_网址[[#This Row],[次要关键词]]=L100,表_网址[[#This Row],[重点关键词]]=M100),E100+1,IF(表_网址[[#This Row],[重点关键词]]="",100,101))</f>
        <v>102</v>
      </c>
      <c r="F101" t="s">
        <v>851</v>
      </c>
      <c r="G101" t="s">
        <v>852</v>
      </c>
      <c r="H101" t="s">
        <v>29</v>
      </c>
      <c r="I101" t="s">
        <v>853</v>
      </c>
      <c r="J101" t="s">
        <v>1742</v>
      </c>
      <c r="K101" t="s">
        <v>1748</v>
      </c>
      <c r="N101" t="s">
        <v>1848</v>
      </c>
      <c r="Q101">
        <v>32</v>
      </c>
      <c r="R101" t="s">
        <v>1826</v>
      </c>
    </row>
    <row r="102" spans="1:18" x14ac:dyDescent="0.2">
      <c r="A102" t="str">
        <f ca="1">表_网址[[#This Row],[1级]]&amp;"-"&amp;表_网址[[#This Row],[2级]]&amp;"-"&amp;表_网址[[#This Row],[3级]]&amp;"-"&amp;表_网址[[#This Row],[级内]]</f>
        <v>5003-10-10-103</v>
      </c>
      <c r="B102" s="2">
        <f ca="1">MATCH(表_网址[[#This Row],[版层分类]],序列_版层分类,0)*1000+MATCH(表_网址[[#This Row],[首要关键词]],序列_首要关键词,0)</f>
        <v>5003</v>
      </c>
      <c r="C102" s="2">
        <f>IF(表_网址[[#This Row],[次要关键词]]="",10,MATCH(表_网址[[#This Row],[次要关键词]],序列_次要关键词,0)+10)</f>
        <v>10</v>
      </c>
      <c r="D102">
        <f>IF(表_网址[[#This Row],[重点关键词]]="",10,MATCH(表_网址[[#This Row],[重点关键词]],序列_重点关键词,0)+10)</f>
        <v>10</v>
      </c>
      <c r="E102" s="2">
        <f>IF(AND(表_网址[[#This Row],[首要关键词]]=K101,表_网址[[#This Row],[次要关键词]]=L101,表_网址[[#This Row],[重点关键词]]=M101),E101+1,IF(表_网址[[#This Row],[重点关键词]]="",100,101))</f>
        <v>103</v>
      </c>
      <c r="F102" t="s">
        <v>854</v>
      </c>
      <c r="G102" t="s">
        <v>855</v>
      </c>
      <c r="H102" t="s">
        <v>29</v>
      </c>
      <c r="I102" t="s">
        <v>856</v>
      </c>
      <c r="J102" t="s">
        <v>1742</v>
      </c>
      <c r="K102" t="s">
        <v>1748</v>
      </c>
      <c r="N102" t="s">
        <v>1848</v>
      </c>
      <c r="O102" t="s">
        <v>1166</v>
      </c>
      <c r="R102" t="s">
        <v>1826</v>
      </c>
    </row>
    <row r="103" spans="1:18" x14ac:dyDescent="0.2">
      <c r="A103" t="str">
        <f ca="1">表_网址[[#This Row],[1级]]&amp;"-"&amp;表_网址[[#This Row],[2级]]&amp;"-"&amp;表_网址[[#This Row],[3级]]&amp;"-"&amp;表_网址[[#This Row],[级内]]</f>
        <v>5003-10-10-104</v>
      </c>
      <c r="B103" s="2">
        <f ca="1">MATCH(表_网址[[#This Row],[版层分类]],序列_版层分类,0)*1000+MATCH(表_网址[[#This Row],[首要关键词]],序列_首要关键词,0)</f>
        <v>5003</v>
      </c>
      <c r="C103" s="2">
        <f>IF(表_网址[[#This Row],[次要关键词]]="",10,MATCH(表_网址[[#This Row],[次要关键词]],序列_次要关键词,0)+10)</f>
        <v>10</v>
      </c>
      <c r="D103">
        <f>IF(表_网址[[#This Row],[重点关键词]]="",10,MATCH(表_网址[[#This Row],[重点关键词]],序列_重点关键词,0)+10)</f>
        <v>10</v>
      </c>
      <c r="E103" s="2">
        <f>IF(AND(表_网址[[#This Row],[首要关键词]]=K102,表_网址[[#This Row],[次要关键词]]=L102,表_网址[[#This Row],[重点关键词]]=M102),E102+1,IF(表_网址[[#This Row],[重点关键词]]="",100,101))</f>
        <v>104</v>
      </c>
      <c r="F103" t="s">
        <v>857</v>
      </c>
      <c r="G103" t="s">
        <v>858</v>
      </c>
      <c r="H103" t="s">
        <v>29</v>
      </c>
      <c r="I103" t="s">
        <v>859</v>
      </c>
      <c r="J103" t="s">
        <v>1742</v>
      </c>
      <c r="K103" t="s">
        <v>1748</v>
      </c>
      <c r="N103" t="s">
        <v>1848</v>
      </c>
      <c r="O103" t="s">
        <v>1166</v>
      </c>
      <c r="Q103">
        <v>16</v>
      </c>
      <c r="R103" t="s">
        <v>1826</v>
      </c>
    </row>
    <row r="104" spans="1:18" x14ac:dyDescent="0.2">
      <c r="A104" t="str">
        <f ca="1">表_网址[[#This Row],[1级]]&amp;"-"&amp;表_网址[[#This Row],[2级]]&amp;"-"&amp;表_网址[[#This Row],[3级]]&amp;"-"&amp;表_网址[[#This Row],[级内]]</f>
        <v>5003-10-10-105</v>
      </c>
      <c r="B104" s="2">
        <f ca="1">MATCH(表_网址[[#This Row],[版层分类]],序列_版层分类,0)*1000+MATCH(表_网址[[#This Row],[首要关键词]],序列_首要关键词,0)</f>
        <v>5003</v>
      </c>
      <c r="C104" s="2">
        <f>IF(表_网址[[#This Row],[次要关键词]]="",10,MATCH(表_网址[[#This Row],[次要关键词]],序列_次要关键词,0)+10)</f>
        <v>10</v>
      </c>
      <c r="D104">
        <f>IF(表_网址[[#This Row],[重点关键词]]="",10,MATCH(表_网址[[#This Row],[重点关键词]],序列_重点关键词,0)+10)</f>
        <v>10</v>
      </c>
      <c r="E104" s="2">
        <f>IF(AND(表_网址[[#This Row],[首要关键词]]=K103,表_网址[[#This Row],[次要关键词]]=L103,表_网址[[#This Row],[重点关键词]]=M103),E103+1,IF(表_网址[[#This Row],[重点关键词]]="",100,101))</f>
        <v>105</v>
      </c>
      <c r="F104" t="s">
        <v>860</v>
      </c>
      <c r="G104" t="s">
        <v>861</v>
      </c>
      <c r="H104" t="s">
        <v>29</v>
      </c>
      <c r="I104" t="s">
        <v>862</v>
      </c>
      <c r="J104" t="s">
        <v>1742</v>
      </c>
      <c r="K104" t="s">
        <v>1748</v>
      </c>
      <c r="N104" t="s">
        <v>1848</v>
      </c>
      <c r="Q104">
        <v>16</v>
      </c>
      <c r="R104" t="s">
        <v>1826</v>
      </c>
    </row>
    <row r="105" spans="1:18" x14ac:dyDescent="0.2">
      <c r="A105" t="str">
        <f ca="1">表_网址[[#This Row],[1级]]&amp;"-"&amp;表_网址[[#This Row],[2级]]&amp;"-"&amp;表_网址[[#This Row],[3级]]&amp;"-"&amp;表_网址[[#This Row],[级内]]</f>
        <v>5003-10-10-106</v>
      </c>
      <c r="B105" s="2">
        <f ca="1">MATCH(表_网址[[#This Row],[版层分类]],序列_版层分类,0)*1000+MATCH(表_网址[[#This Row],[首要关键词]],序列_首要关键词,0)</f>
        <v>5003</v>
      </c>
      <c r="C105" s="2">
        <f>IF(表_网址[[#This Row],[次要关键词]]="",10,MATCH(表_网址[[#This Row],[次要关键词]],序列_次要关键词,0)+10)</f>
        <v>10</v>
      </c>
      <c r="D105">
        <f>IF(表_网址[[#This Row],[重点关键词]]="",10,MATCH(表_网址[[#This Row],[重点关键词]],序列_重点关键词,0)+10)</f>
        <v>10</v>
      </c>
      <c r="E105" s="2">
        <f>IF(AND(表_网址[[#This Row],[首要关键词]]=K104,表_网址[[#This Row],[次要关键词]]=L104,表_网址[[#This Row],[重点关键词]]=M104),E104+1,IF(表_网址[[#This Row],[重点关键词]]="",100,101))</f>
        <v>106</v>
      </c>
      <c r="F105" t="s">
        <v>863</v>
      </c>
      <c r="G105" t="s">
        <v>864</v>
      </c>
      <c r="H105" t="s">
        <v>29</v>
      </c>
      <c r="I105" t="s">
        <v>865</v>
      </c>
      <c r="J105" t="s">
        <v>1742</v>
      </c>
      <c r="K105" t="s">
        <v>1748</v>
      </c>
      <c r="N105" t="s">
        <v>1848</v>
      </c>
      <c r="O105" t="s">
        <v>1166</v>
      </c>
      <c r="Q105">
        <v>16</v>
      </c>
      <c r="R105" t="s">
        <v>1826</v>
      </c>
    </row>
    <row r="106" spans="1:18" x14ac:dyDescent="0.2">
      <c r="A106" t="str">
        <f ca="1">表_网址[[#This Row],[1级]]&amp;"-"&amp;表_网址[[#This Row],[2级]]&amp;"-"&amp;表_网址[[#This Row],[3级]]&amp;"-"&amp;表_网址[[#This Row],[级内]]</f>
        <v>5003-10-10-107</v>
      </c>
      <c r="B106" s="2">
        <f ca="1">MATCH(表_网址[[#This Row],[版层分类]],序列_版层分类,0)*1000+MATCH(表_网址[[#This Row],[首要关键词]],序列_首要关键词,0)</f>
        <v>5003</v>
      </c>
      <c r="C106" s="2">
        <f>IF(表_网址[[#This Row],[次要关键词]]="",10,MATCH(表_网址[[#This Row],[次要关键词]],序列_次要关键词,0)+10)</f>
        <v>10</v>
      </c>
      <c r="D106">
        <f>IF(表_网址[[#This Row],[重点关键词]]="",10,MATCH(表_网址[[#This Row],[重点关键词]],序列_重点关键词,0)+10)</f>
        <v>10</v>
      </c>
      <c r="E106" s="2">
        <f>IF(AND(表_网址[[#This Row],[首要关键词]]=K105,表_网址[[#This Row],[次要关键词]]=L105,表_网址[[#This Row],[重点关键词]]=M105),E105+1,IF(表_网址[[#This Row],[重点关键词]]="",100,101))</f>
        <v>107</v>
      </c>
      <c r="F106" t="s">
        <v>866</v>
      </c>
      <c r="G106" t="s">
        <v>867</v>
      </c>
      <c r="H106" t="s">
        <v>29</v>
      </c>
      <c r="I106" t="s">
        <v>868</v>
      </c>
      <c r="J106" t="s">
        <v>1742</v>
      </c>
      <c r="K106" t="s">
        <v>1748</v>
      </c>
      <c r="N106" t="s">
        <v>1848</v>
      </c>
      <c r="O106" t="s">
        <v>1166</v>
      </c>
      <c r="Q106">
        <v>16</v>
      </c>
      <c r="R106" t="s">
        <v>1826</v>
      </c>
    </row>
    <row r="107" spans="1:18" x14ac:dyDescent="0.2">
      <c r="A107" t="str">
        <f ca="1">表_网址[[#This Row],[1级]]&amp;"-"&amp;表_网址[[#This Row],[2级]]&amp;"-"&amp;表_网址[[#This Row],[3级]]&amp;"-"&amp;表_网址[[#This Row],[级内]]</f>
        <v>5003-10-10-108</v>
      </c>
      <c r="B107" s="2">
        <f ca="1">MATCH(表_网址[[#This Row],[版层分类]],序列_版层分类,0)*1000+MATCH(表_网址[[#This Row],[首要关键词]],序列_首要关键词,0)</f>
        <v>5003</v>
      </c>
      <c r="C107" s="2">
        <f>IF(表_网址[[#This Row],[次要关键词]]="",10,MATCH(表_网址[[#This Row],[次要关键词]],序列_次要关键词,0)+10)</f>
        <v>10</v>
      </c>
      <c r="D107">
        <f>IF(表_网址[[#This Row],[重点关键词]]="",10,MATCH(表_网址[[#This Row],[重点关键词]],序列_重点关键词,0)+10)</f>
        <v>10</v>
      </c>
      <c r="E107" s="2">
        <f>IF(AND(表_网址[[#This Row],[首要关键词]]=K106,表_网址[[#This Row],[次要关键词]]=L106,表_网址[[#This Row],[重点关键词]]=M106),E106+1,IF(表_网址[[#This Row],[重点关键词]]="",100,101))</f>
        <v>108</v>
      </c>
      <c r="F107" t="s">
        <v>869</v>
      </c>
      <c r="G107" t="s">
        <v>870</v>
      </c>
      <c r="H107" t="s">
        <v>29</v>
      </c>
      <c r="I107" t="s">
        <v>871</v>
      </c>
      <c r="J107" t="s">
        <v>1742</v>
      </c>
      <c r="K107" t="s">
        <v>1748</v>
      </c>
      <c r="N107" t="s">
        <v>1848</v>
      </c>
      <c r="O107" t="s">
        <v>1166</v>
      </c>
      <c r="Q107">
        <v>32</v>
      </c>
      <c r="R107" t="s">
        <v>1826</v>
      </c>
    </row>
    <row r="108" spans="1:18" x14ac:dyDescent="0.2">
      <c r="A108" t="str">
        <f ca="1">表_网址[[#This Row],[1级]]&amp;"-"&amp;表_网址[[#This Row],[2级]]&amp;"-"&amp;表_网址[[#This Row],[3级]]&amp;"-"&amp;表_网址[[#This Row],[级内]]</f>
        <v>5003-10-10-109</v>
      </c>
      <c r="B108" s="2">
        <f ca="1">MATCH(表_网址[[#This Row],[版层分类]],序列_版层分类,0)*1000+MATCH(表_网址[[#This Row],[首要关键词]],序列_首要关键词,0)</f>
        <v>5003</v>
      </c>
      <c r="C108" s="2">
        <f>IF(表_网址[[#This Row],[次要关键词]]="",10,MATCH(表_网址[[#This Row],[次要关键词]],序列_次要关键词,0)+10)</f>
        <v>10</v>
      </c>
      <c r="D108">
        <f>IF(表_网址[[#This Row],[重点关键词]]="",10,MATCH(表_网址[[#This Row],[重点关键词]],序列_重点关键词,0)+10)</f>
        <v>10</v>
      </c>
      <c r="E108" s="2">
        <f>IF(AND(表_网址[[#This Row],[首要关键词]]=K107,表_网址[[#This Row],[次要关键词]]=L107,表_网址[[#This Row],[重点关键词]]=M107),E107+1,IF(表_网址[[#This Row],[重点关键词]]="",100,101))</f>
        <v>109</v>
      </c>
      <c r="F108" t="s">
        <v>872</v>
      </c>
      <c r="G108" t="s">
        <v>873</v>
      </c>
      <c r="H108" t="s">
        <v>29</v>
      </c>
      <c r="I108" t="s">
        <v>874</v>
      </c>
      <c r="J108" t="s">
        <v>1742</v>
      </c>
      <c r="K108" t="s">
        <v>1748</v>
      </c>
      <c r="N108" t="s">
        <v>1848</v>
      </c>
      <c r="Q108">
        <v>16</v>
      </c>
      <c r="R108" t="s">
        <v>1826</v>
      </c>
    </row>
    <row r="109" spans="1:18" x14ac:dyDescent="0.2">
      <c r="A109" t="str">
        <f ca="1">表_网址[[#This Row],[1级]]&amp;"-"&amp;表_网址[[#This Row],[2级]]&amp;"-"&amp;表_网址[[#This Row],[3级]]&amp;"-"&amp;表_网址[[#This Row],[级内]]</f>
        <v>5003-10-10-110</v>
      </c>
      <c r="B109" s="2">
        <f ca="1">MATCH(表_网址[[#This Row],[版层分类]],序列_版层分类,0)*1000+MATCH(表_网址[[#This Row],[首要关键词]],序列_首要关键词,0)</f>
        <v>5003</v>
      </c>
      <c r="C109" s="2">
        <f>IF(表_网址[[#This Row],[次要关键词]]="",10,MATCH(表_网址[[#This Row],[次要关键词]],序列_次要关键词,0)+10)</f>
        <v>10</v>
      </c>
      <c r="D109">
        <f>IF(表_网址[[#This Row],[重点关键词]]="",10,MATCH(表_网址[[#This Row],[重点关键词]],序列_重点关键词,0)+10)</f>
        <v>10</v>
      </c>
      <c r="E109" s="2">
        <f>IF(AND(表_网址[[#This Row],[首要关键词]]=K108,表_网址[[#This Row],[次要关键词]]=L108,表_网址[[#This Row],[重点关键词]]=M108),E108+1,IF(表_网址[[#This Row],[重点关键词]]="",100,101))</f>
        <v>110</v>
      </c>
      <c r="F109" t="s">
        <v>875</v>
      </c>
      <c r="G109" t="s">
        <v>876</v>
      </c>
      <c r="H109" t="s">
        <v>29</v>
      </c>
      <c r="I109" t="s">
        <v>877</v>
      </c>
      <c r="J109" t="s">
        <v>1742</v>
      </c>
      <c r="K109" t="s">
        <v>1748</v>
      </c>
      <c r="N109" t="s">
        <v>1848</v>
      </c>
      <c r="O109" t="s">
        <v>1166</v>
      </c>
      <c r="R109" t="s">
        <v>1826</v>
      </c>
    </row>
    <row r="110" spans="1:18" x14ac:dyDescent="0.2">
      <c r="A110" t="str">
        <f ca="1">表_网址[[#This Row],[1级]]&amp;"-"&amp;表_网址[[#This Row],[2级]]&amp;"-"&amp;表_网址[[#This Row],[3级]]&amp;"-"&amp;表_网址[[#This Row],[级内]]</f>
        <v>7001-10-10-100</v>
      </c>
      <c r="B110" s="2">
        <f ca="1">MATCH(表_网址[[#This Row],[版层分类]],序列_版层分类,0)*1000+MATCH(表_网址[[#This Row],[首要关键词]],序列_首要关键词,0)</f>
        <v>7001</v>
      </c>
      <c r="C110" s="2">
        <f>IF(表_网址[[#This Row],[次要关键词]]="",10,MATCH(表_网址[[#This Row],[次要关键词]],序列_次要关键词,0)+10)</f>
        <v>10</v>
      </c>
      <c r="D110">
        <f>IF(表_网址[[#This Row],[重点关键词]]="",10,MATCH(表_网址[[#This Row],[重点关键词]],序列_重点关键词,0)+10)</f>
        <v>10</v>
      </c>
      <c r="E110" s="2">
        <f>IF(AND(表_网址[[#This Row],[首要关键词]]=K109,表_网址[[#This Row],[次要关键词]]=L109,表_网址[[#This Row],[重点关键词]]=M109),E109+1,IF(表_网址[[#This Row],[重点关键词]]="",100,101))</f>
        <v>100</v>
      </c>
      <c r="F110" t="s">
        <v>1040</v>
      </c>
      <c r="G110" t="s">
        <v>1041</v>
      </c>
      <c r="H110" t="s">
        <v>29</v>
      </c>
      <c r="I110" t="s">
        <v>1042</v>
      </c>
      <c r="J110" t="s">
        <v>1688</v>
      </c>
      <c r="K110" t="s">
        <v>1043</v>
      </c>
      <c r="N110" t="s">
        <v>1848</v>
      </c>
      <c r="O110" t="s">
        <v>1166</v>
      </c>
      <c r="Q110">
        <v>32</v>
      </c>
    </row>
    <row r="111" spans="1:18" x14ac:dyDescent="0.2">
      <c r="A111" t="str">
        <f ca="1">表_网址[[#This Row],[1级]]&amp;"-"&amp;表_网址[[#This Row],[2级]]&amp;"-"&amp;表_网址[[#This Row],[3级]]&amp;"-"&amp;表_网址[[#This Row],[级内]]</f>
        <v>7001-10-10-101</v>
      </c>
      <c r="B111" s="2">
        <f ca="1">MATCH(表_网址[[#This Row],[版层分类]],序列_版层分类,0)*1000+MATCH(表_网址[[#This Row],[首要关键词]],序列_首要关键词,0)</f>
        <v>7001</v>
      </c>
      <c r="C111" s="2">
        <f>IF(表_网址[[#This Row],[次要关键词]]="",10,MATCH(表_网址[[#This Row],[次要关键词]],序列_次要关键词,0)+10)</f>
        <v>10</v>
      </c>
      <c r="D111">
        <f>IF(表_网址[[#This Row],[重点关键词]]="",10,MATCH(表_网址[[#This Row],[重点关键词]],序列_重点关键词,0)+10)</f>
        <v>10</v>
      </c>
      <c r="E111" s="2">
        <f>IF(AND(表_网址[[#This Row],[首要关键词]]=K110,表_网址[[#This Row],[次要关键词]]=L110,表_网址[[#This Row],[重点关键词]]=M110),E110+1,IF(表_网址[[#This Row],[重点关键词]]="",100,101))</f>
        <v>101</v>
      </c>
      <c r="F111" t="s">
        <v>1044</v>
      </c>
      <c r="G111" t="s">
        <v>1045</v>
      </c>
      <c r="H111" t="s">
        <v>1850</v>
      </c>
      <c r="I111" t="s">
        <v>1046</v>
      </c>
      <c r="J111" t="s">
        <v>1688</v>
      </c>
      <c r="K111" t="s">
        <v>1043</v>
      </c>
      <c r="N111" t="s">
        <v>1848</v>
      </c>
      <c r="O111" t="s">
        <v>1166</v>
      </c>
      <c r="Q111">
        <v>32</v>
      </c>
    </row>
    <row r="112" spans="1:18" x14ac:dyDescent="0.2">
      <c r="A112" t="str">
        <f ca="1">表_网址[[#This Row],[1级]]&amp;"-"&amp;表_网址[[#This Row],[2级]]&amp;"-"&amp;表_网址[[#This Row],[3级]]&amp;"-"&amp;表_网址[[#This Row],[级内]]</f>
        <v>7001-10-10-102</v>
      </c>
      <c r="B112" s="2">
        <f ca="1">MATCH(表_网址[[#This Row],[版层分类]],序列_版层分类,0)*1000+MATCH(表_网址[[#This Row],[首要关键词]],序列_首要关键词,0)</f>
        <v>7001</v>
      </c>
      <c r="C112" s="2">
        <f>IF(表_网址[[#This Row],[次要关键词]]="",10,MATCH(表_网址[[#This Row],[次要关键词]],序列_次要关键词,0)+10)</f>
        <v>10</v>
      </c>
      <c r="D112">
        <f>IF(表_网址[[#This Row],[重点关键词]]="",10,MATCH(表_网址[[#This Row],[重点关键词]],序列_重点关键词,0)+10)</f>
        <v>10</v>
      </c>
      <c r="E112" s="2">
        <f>IF(AND(表_网址[[#This Row],[首要关键词]]=K111,表_网址[[#This Row],[次要关键词]]=L111,表_网址[[#This Row],[重点关键词]]=M111),E111+1,IF(表_网址[[#This Row],[重点关键词]]="",100,101))</f>
        <v>102</v>
      </c>
      <c r="F112" t="s">
        <v>1047</v>
      </c>
      <c r="G112" t="s">
        <v>1048</v>
      </c>
      <c r="H112" t="s">
        <v>29</v>
      </c>
      <c r="I112" t="s">
        <v>1049</v>
      </c>
      <c r="J112" t="s">
        <v>1688</v>
      </c>
      <c r="K112" t="s">
        <v>1043</v>
      </c>
      <c r="N112" t="s">
        <v>1848</v>
      </c>
      <c r="O112" t="s">
        <v>1166</v>
      </c>
      <c r="Q112">
        <v>64</v>
      </c>
    </row>
    <row r="113" spans="1:19" x14ac:dyDescent="0.2">
      <c r="A113" t="str">
        <f ca="1">表_网址[[#This Row],[1级]]&amp;"-"&amp;表_网址[[#This Row],[2级]]&amp;"-"&amp;表_网址[[#This Row],[3级]]&amp;"-"&amp;表_网址[[#This Row],[级内]]</f>
        <v>7001-10-10-103</v>
      </c>
      <c r="B113" s="2">
        <f ca="1">MATCH(表_网址[[#This Row],[版层分类]],序列_版层分类,0)*1000+MATCH(表_网址[[#This Row],[首要关键词]],序列_首要关键词,0)</f>
        <v>7001</v>
      </c>
      <c r="C113" s="2">
        <f>IF(表_网址[[#This Row],[次要关键词]]="",10,MATCH(表_网址[[#This Row],[次要关键词]],序列_次要关键词,0)+10)</f>
        <v>10</v>
      </c>
      <c r="D113">
        <f>IF(表_网址[[#This Row],[重点关键词]]="",10,MATCH(表_网址[[#This Row],[重点关键词]],序列_重点关键词,0)+10)</f>
        <v>10</v>
      </c>
      <c r="E113" s="2">
        <f>IF(AND(表_网址[[#This Row],[首要关键词]]=K112,表_网址[[#This Row],[次要关键词]]=L112,表_网址[[#This Row],[重点关键词]]=M112),E112+1,IF(表_网址[[#This Row],[重点关键词]]="",100,101))</f>
        <v>103</v>
      </c>
      <c r="F113" t="s">
        <v>1050</v>
      </c>
      <c r="G113" t="s">
        <v>1051</v>
      </c>
      <c r="H113" t="s">
        <v>29</v>
      </c>
      <c r="I113" t="s">
        <v>1052</v>
      </c>
      <c r="J113" t="s">
        <v>1688</v>
      </c>
      <c r="K113" t="s">
        <v>1043</v>
      </c>
      <c r="N113" t="s">
        <v>1848</v>
      </c>
      <c r="O113" t="s">
        <v>1166</v>
      </c>
      <c r="Q113">
        <v>32</v>
      </c>
    </row>
    <row r="114" spans="1:19" x14ac:dyDescent="0.2">
      <c r="A114" t="str">
        <f ca="1">表_网址[[#This Row],[1级]]&amp;"-"&amp;表_网址[[#This Row],[2级]]&amp;"-"&amp;表_网址[[#This Row],[3级]]&amp;"-"&amp;表_网址[[#This Row],[级内]]</f>
        <v>7001-10-10-104</v>
      </c>
      <c r="B114" s="2">
        <f ca="1">MATCH(表_网址[[#This Row],[版层分类]],序列_版层分类,0)*1000+MATCH(表_网址[[#This Row],[首要关键词]],序列_首要关键词,0)</f>
        <v>7001</v>
      </c>
      <c r="C114" s="2">
        <f>IF(表_网址[[#This Row],[次要关键词]]="",10,MATCH(表_网址[[#This Row],[次要关键词]],序列_次要关键词,0)+10)</f>
        <v>10</v>
      </c>
      <c r="D114">
        <f>IF(表_网址[[#This Row],[重点关键词]]="",10,MATCH(表_网址[[#This Row],[重点关键词]],序列_重点关键词,0)+10)</f>
        <v>10</v>
      </c>
      <c r="E114" s="2">
        <f>IF(AND(表_网址[[#This Row],[首要关键词]]=K113,表_网址[[#This Row],[次要关键词]]=L113,表_网址[[#This Row],[重点关键词]]=M113),E113+1,IF(表_网址[[#This Row],[重点关键词]]="",100,101))</f>
        <v>104</v>
      </c>
      <c r="F114" t="s">
        <v>543</v>
      </c>
      <c r="G114" t="s">
        <v>544</v>
      </c>
      <c r="H114" t="s">
        <v>29</v>
      </c>
      <c r="I114" t="s">
        <v>545</v>
      </c>
      <c r="J114" t="s">
        <v>1688</v>
      </c>
      <c r="K114" t="s">
        <v>1043</v>
      </c>
      <c r="N114" t="s">
        <v>1848</v>
      </c>
      <c r="O114" t="s">
        <v>1166</v>
      </c>
      <c r="Q114">
        <v>32</v>
      </c>
    </row>
    <row r="115" spans="1:19" x14ac:dyDescent="0.2">
      <c r="A115" t="str">
        <f ca="1">表_网址[[#This Row],[1级]]&amp;"-"&amp;表_网址[[#This Row],[2级]]&amp;"-"&amp;表_网址[[#This Row],[3级]]&amp;"-"&amp;表_网址[[#This Row],[级内]]</f>
        <v>7001-10-10-105</v>
      </c>
      <c r="B115" s="2">
        <f ca="1">MATCH(表_网址[[#This Row],[版层分类]],序列_版层分类,0)*1000+MATCH(表_网址[[#This Row],[首要关键词]],序列_首要关键词,0)</f>
        <v>7001</v>
      </c>
      <c r="C115" s="2">
        <f>IF(表_网址[[#This Row],[次要关键词]]="",10,MATCH(表_网址[[#This Row],[次要关键词]],序列_次要关键词,0)+10)</f>
        <v>10</v>
      </c>
      <c r="D115">
        <f>IF(表_网址[[#This Row],[重点关键词]]="",10,MATCH(表_网址[[#This Row],[重点关键词]],序列_重点关键词,0)+10)</f>
        <v>10</v>
      </c>
      <c r="E115" s="2">
        <f>IF(AND(表_网址[[#This Row],[首要关键词]]=K114,表_网址[[#This Row],[次要关键词]]=L114,表_网址[[#This Row],[重点关键词]]=M114),E114+1,IF(表_网址[[#This Row],[重点关键词]]="",100,101))</f>
        <v>105</v>
      </c>
      <c r="F115" t="s">
        <v>1053</v>
      </c>
      <c r="G115" t="s">
        <v>1054</v>
      </c>
      <c r="H115" t="s">
        <v>29</v>
      </c>
      <c r="I115" t="s">
        <v>1055</v>
      </c>
      <c r="J115" t="s">
        <v>1688</v>
      </c>
      <c r="K115" t="s">
        <v>1043</v>
      </c>
      <c r="N115" t="s">
        <v>1848</v>
      </c>
      <c r="O115" t="s">
        <v>1166</v>
      </c>
      <c r="Q115">
        <v>32</v>
      </c>
    </row>
    <row r="116" spans="1:19" x14ac:dyDescent="0.2">
      <c r="A116" t="str">
        <f ca="1">表_网址[[#This Row],[1级]]&amp;"-"&amp;表_网址[[#This Row],[2级]]&amp;"-"&amp;表_网址[[#This Row],[3级]]&amp;"-"&amp;表_网址[[#This Row],[级内]]</f>
        <v>7001-10-10-106</v>
      </c>
      <c r="B116" s="2">
        <f ca="1">MATCH(表_网址[[#This Row],[版层分类]],序列_版层分类,0)*1000+MATCH(表_网址[[#This Row],[首要关键词]],序列_首要关键词,0)</f>
        <v>7001</v>
      </c>
      <c r="C116" s="2">
        <f>IF(表_网址[[#This Row],[次要关键词]]="",10,MATCH(表_网址[[#This Row],[次要关键词]],序列_次要关键词,0)+10)</f>
        <v>10</v>
      </c>
      <c r="D116">
        <f>IF(表_网址[[#This Row],[重点关键词]]="",10,MATCH(表_网址[[#This Row],[重点关键词]],序列_重点关键词,0)+10)</f>
        <v>10</v>
      </c>
      <c r="E116" s="2">
        <f>IF(AND(表_网址[[#This Row],[首要关键词]]=K115,表_网址[[#This Row],[次要关键词]]=L115,表_网址[[#This Row],[重点关键词]]=M115),E115+1,IF(表_网址[[#This Row],[重点关键词]]="",100,101))</f>
        <v>106</v>
      </c>
      <c r="F116" t="s">
        <v>1056</v>
      </c>
      <c r="G116" t="s">
        <v>1057</v>
      </c>
      <c r="H116" t="s">
        <v>29</v>
      </c>
      <c r="I116" t="s">
        <v>1058</v>
      </c>
      <c r="J116" t="s">
        <v>1688</v>
      </c>
      <c r="K116" t="s">
        <v>1043</v>
      </c>
      <c r="N116" t="s">
        <v>1848</v>
      </c>
      <c r="O116" t="s">
        <v>1166</v>
      </c>
      <c r="Q116">
        <v>256</v>
      </c>
    </row>
    <row r="117" spans="1:19" x14ac:dyDescent="0.2">
      <c r="A117" t="str">
        <f ca="1">表_网址[[#This Row],[1级]]&amp;"-"&amp;表_网址[[#This Row],[2级]]&amp;"-"&amp;表_网址[[#This Row],[3级]]&amp;"-"&amp;表_网址[[#This Row],[级内]]</f>
        <v>7002-10-10-100</v>
      </c>
      <c r="B117" s="2">
        <f ca="1">MATCH(表_网址[[#This Row],[版层分类]],序列_版层分类,0)*1000+MATCH(表_网址[[#This Row],[首要关键词]],序列_首要关键词,0)</f>
        <v>7002</v>
      </c>
      <c r="C117" s="2">
        <f>IF(表_网址[[#This Row],[次要关键词]]="",10,MATCH(表_网址[[#This Row],[次要关键词]],序列_次要关键词,0)+10)</f>
        <v>10</v>
      </c>
      <c r="D117">
        <f>IF(表_网址[[#This Row],[重点关键词]]="",10,MATCH(表_网址[[#This Row],[重点关键词]],序列_重点关键词,0)+10)</f>
        <v>10</v>
      </c>
      <c r="E117" s="2">
        <f>IF(AND(表_网址[[#This Row],[首要关键词]]=K116,表_网址[[#This Row],[次要关键词]]=L116,表_网址[[#This Row],[重点关键词]]=M116),E116+1,IF(表_网址[[#This Row],[重点关键词]]="",100,101))</f>
        <v>100</v>
      </c>
      <c r="F117" t="s">
        <v>1059</v>
      </c>
      <c r="G117" t="s">
        <v>1060</v>
      </c>
      <c r="H117" t="s">
        <v>29</v>
      </c>
      <c r="I117" t="s">
        <v>1061</v>
      </c>
      <c r="J117" t="s">
        <v>1688</v>
      </c>
      <c r="K117" t="s">
        <v>1062</v>
      </c>
      <c r="N117" t="s">
        <v>1848</v>
      </c>
      <c r="O117" t="s">
        <v>1166</v>
      </c>
      <c r="Q117">
        <v>32</v>
      </c>
    </row>
    <row r="118" spans="1:19" x14ac:dyDescent="0.2">
      <c r="A118" t="str">
        <f ca="1">表_网址[[#This Row],[1级]]&amp;"-"&amp;表_网址[[#This Row],[2级]]&amp;"-"&amp;表_网址[[#This Row],[3级]]&amp;"-"&amp;表_网址[[#This Row],[级内]]</f>
        <v>7002-10-10-101</v>
      </c>
      <c r="B118" s="2">
        <f ca="1">MATCH(表_网址[[#This Row],[版层分类]],序列_版层分类,0)*1000+MATCH(表_网址[[#This Row],[首要关键词]],序列_首要关键词,0)</f>
        <v>7002</v>
      </c>
      <c r="C118" s="2">
        <f>IF(表_网址[[#This Row],[次要关键词]]="",10,MATCH(表_网址[[#This Row],[次要关键词]],序列_次要关键词,0)+10)</f>
        <v>10</v>
      </c>
      <c r="D118">
        <f>IF(表_网址[[#This Row],[重点关键词]]="",10,MATCH(表_网址[[#This Row],[重点关键词]],序列_重点关键词,0)+10)</f>
        <v>10</v>
      </c>
      <c r="E118" s="2">
        <f>IF(AND(表_网址[[#This Row],[首要关键词]]=K117,表_网址[[#This Row],[次要关键词]]=L117,表_网址[[#This Row],[重点关键词]]=M117),E117+1,IF(表_网址[[#This Row],[重点关键词]]="",100,101))</f>
        <v>101</v>
      </c>
      <c r="F118" t="s">
        <v>539</v>
      </c>
      <c r="G118" t="s">
        <v>540</v>
      </c>
      <c r="H118" t="s">
        <v>29</v>
      </c>
      <c r="I118" t="s">
        <v>541</v>
      </c>
      <c r="J118" t="s">
        <v>1688</v>
      </c>
      <c r="K118" t="s">
        <v>1062</v>
      </c>
      <c r="N118" t="s">
        <v>1848</v>
      </c>
      <c r="O118" t="s">
        <v>1166</v>
      </c>
      <c r="Q118">
        <v>64</v>
      </c>
    </row>
    <row r="119" spans="1:19" x14ac:dyDescent="0.2">
      <c r="A119" t="str">
        <f ca="1">表_网址[[#This Row],[1级]]&amp;"-"&amp;表_网址[[#This Row],[2级]]&amp;"-"&amp;表_网址[[#This Row],[3级]]&amp;"-"&amp;表_网址[[#This Row],[级内]]</f>
        <v>7002-10-10-102</v>
      </c>
      <c r="B119" s="2">
        <f ca="1">MATCH(表_网址[[#This Row],[版层分类]],序列_版层分类,0)*1000+MATCH(表_网址[[#This Row],[首要关键词]],序列_首要关键词,0)</f>
        <v>7002</v>
      </c>
      <c r="C119" s="2">
        <f>IF(表_网址[[#This Row],[次要关键词]]="",10,MATCH(表_网址[[#This Row],[次要关键词]],序列_次要关键词,0)+10)</f>
        <v>10</v>
      </c>
      <c r="D119">
        <f>IF(表_网址[[#This Row],[重点关键词]]="",10,MATCH(表_网址[[#This Row],[重点关键词]],序列_重点关键词,0)+10)</f>
        <v>10</v>
      </c>
      <c r="E119" s="2">
        <f>IF(AND(表_网址[[#This Row],[首要关键词]]=K118,表_网址[[#This Row],[次要关键词]]=L118,表_网址[[#This Row],[重点关键词]]=M118),E118+1,IF(表_网址[[#This Row],[重点关键词]]="",100,101))</f>
        <v>102</v>
      </c>
      <c r="F119" t="s">
        <v>1066</v>
      </c>
      <c r="G119" t="s">
        <v>1067</v>
      </c>
      <c r="H119" t="s">
        <v>29</v>
      </c>
      <c r="I119" t="s">
        <v>541</v>
      </c>
      <c r="J119" t="s">
        <v>1688</v>
      </c>
      <c r="K119" t="s">
        <v>1062</v>
      </c>
      <c r="N119" t="s">
        <v>1848</v>
      </c>
      <c r="O119" t="s">
        <v>1166</v>
      </c>
      <c r="Q119">
        <v>64</v>
      </c>
    </row>
    <row r="120" spans="1:19" x14ac:dyDescent="0.2">
      <c r="A120" t="str">
        <f ca="1">表_网址[[#This Row],[1级]]&amp;"-"&amp;表_网址[[#This Row],[2级]]&amp;"-"&amp;表_网址[[#This Row],[3级]]&amp;"-"&amp;表_网址[[#This Row],[级内]]</f>
        <v>7002-10-10-103</v>
      </c>
      <c r="B120" s="2">
        <f ca="1">MATCH(表_网址[[#This Row],[版层分类]],序列_版层分类,0)*1000+MATCH(表_网址[[#This Row],[首要关键词]],序列_首要关键词,0)</f>
        <v>7002</v>
      </c>
      <c r="C120" s="2">
        <f>IF(表_网址[[#This Row],[次要关键词]]="",10,MATCH(表_网址[[#This Row],[次要关键词]],序列_次要关键词,0)+10)</f>
        <v>10</v>
      </c>
      <c r="D120">
        <f>IF(表_网址[[#This Row],[重点关键词]]="",10,MATCH(表_网址[[#This Row],[重点关键词]],序列_重点关键词,0)+10)</f>
        <v>10</v>
      </c>
      <c r="E120" s="2">
        <f>IF(AND(表_网址[[#This Row],[首要关键词]]=K119,表_网址[[#This Row],[次要关键词]]=L119,表_网址[[#This Row],[重点关键词]]=M119),E119+1,IF(表_网址[[#This Row],[重点关键词]]="",100,101))</f>
        <v>103</v>
      </c>
      <c r="F120" t="s">
        <v>1068</v>
      </c>
      <c r="G120" t="s">
        <v>1069</v>
      </c>
      <c r="H120" t="s">
        <v>29</v>
      </c>
      <c r="I120" t="s">
        <v>1070</v>
      </c>
      <c r="J120" t="s">
        <v>1688</v>
      </c>
      <c r="K120" t="s">
        <v>1062</v>
      </c>
      <c r="N120" t="s">
        <v>1848</v>
      </c>
      <c r="O120" t="s">
        <v>1166</v>
      </c>
      <c r="Q120">
        <v>32</v>
      </c>
    </row>
    <row r="121" spans="1:19" x14ac:dyDescent="0.2">
      <c r="A121" t="str">
        <f ca="1">表_网址[[#This Row],[1级]]&amp;"-"&amp;表_网址[[#This Row],[2级]]&amp;"-"&amp;表_网址[[#This Row],[3级]]&amp;"-"&amp;表_网址[[#This Row],[级内]]</f>
        <v>7002-10-10-104</v>
      </c>
      <c r="B121" s="2">
        <f ca="1">MATCH(表_网址[[#This Row],[版层分类]],序列_版层分类,0)*1000+MATCH(表_网址[[#This Row],[首要关键词]],序列_首要关键词,0)</f>
        <v>7002</v>
      </c>
      <c r="C121" s="2">
        <f>IF(表_网址[[#This Row],[次要关键词]]="",10,MATCH(表_网址[[#This Row],[次要关键词]],序列_次要关键词,0)+10)</f>
        <v>10</v>
      </c>
      <c r="D121">
        <f>IF(表_网址[[#This Row],[重点关键词]]="",10,MATCH(表_网址[[#This Row],[重点关键词]],序列_重点关键词,0)+10)</f>
        <v>10</v>
      </c>
      <c r="E121" s="2">
        <f>IF(AND(表_网址[[#This Row],[首要关键词]]=K120,表_网址[[#This Row],[次要关键词]]=L120,表_网址[[#This Row],[重点关键词]]=M120),E120+1,IF(表_网址[[#This Row],[重点关键词]]="",100,101))</f>
        <v>104</v>
      </c>
      <c r="F121" t="s">
        <v>1063</v>
      </c>
      <c r="G121" t="s">
        <v>1064</v>
      </c>
      <c r="H121" t="s">
        <v>29</v>
      </c>
      <c r="I121" t="s">
        <v>1065</v>
      </c>
      <c r="J121" t="s">
        <v>1688</v>
      </c>
      <c r="K121" t="s">
        <v>1062</v>
      </c>
      <c r="N121" t="s">
        <v>1848</v>
      </c>
      <c r="O121" t="s">
        <v>1166</v>
      </c>
      <c r="Q121">
        <v>64</v>
      </c>
    </row>
    <row r="122" spans="1:19" x14ac:dyDescent="0.2">
      <c r="A122" t="str">
        <f ca="1">表_网址[[#This Row],[1级]]&amp;"-"&amp;表_网址[[#This Row],[2级]]&amp;"-"&amp;表_网址[[#This Row],[3级]]&amp;"-"&amp;表_网址[[#This Row],[级内]]</f>
        <v>7002-10-10-105</v>
      </c>
      <c r="B122" s="2">
        <f ca="1">MATCH(表_网址[[#This Row],[版层分类]],序列_版层分类,0)*1000+MATCH(表_网址[[#This Row],[首要关键词]],序列_首要关键词,0)</f>
        <v>7002</v>
      </c>
      <c r="C122" s="2">
        <f>IF(表_网址[[#This Row],[次要关键词]]="",10,MATCH(表_网址[[#This Row],[次要关键词]],序列_次要关键词,0)+10)</f>
        <v>10</v>
      </c>
      <c r="D122">
        <f>IF(表_网址[[#This Row],[重点关键词]]="",10,MATCH(表_网址[[#This Row],[重点关键词]],序列_重点关键词,0)+10)</f>
        <v>10</v>
      </c>
      <c r="E122" s="2">
        <f>IF(AND(表_网址[[#This Row],[首要关键词]]=K121,表_网址[[#This Row],[次要关键词]]=L121,表_网址[[#This Row],[重点关键词]]=M121),E121+1,IF(表_网址[[#This Row],[重点关键词]]="",100,101))</f>
        <v>105</v>
      </c>
      <c r="F122" t="s">
        <v>1071</v>
      </c>
      <c r="G122" t="s">
        <v>1072</v>
      </c>
      <c r="H122" t="s">
        <v>29</v>
      </c>
      <c r="I122" t="s">
        <v>1073</v>
      </c>
      <c r="J122" t="s">
        <v>1688</v>
      </c>
      <c r="K122" t="s">
        <v>1062</v>
      </c>
      <c r="N122" t="s">
        <v>1848</v>
      </c>
      <c r="O122" t="s">
        <v>1166</v>
      </c>
      <c r="Q122">
        <v>64</v>
      </c>
    </row>
    <row r="123" spans="1:19" x14ac:dyDescent="0.2">
      <c r="A123" t="str">
        <f ca="1">表_网址[[#This Row],[1级]]&amp;"-"&amp;表_网址[[#This Row],[2级]]&amp;"-"&amp;表_网址[[#This Row],[3级]]&amp;"-"&amp;表_网址[[#This Row],[级内]]</f>
        <v>7002-10-10-106</v>
      </c>
      <c r="B123" s="2">
        <f ca="1">MATCH(表_网址[[#This Row],[版层分类]],序列_版层分类,0)*1000+MATCH(表_网址[[#This Row],[首要关键词]],序列_首要关键词,0)</f>
        <v>7002</v>
      </c>
      <c r="C123" s="2">
        <f>IF(表_网址[[#This Row],[次要关键词]]="",10,MATCH(表_网址[[#This Row],[次要关键词]],序列_次要关键词,0)+10)</f>
        <v>10</v>
      </c>
      <c r="D123">
        <f>IF(表_网址[[#This Row],[重点关键词]]="",10,MATCH(表_网址[[#This Row],[重点关键词]],序列_重点关键词,0)+10)</f>
        <v>10</v>
      </c>
      <c r="E123" s="2">
        <f>IF(AND(表_网址[[#This Row],[首要关键词]]=K122,表_网址[[#This Row],[次要关键词]]=L122,表_网址[[#This Row],[重点关键词]]=M122),E122+1,IF(表_网址[[#This Row],[重点关键词]]="",100,101))</f>
        <v>106</v>
      </c>
      <c r="F123" t="s">
        <v>1074</v>
      </c>
      <c r="G123" t="s">
        <v>1075</v>
      </c>
      <c r="H123" t="s">
        <v>29</v>
      </c>
      <c r="I123" t="s">
        <v>1076</v>
      </c>
      <c r="J123" t="s">
        <v>1688</v>
      </c>
      <c r="K123" t="s">
        <v>1062</v>
      </c>
      <c r="N123" t="s">
        <v>1848</v>
      </c>
      <c r="O123" t="s">
        <v>1166</v>
      </c>
      <c r="Q123">
        <v>64</v>
      </c>
    </row>
    <row r="124" spans="1:19" x14ac:dyDescent="0.2">
      <c r="A124" t="str">
        <f ca="1">表_网址[[#This Row],[1级]]&amp;"-"&amp;表_网址[[#This Row],[2级]]&amp;"-"&amp;表_网址[[#This Row],[3级]]&amp;"-"&amp;表_网址[[#This Row],[级内]]</f>
        <v>7003-10-10-100</v>
      </c>
      <c r="B124" s="2">
        <f ca="1">MATCH(表_网址[[#This Row],[版层分类]],序列_版层分类,0)*1000+MATCH(表_网址[[#This Row],[首要关键词]],序列_首要关键词,0)</f>
        <v>7003</v>
      </c>
      <c r="C124" s="2">
        <f>IF(表_网址[[#This Row],[次要关键词]]="",10,MATCH(表_网址[[#This Row],[次要关键词]],序列_次要关键词,0)+10)</f>
        <v>10</v>
      </c>
      <c r="D124">
        <f>IF(表_网址[[#This Row],[重点关键词]]="",10,MATCH(表_网址[[#This Row],[重点关键词]],序列_重点关键词,0)+10)</f>
        <v>10</v>
      </c>
      <c r="E124" s="2">
        <f>IF(AND(表_网址[[#This Row],[首要关键词]]=K123,表_网址[[#This Row],[次要关键词]]=L123,表_网址[[#This Row],[重点关键词]]=M123),E123+1,IF(表_网址[[#This Row],[重点关键词]]="",100,101))</f>
        <v>100</v>
      </c>
      <c r="F124" t="s">
        <v>1077</v>
      </c>
      <c r="G124" t="s">
        <v>1078</v>
      </c>
      <c r="H124" t="s">
        <v>29</v>
      </c>
      <c r="I124" t="s">
        <v>1079</v>
      </c>
      <c r="J124" t="s">
        <v>1688</v>
      </c>
      <c r="K124" t="s">
        <v>591</v>
      </c>
      <c r="N124" t="s">
        <v>1848</v>
      </c>
      <c r="O124" t="s">
        <v>1166</v>
      </c>
      <c r="Q124">
        <v>16</v>
      </c>
    </row>
    <row r="125" spans="1:19" x14ac:dyDescent="0.2">
      <c r="A125" t="str">
        <f ca="1">表_网址[[#This Row],[1级]]&amp;"-"&amp;表_网址[[#This Row],[2级]]&amp;"-"&amp;表_网址[[#This Row],[3级]]&amp;"-"&amp;表_网址[[#This Row],[级内]]</f>
        <v>7004-10-10-100</v>
      </c>
      <c r="B125" s="2">
        <f ca="1">MATCH(表_网址[[#This Row],[版层分类]],序列_版层分类,0)*1000+MATCH(表_网址[[#This Row],[首要关键词]],序列_首要关键词,0)</f>
        <v>7004</v>
      </c>
      <c r="C125" s="2">
        <f>IF(表_网址[[#This Row],[次要关键词]]="",10,MATCH(表_网址[[#This Row],[次要关键词]],序列_次要关键词,0)+10)</f>
        <v>10</v>
      </c>
      <c r="D125">
        <f>IF(表_网址[[#This Row],[重点关键词]]="",10,MATCH(表_网址[[#This Row],[重点关键词]],序列_重点关键词,0)+10)</f>
        <v>10</v>
      </c>
      <c r="E125" s="2">
        <f>IF(AND(表_网址[[#This Row],[首要关键词]]=K124,表_网址[[#This Row],[次要关键词]]=L124,表_网址[[#This Row],[重点关键词]]=M124),E124+1,IF(表_网址[[#This Row],[重点关键词]]="",100,101))</f>
        <v>100</v>
      </c>
      <c r="F125" t="s">
        <v>621</v>
      </c>
      <c r="G125" t="s">
        <v>622</v>
      </c>
      <c r="H125" t="s">
        <v>29</v>
      </c>
      <c r="I125" t="s">
        <v>623</v>
      </c>
      <c r="J125" t="s">
        <v>1688</v>
      </c>
      <c r="K125" t="s">
        <v>1767</v>
      </c>
      <c r="N125" t="s">
        <v>1848</v>
      </c>
      <c r="O125" t="s">
        <v>1166</v>
      </c>
      <c r="Q125">
        <v>16</v>
      </c>
    </row>
    <row r="126" spans="1:19" x14ac:dyDescent="0.2">
      <c r="A126" t="str">
        <f ca="1">表_网址[[#This Row],[1级]]&amp;"-"&amp;表_网址[[#This Row],[2级]]&amp;"-"&amp;表_网址[[#This Row],[3级]]&amp;"-"&amp;表_网址[[#This Row],[级内]]</f>
        <v>7005-10-10-100</v>
      </c>
      <c r="B126" s="2">
        <f ca="1">MATCH(表_网址[[#This Row],[版层分类]],序列_版层分类,0)*1000+MATCH(表_网址[[#This Row],[首要关键词]],序列_首要关键词,0)</f>
        <v>7005</v>
      </c>
      <c r="C126" s="2">
        <f>IF(表_网址[[#This Row],[次要关键词]]="",10,MATCH(表_网址[[#This Row],[次要关键词]],序列_次要关键词,0)+10)</f>
        <v>10</v>
      </c>
      <c r="D126">
        <f>IF(表_网址[[#This Row],[重点关键词]]="",10,MATCH(表_网址[[#This Row],[重点关键词]],序列_重点关键词,0)+10)</f>
        <v>10</v>
      </c>
      <c r="E126" s="2">
        <f>IF(AND(表_网址[[#This Row],[首要关键词]]=K125,表_网址[[#This Row],[次要关键词]]=L125,表_网址[[#This Row],[重点关键词]]=M125),E125+1,IF(表_网址[[#This Row],[重点关键词]]="",100,101))</f>
        <v>100</v>
      </c>
      <c r="F126" t="s">
        <v>1102</v>
      </c>
      <c r="G126" t="s">
        <v>1103</v>
      </c>
      <c r="H126" t="s">
        <v>29</v>
      </c>
      <c r="I126" t="s">
        <v>1104</v>
      </c>
      <c r="J126" t="s">
        <v>1688</v>
      </c>
      <c r="K126" t="s">
        <v>1769</v>
      </c>
      <c r="N126" t="s">
        <v>1848</v>
      </c>
      <c r="O126" t="s">
        <v>1166</v>
      </c>
      <c r="Q126">
        <v>16</v>
      </c>
      <c r="R126" t="s">
        <v>1826</v>
      </c>
      <c r="S126" t="s">
        <v>1830</v>
      </c>
    </row>
    <row r="127" spans="1:19" x14ac:dyDescent="0.2">
      <c r="A127" t="str">
        <f ca="1">表_网址[[#This Row],[1级]]&amp;"-"&amp;表_网址[[#This Row],[2级]]&amp;"-"&amp;表_网址[[#This Row],[3级]]&amp;"-"&amp;表_网址[[#This Row],[级内]]</f>
        <v>7006-10-10-100</v>
      </c>
      <c r="B127" s="2">
        <f ca="1">MATCH(表_网址[[#This Row],[版层分类]],序列_版层分类,0)*1000+MATCH(表_网址[[#This Row],[首要关键词]],序列_首要关键词,0)</f>
        <v>7006</v>
      </c>
      <c r="C127" s="2">
        <f>IF(表_网址[[#This Row],[次要关键词]]="",10,MATCH(表_网址[[#This Row],[次要关键词]],序列_次要关键词,0)+10)</f>
        <v>10</v>
      </c>
      <c r="D127">
        <f>IF(表_网址[[#This Row],[重点关键词]]="",10,MATCH(表_网址[[#This Row],[重点关键词]],序列_重点关键词,0)+10)</f>
        <v>10</v>
      </c>
      <c r="E127" s="2">
        <f>IF(AND(表_网址[[#This Row],[首要关键词]]=K126,表_网址[[#This Row],[次要关键词]]=L126,表_网址[[#This Row],[重点关键词]]=M126),E126+1,IF(表_网址[[#This Row],[重点关键词]]="",100,101))</f>
        <v>100</v>
      </c>
      <c r="F127" t="s">
        <v>1891</v>
      </c>
      <c r="G127" s="8" t="s">
        <v>1894</v>
      </c>
      <c r="H127" t="s">
        <v>29</v>
      </c>
      <c r="J127" t="s">
        <v>1688</v>
      </c>
      <c r="K127" t="s">
        <v>1890</v>
      </c>
      <c r="N127" t="s">
        <v>1848</v>
      </c>
      <c r="R127" t="s">
        <v>1826</v>
      </c>
    </row>
    <row r="128" spans="1:19" x14ac:dyDescent="0.2">
      <c r="A128" t="str">
        <f ca="1">表_网址[[#This Row],[1级]]&amp;"-"&amp;表_网址[[#This Row],[2级]]&amp;"-"&amp;表_网址[[#This Row],[3级]]&amp;"-"&amp;表_网址[[#This Row],[级内]]</f>
        <v>7006-10-10-101</v>
      </c>
      <c r="B128" s="2">
        <f ca="1">MATCH(表_网址[[#This Row],[版层分类]],序列_版层分类,0)*1000+MATCH(表_网址[[#This Row],[首要关键词]],序列_首要关键词,0)</f>
        <v>7006</v>
      </c>
      <c r="C128" s="2">
        <f>IF(表_网址[[#This Row],[次要关键词]]="",10,MATCH(表_网址[[#This Row],[次要关键词]],序列_次要关键词,0)+10)</f>
        <v>10</v>
      </c>
      <c r="D128">
        <f>IF(表_网址[[#This Row],[重点关键词]]="",10,MATCH(表_网址[[#This Row],[重点关键词]],序列_重点关键词,0)+10)</f>
        <v>10</v>
      </c>
      <c r="E128" s="2">
        <f>IF(AND(表_网址[[#This Row],[首要关键词]]=K127,表_网址[[#This Row],[次要关键词]]=L127,表_网址[[#This Row],[重点关键词]]=M127),E127+1,IF(表_网址[[#This Row],[重点关键词]]="",100,101))</f>
        <v>101</v>
      </c>
      <c r="F128" t="s">
        <v>1892</v>
      </c>
      <c r="G128" s="8" t="s">
        <v>1895</v>
      </c>
      <c r="H128" t="s">
        <v>29</v>
      </c>
      <c r="I128" s="8" t="s">
        <v>1895</v>
      </c>
      <c r="J128" t="s">
        <v>1688</v>
      </c>
      <c r="K128" t="s">
        <v>1890</v>
      </c>
      <c r="N128" t="s">
        <v>1848</v>
      </c>
      <c r="O128" t="s">
        <v>1166</v>
      </c>
      <c r="Q128">
        <v>32</v>
      </c>
      <c r="R128" t="s">
        <v>1826</v>
      </c>
    </row>
    <row r="129" spans="1:19" x14ac:dyDescent="0.2">
      <c r="A129" t="str">
        <f ca="1">表_网址[[#This Row],[1级]]&amp;"-"&amp;表_网址[[#This Row],[2级]]&amp;"-"&amp;表_网址[[#This Row],[3级]]&amp;"-"&amp;表_网址[[#This Row],[级内]]</f>
        <v>7006-10-10-102</v>
      </c>
      <c r="B129" s="2">
        <f ca="1">MATCH(表_网址[[#This Row],[版层分类]],序列_版层分类,0)*1000+MATCH(表_网址[[#This Row],[首要关键词]],序列_首要关键词,0)</f>
        <v>7006</v>
      </c>
      <c r="C129" s="2">
        <f>IF(表_网址[[#This Row],[次要关键词]]="",10,MATCH(表_网址[[#This Row],[次要关键词]],序列_次要关键词,0)+10)</f>
        <v>10</v>
      </c>
      <c r="D129">
        <f>IF(表_网址[[#This Row],[重点关键词]]="",10,MATCH(表_网址[[#This Row],[重点关键词]],序列_重点关键词,0)+10)</f>
        <v>10</v>
      </c>
      <c r="E129" s="2">
        <f>IF(AND(表_网址[[#This Row],[首要关键词]]=K128,表_网址[[#This Row],[次要关键词]]=L128,表_网址[[#This Row],[重点关键词]]=M128),E128+1,IF(表_网址[[#This Row],[重点关键词]]="",100,101))</f>
        <v>102</v>
      </c>
      <c r="F129" t="s">
        <v>1893</v>
      </c>
      <c r="G129" s="8" t="s">
        <v>1896</v>
      </c>
      <c r="H129" t="s">
        <v>29</v>
      </c>
      <c r="I129" s="8" t="s">
        <v>1897</v>
      </c>
      <c r="J129" t="s">
        <v>1688</v>
      </c>
      <c r="K129" t="s">
        <v>1890</v>
      </c>
      <c r="N129" t="s">
        <v>1848</v>
      </c>
      <c r="O129" t="s">
        <v>1166</v>
      </c>
      <c r="Q129">
        <v>256</v>
      </c>
      <c r="R129" t="s">
        <v>1826</v>
      </c>
    </row>
    <row r="130" spans="1:19" x14ac:dyDescent="0.2">
      <c r="A130" t="str">
        <f ca="1">表_网址[[#This Row],[1级]]&amp;"-"&amp;表_网址[[#This Row],[2级]]&amp;"-"&amp;表_网址[[#This Row],[3级]]&amp;"-"&amp;表_网址[[#This Row],[级内]]</f>
        <v>8001-10-10-100</v>
      </c>
      <c r="B130" s="2">
        <f ca="1">MATCH(表_网址[[#This Row],[版层分类]],序列_版层分类,0)*1000+MATCH(表_网址[[#This Row],[首要关键词]],序列_首要关键词,0)</f>
        <v>8001</v>
      </c>
      <c r="C130" s="2">
        <f>IF(表_网址[[#This Row],[次要关键词]]="",10,MATCH(表_网址[[#This Row],[次要关键词]],序列_次要关键词,0)+10)</f>
        <v>10</v>
      </c>
      <c r="D130">
        <f>IF(表_网址[[#This Row],[重点关键词]]="",10,MATCH(表_网址[[#This Row],[重点关键词]],序列_重点关键词,0)+10)</f>
        <v>10</v>
      </c>
      <c r="E130" s="2">
        <f>IF(AND(表_网址[[#This Row],[首要关键词]]=K129,表_网址[[#This Row],[次要关键词]]=L129,表_网址[[#This Row],[重点关键词]]=M129),E129+1,IF(表_网址[[#This Row],[重点关键词]]="",100,101))</f>
        <v>100</v>
      </c>
      <c r="F130" t="s">
        <v>1824</v>
      </c>
      <c r="G130" s="8" t="s">
        <v>1823</v>
      </c>
      <c r="H130" t="s">
        <v>29</v>
      </c>
      <c r="I130" s="8" t="s">
        <v>1825</v>
      </c>
      <c r="J130" t="s">
        <v>1898</v>
      </c>
      <c r="K130" t="s">
        <v>1686</v>
      </c>
      <c r="N130" t="s">
        <v>1848</v>
      </c>
      <c r="O130" t="s">
        <v>1166</v>
      </c>
      <c r="Q130">
        <v>256</v>
      </c>
      <c r="R130" t="s">
        <v>1826</v>
      </c>
      <c r="S130" t="s">
        <v>1827</v>
      </c>
    </row>
    <row r="131" spans="1:19" x14ac:dyDescent="0.2">
      <c r="A131" t="str">
        <f ca="1">表_网址[[#This Row],[1级]]&amp;"-"&amp;表_网址[[#This Row],[2级]]&amp;"-"&amp;表_网址[[#This Row],[3级]]&amp;"-"&amp;表_网址[[#This Row],[级内]]</f>
        <v>8001-18-10-100</v>
      </c>
      <c r="B131" s="2">
        <f ca="1">MATCH(表_网址[[#This Row],[版层分类]],序列_版层分类,0)*1000+MATCH(表_网址[[#This Row],[首要关键词]],序列_首要关键词,0)</f>
        <v>8001</v>
      </c>
      <c r="C131" s="2">
        <f ca="1">IF(表_网址[[#This Row],[次要关键词]]="",10,MATCH(表_网址[[#This Row],[次要关键词]],序列_次要关键词,0)+10)</f>
        <v>18</v>
      </c>
      <c r="D131">
        <f>IF(表_网址[[#This Row],[重点关键词]]="",10,MATCH(表_网址[[#This Row],[重点关键词]],序列_重点关键词,0)+10)</f>
        <v>10</v>
      </c>
      <c r="E131" s="2">
        <f>IF(AND(表_网址[[#This Row],[首要关键词]]=K130,表_网址[[#This Row],[次要关键词]]=L130,表_网址[[#This Row],[重点关键词]]=M130),E130+1,IF(表_网址[[#This Row],[重点关键词]]="",100,101))</f>
        <v>100</v>
      </c>
      <c r="F131" t="s">
        <v>1900</v>
      </c>
      <c r="G131" t="s">
        <v>1901</v>
      </c>
      <c r="J131" t="s">
        <v>1898</v>
      </c>
      <c r="K131" t="s">
        <v>1686</v>
      </c>
      <c r="L131" t="s">
        <v>311</v>
      </c>
      <c r="N131" t="s">
        <v>1848</v>
      </c>
    </row>
    <row r="132" spans="1:19" x14ac:dyDescent="0.2">
      <c r="A132" t="str">
        <f ca="1">表_网址[[#This Row],[1级]]&amp;"-"&amp;表_网址[[#This Row],[2级]]&amp;"-"&amp;表_网址[[#This Row],[3级]]&amp;"-"&amp;表_网址[[#This Row],[级内]]</f>
        <v>8001-18-11-101</v>
      </c>
      <c r="B132" s="2">
        <f ca="1">MATCH(表_网址[[#This Row],[版层分类]],序列_版层分类,0)*1000+MATCH(表_网址[[#This Row],[首要关键词]],序列_首要关键词,0)</f>
        <v>8001</v>
      </c>
      <c r="C132" s="2">
        <f ca="1">IF(表_网址[[#This Row],[次要关键词]]="",10,MATCH(表_网址[[#This Row],[次要关键词]],序列_次要关键词,0)+10)</f>
        <v>18</v>
      </c>
      <c r="D132">
        <f ca="1">IF(表_网址[[#This Row],[重点关键词]]="",10,MATCH(表_网址[[#This Row],[重点关键词]],序列_重点关键词,0)+10)</f>
        <v>11</v>
      </c>
      <c r="E132" s="2">
        <f>IF(AND(表_网址[[#This Row],[首要关键词]]=K131,表_网址[[#This Row],[次要关键词]]=L131,表_网址[[#This Row],[重点关键词]]=M131),E131+1,IF(表_网址[[#This Row],[重点关键词]]="",100,101))</f>
        <v>101</v>
      </c>
      <c r="F132" t="s">
        <v>1733</v>
      </c>
      <c r="G132" t="s">
        <v>1725</v>
      </c>
      <c r="J132" t="s">
        <v>1898</v>
      </c>
      <c r="K132" t="s">
        <v>1686</v>
      </c>
      <c r="L132" t="s">
        <v>311</v>
      </c>
      <c r="M132" t="s">
        <v>1711</v>
      </c>
      <c r="N132" t="s">
        <v>1848</v>
      </c>
    </row>
    <row r="133" spans="1:19" x14ac:dyDescent="0.2">
      <c r="A133" t="str">
        <f ca="1">表_网址[[#This Row],[1级]]&amp;"-"&amp;表_网址[[#This Row],[2级]]&amp;"-"&amp;表_网址[[#This Row],[3级]]&amp;"-"&amp;表_网址[[#This Row],[级内]]</f>
        <v>8001-18-12-101</v>
      </c>
      <c r="B133" s="2">
        <f ca="1">MATCH(表_网址[[#This Row],[版层分类]],序列_版层分类,0)*1000+MATCH(表_网址[[#This Row],[首要关键词]],序列_首要关键词,0)</f>
        <v>8001</v>
      </c>
      <c r="C133" s="2">
        <f ca="1">IF(表_网址[[#This Row],[次要关键词]]="",10,MATCH(表_网址[[#This Row],[次要关键词]],序列_次要关键词,0)+10)</f>
        <v>18</v>
      </c>
      <c r="D133">
        <f ca="1">IF(表_网址[[#This Row],[重点关键词]]="",10,MATCH(表_网址[[#This Row],[重点关键词]],序列_重点关键词,0)+10)</f>
        <v>12</v>
      </c>
      <c r="E133" s="2">
        <f>IF(AND(表_网址[[#This Row],[首要关键词]]=K132,表_网址[[#This Row],[次要关键词]]=L132,表_网址[[#This Row],[重点关键词]]=M132),E132+1,IF(表_网址[[#This Row],[重点关键词]]="",100,101))</f>
        <v>101</v>
      </c>
      <c r="F133" t="s">
        <v>1734</v>
      </c>
      <c r="G133" t="s">
        <v>1902</v>
      </c>
      <c r="J133" t="s">
        <v>1898</v>
      </c>
      <c r="K133" t="s">
        <v>1686</v>
      </c>
      <c r="L133" t="s">
        <v>311</v>
      </c>
      <c r="M133" t="s">
        <v>1713</v>
      </c>
      <c r="N133" t="s">
        <v>1848</v>
      </c>
    </row>
    <row r="134" spans="1:19" x14ac:dyDescent="0.2">
      <c r="A134" t="str">
        <f ca="1">表_网址[[#This Row],[1级]]&amp;"-"&amp;表_网址[[#This Row],[2级]]&amp;"-"&amp;表_网址[[#This Row],[3级]]&amp;"-"&amp;表_网址[[#This Row],[级内]]</f>
        <v>8001-18-13-101</v>
      </c>
      <c r="B134" s="2">
        <f ca="1">MATCH(表_网址[[#This Row],[版层分类]],序列_版层分类,0)*1000+MATCH(表_网址[[#This Row],[首要关键词]],序列_首要关键词,0)</f>
        <v>8001</v>
      </c>
      <c r="C134" s="2">
        <f ca="1">IF(表_网址[[#This Row],[次要关键词]]="",10,MATCH(表_网址[[#This Row],[次要关键词]],序列_次要关键词,0)+10)</f>
        <v>18</v>
      </c>
      <c r="D134">
        <f ca="1">IF(表_网址[[#This Row],[重点关键词]]="",10,MATCH(表_网址[[#This Row],[重点关键词]],序列_重点关键词,0)+10)</f>
        <v>13</v>
      </c>
      <c r="E134" s="2">
        <f>IF(AND(表_网址[[#This Row],[首要关键词]]=K133,表_网址[[#This Row],[次要关键词]]=L133,表_网址[[#This Row],[重点关键词]]=M133),E133+1,IF(表_网址[[#This Row],[重点关键词]]="",100,101))</f>
        <v>101</v>
      </c>
      <c r="F134" t="s">
        <v>1735</v>
      </c>
      <c r="G134" t="s">
        <v>1903</v>
      </c>
      <c r="J134" t="s">
        <v>1898</v>
      </c>
      <c r="K134" t="s">
        <v>1686</v>
      </c>
      <c r="L134" t="s">
        <v>311</v>
      </c>
      <c r="M134" t="s">
        <v>1714</v>
      </c>
      <c r="N134" t="s">
        <v>1848</v>
      </c>
    </row>
    <row r="135" spans="1:19" x14ac:dyDescent="0.2">
      <c r="A135" t="str">
        <f ca="1">表_网址[[#This Row],[1级]]&amp;"-"&amp;表_网址[[#This Row],[2级]]&amp;"-"&amp;表_网址[[#This Row],[3级]]&amp;"-"&amp;表_网址[[#This Row],[级内]]</f>
        <v>8001-18-14-101</v>
      </c>
      <c r="B135" s="2">
        <f ca="1">MATCH(表_网址[[#This Row],[版层分类]],序列_版层分类,0)*1000+MATCH(表_网址[[#This Row],[首要关键词]],序列_首要关键词,0)</f>
        <v>8001</v>
      </c>
      <c r="C135" s="2">
        <f ca="1">IF(表_网址[[#This Row],[次要关键词]]="",10,MATCH(表_网址[[#This Row],[次要关键词]],序列_次要关键词,0)+10)</f>
        <v>18</v>
      </c>
      <c r="D135">
        <f ca="1">IF(表_网址[[#This Row],[重点关键词]]="",10,MATCH(表_网址[[#This Row],[重点关键词]],序列_重点关键词,0)+10)</f>
        <v>14</v>
      </c>
      <c r="E135" s="2">
        <f>IF(AND(表_网址[[#This Row],[首要关键词]]=K134,表_网址[[#This Row],[次要关键词]]=L134,表_网址[[#This Row],[重点关键词]]=M134),E134+1,IF(表_网址[[#This Row],[重点关键词]]="",100,101))</f>
        <v>101</v>
      </c>
      <c r="F135" t="s">
        <v>1736</v>
      </c>
      <c r="G135" t="s">
        <v>1904</v>
      </c>
      <c r="J135" t="s">
        <v>1898</v>
      </c>
      <c r="K135" t="s">
        <v>1686</v>
      </c>
      <c r="L135" t="s">
        <v>311</v>
      </c>
      <c r="M135" t="s">
        <v>1716</v>
      </c>
      <c r="N135" t="s">
        <v>1848</v>
      </c>
    </row>
    <row r="136" spans="1:19" x14ac:dyDescent="0.2">
      <c r="A136" t="str">
        <f ca="1">表_网址[[#This Row],[1级]]&amp;"-"&amp;表_网址[[#This Row],[2级]]&amp;"-"&amp;表_网址[[#This Row],[3级]]&amp;"-"&amp;表_网址[[#This Row],[级内]]</f>
        <v>8001-18-15-101</v>
      </c>
      <c r="B136" s="2">
        <f ca="1">MATCH(表_网址[[#This Row],[版层分类]],序列_版层分类,0)*1000+MATCH(表_网址[[#This Row],[首要关键词]],序列_首要关键词,0)</f>
        <v>8001</v>
      </c>
      <c r="C136" s="2">
        <f ca="1">IF(表_网址[[#This Row],[次要关键词]]="",10,MATCH(表_网址[[#This Row],[次要关键词]],序列_次要关键词,0)+10)</f>
        <v>18</v>
      </c>
      <c r="D136">
        <f ca="1">IF(表_网址[[#This Row],[重点关键词]]="",10,MATCH(表_网址[[#This Row],[重点关键词]],序列_重点关键词,0)+10)</f>
        <v>15</v>
      </c>
      <c r="E136" s="2">
        <f>IF(AND(表_网址[[#This Row],[首要关键词]]=K135,表_网址[[#This Row],[次要关键词]]=L135,表_网址[[#This Row],[重点关键词]]=M135),E135+1,IF(表_网址[[#This Row],[重点关键词]]="",100,101))</f>
        <v>101</v>
      </c>
      <c r="F136" t="s">
        <v>1737</v>
      </c>
      <c r="G136" t="s">
        <v>1905</v>
      </c>
      <c r="J136" t="s">
        <v>1898</v>
      </c>
      <c r="K136" t="s">
        <v>1686</v>
      </c>
      <c r="L136" t="s">
        <v>311</v>
      </c>
      <c r="M136" t="s">
        <v>1718</v>
      </c>
      <c r="N136" t="s">
        <v>1848</v>
      </c>
    </row>
    <row r="137" spans="1:19" x14ac:dyDescent="0.2">
      <c r="A137" t="str">
        <f ca="1">表_网址[[#This Row],[1级]]&amp;"-"&amp;表_网址[[#This Row],[2级]]&amp;"-"&amp;表_网址[[#This Row],[3级]]&amp;"-"&amp;表_网址[[#This Row],[级内]]</f>
        <v>8001-18-16-101</v>
      </c>
      <c r="B137" s="2">
        <f ca="1">MATCH(表_网址[[#This Row],[版层分类]],序列_版层分类,0)*1000+MATCH(表_网址[[#This Row],[首要关键词]],序列_首要关键词,0)</f>
        <v>8001</v>
      </c>
      <c r="C137" s="2">
        <f ca="1">IF(表_网址[[#This Row],[次要关键词]]="",10,MATCH(表_网址[[#This Row],[次要关键词]],序列_次要关键词,0)+10)</f>
        <v>18</v>
      </c>
      <c r="D137">
        <f ca="1">IF(表_网址[[#This Row],[重点关键词]]="",10,MATCH(表_网址[[#This Row],[重点关键词]],序列_重点关键词,0)+10)</f>
        <v>16</v>
      </c>
      <c r="E137" s="2">
        <f>IF(AND(表_网址[[#This Row],[首要关键词]]=K136,表_网址[[#This Row],[次要关键词]]=L136,表_网址[[#This Row],[重点关键词]]=M136),E136+1,IF(表_网址[[#This Row],[重点关键词]]="",100,101))</f>
        <v>101</v>
      </c>
      <c r="F137" t="s">
        <v>1738</v>
      </c>
      <c r="G137" t="s">
        <v>1906</v>
      </c>
      <c r="J137" t="s">
        <v>1898</v>
      </c>
      <c r="K137" t="s">
        <v>1686</v>
      </c>
      <c r="L137" t="s">
        <v>311</v>
      </c>
      <c r="M137" t="s">
        <v>1720</v>
      </c>
      <c r="N137" t="s">
        <v>1848</v>
      </c>
    </row>
    <row r="138" spans="1:19" x14ac:dyDescent="0.2">
      <c r="A138" t="str">
        <f ca="1">表_网址[[#This Row],[1级]]&amp;"-"&amp;表_网址[[#This Row],[2级]]&amp;"-"&amp;表_网址[[#This Row],[3级]]&amp;"-"&amp;表_网址[[#This Row],[级内]]</f>
        <v>8001-18-17-101</v>
      </c>
      <c r="B138" s="2">
        <f ca="1">MATCH(表_网址[[#This Row],[版层分类]],序列_版层分类,0)*1000+MATCH(表_网址[[#This Row],[首要关键词]],序列_首要关键词,0)</f>
        <v>8001</v>
      </c>
      <c r="C138" s="2">
        <f ca="1">IF(表_网址[[#This Row],[次要关键词]]="",10,MATCH(表_网址[[#This Row],[次要关键词]],序列_次要关键词,0)+10)</f>
        <v>18</v>
      </c>
      <c r="D138">
        <f ca="1">IF(表_网址[[#This Row],[重点关键词]]="",10,MATCH(表_网址[[#This Row],[重点关键词]],序列_重点关键词,0)+10)</f>
        <v>17</v>
      </c>
      <c r="E138" s="2">
        <f>IF(AND(表_网址[[#This Row],[首要关键词]]=K137,表_网址[[#This Row],[次要关键词]]=L137,表_网址[[#This Row],[重点关键词]]=M137),E137+1,IF(表_网址[[#This Row],[重点关键词]]="",100,101))</f>
        <v>101</v>
      </c>
      <c r="F138" t="s">
        <v>1739</v>
      </c>
      <c r="G138" t="s">
        <v>1907</v>
      </c>
      <c r="J138" t="s">
        <v>1898</v>
      </c>
      <c r="K138" t="s">
        <v>1686</v>
      </c>
      <c r="L138" t="s">
        <v>311</v>
      </c>
      <c r="M138" t="s">
        <v>1722</v>
      </c>
      <c r="N138" t="s">
        <v>1848</v>
      </c>
    </row>
    <row r="139" spans="1:19" x14ac:dyDescent="0.2">
      <c r="A139" t="str">
        <f ca="1">表_网址[[#This Row],[1级]]&amp;"-"&amp;表_网址[[#This Row],[2级]]&amp;"-"&amp;表_网址[[#This Row],[3级]]&amp;"-"&amp;表_网址[[#This Row],[级内]]</f>
        <v>8002-10-10-100</v>
      </c>
      <c r="B139" s="2">
        <f ca="1">MATCH(表_网址[[#This Row],[版层分类]],序列_版层分类,0)*1000+MATCH(表_网址[[#This Row],[首要关键词]],序列_首要关键词,0)</f>
        <v>8002</v>
      </c>
      <c r="C139" s="2">
        <f>IF(表_网址[[#This Row],[次要关键词]]="",10,MATCH(表_网址[[#This Row],[次要关键词]],序列_次要关键词,0)+10)</f>
        <v>10</v>
      </c>
      <c r="D139">
        <f>IF(表_网址[[#This Row],[重点关键词]]="",10,MATCH(表_网址[[#This Row],[重点关键词]],序列_重点关键词,0)+10)</f>
        <v>10</v>
      </c>
      <c r="E139" s="2">
        <f>IF(AND(表_网址[[#This Row],[首要关键词]]=K138,表_网址[[#This Row],[次要关键词]]=L138,表_网址[[#This Row],[重点关键词]]=M138),E138+1,IF(表_网址[[#This Row],[重点关键词]]="",100,101))</f>
        <v>100</v>
      </c>
      <c r="F139" t="s">
        <v>1829</v>
      </c>
      <c r="G139" s="8" t="s">
        <v>1828</v>
      </c>
      <c r="H139" t="s">
        <v>29</v>
      </c>
      <c r="J139" t="s">
        <v>1898</v>
      </c>
      <c r="K139" t="s">
        <v>1687</v>
      </c>
      <c r="N139" t="s">
        <v>1848</v>
      </c>
    </row>
    <row r="140" spans="1:19" x14ac:dyDescent="0.2">
      <c r="A140" t="str">
        <f ca="1">表_网址[[#This Row],[1级]]&amp;"-"&amp;表_网址[[#This Row],[2级]]&amp;"-"&amp;表_网址[[#This Row],[3级]]&amp;"-"&amp;表_网址[[#This Row],[级内]]</f>
        <v>8003-10-10-100</v>
      </c>
      <c r="B140" s="2">
        <f ca="1">MATCH(表_网址[[#This Row],[版层分类]],序列_版层分类,0)*1000+MATCH(表_网址[[#This Row],[首要关键词]],序列_首要关键词,0)</f>
        <v>8003</v>
      </c>
      <c r="C140" s="2">
        <f>IF(表_网址[[#This Row],[次要关键词]]="",10,MATCH(表_网址[[#This Row],[次要关键词]],序列_次要关键词,0)+10)</f>
        <v>10</v>
      </c>
      <c r="D140">
        <f>IF(表_网址[[#This Row],[重点关键词]]="",10,MATCH(表_网址[[#This Row],[重点关键词]],序列_重点关键词,0)+10)</f>
        <v>10</v>
      </c>
      <c r="E140" s="2">
        <f>IF(AND(表_网址[[#This Row],[首要关键词]]=K139,表_网址[[#This Row],[次要关键词]]=L139,表_网址[[#This Row],[重点关键词]]=M139),E139+1,IF(表_网址[[#This Row],[重点关键词]]="",100,101))</f>
        <v>100</v>
      </c>
      <c r="F140" t="s">
        <v>19</v>
      </c>
      <c r="G140" t="s">
        <v>20</v>
      </c>
      <c r="H140" t="s">
        <v>21</v>
      </c>
      <c r="I140" t="s">
        <v>22</v>
      </c>
      <c r="J140" t="s">
        <v>1898</v>
      </c>
      <c r="K140" t="s">
        <v>24</v>
      </c>
      <c r="N140" t="s">
        <v>1848</v>
      </c>
      <c r="O140" t="s">
        <v>1166</v>
      </c>
      <c r="Q140">
        <v>16</v>
      </c>
    </row>
    <row r="141" spans="1:19" x14ac:dyDescent="0.2">
      <c r="A141" t="str">
        <f ca="1">表_网址[[#This Row],[1级]]&amp;"-"&amp;表_网址[[#This Row],[2级]]&amp;"-"&amp;表_网址[[#This Row],[3级]]&amp;"-"&amp;表_网址[[#This Row],[级内]]</f>
        <v>8003-11-10-100</v>
      </c>
      <c r="B141" s="2">
        <f ca="1">MATCH(表_网址[[#This Row],[版层分类]],序列_版层分类,0)*1000+MATCH(表_网址[[#This Row],[首要关键词]],序列_首要关键词,0)</f>
        <v>8003</v>
      </c>
      <c r="C141" s="2">
        <f ca="1">IF(表_网址[[#This Row],[次要关键词]]="",10,MATCH(表_网址[[#This Row],[次要关键词]],序列_次要关键词,0)+10)</f>
        <v>11</v>
      </c>
      <c r="D141">
        <f>IF(表_网址[[#This Row],[重点关键词]]="",10,MATCH(表_网址[[#This Row],[重点关键词]],序列_重点关键词,0)+10)</f>
        <v>10</v>
      </c>
      <c r="E141" s="2">
        <f>IF(AND(表_网址[[#This Row],[首要关键词]]=K140,表_网址[[#This Row],[次要关键词]]=L140,表_网址[[#This Row],[重点关键词]]=M140),E140+1,IF(表_网址[[#This Row],[重点关键词]]="",100,101))</f>
        <v>100</v>
      </c>
      <c r="F141" t="s">
        <v>25</v>
      </c>
      <c r="J141" t="s">
        <v>1898</v>
      </c>
      <c r="K141" t="s">
        <v>24</v>
      </c>
      <c r="L141" t="s">
        <v>26</v>
      </c>
    </row>
    <row r="142" spans="1:19" x14ac:dyDescent="0.2">
      <c r="A142" t="str">
        <f ca="1">表_网址[[#This Row],[1级]]&amp;"-"&amp;表_网址[[#This Row],[2级]]&amp;"-"&amp;表_网址[[#This Row],[3级]]&amp;"-"&amp;表_网址[[#This Row],[级内]]</f>
        <v>8003-11-11-101</v>
      </c>
      <c r="B142" s="2">
        <f ca="1">MATCH(表_网址[[#This Row],[版层分类]],序列_版层分类,0)*1000+MATCH(表_网址[[#This Row],[首要关键词]],序列_首要关键词,0)</f>
        <v>8003</v>
      </c>
      <c r="C142" s="2">
        <f ca="1">IF(表_网址[[#This Row],[次要关键词]]="",10,MATCH(表_网址[[#This Row],[次要关键词]],序列_次要关键词,0)+10)</f>
        <v>11</v>
      </c>
      <c r="D142">
        <f ca="1">IF(表_网址[[#This Row],[重点关键词]]="",10,MATCH(表_网址[[#This Row],[重点关键词]],序列_重点关键词,0)+10)</f>
        <v>11</v>
      </c>
      <c r="E142" s="2">
        <f>IF(AND(表_网址[[#This Row],[首要关键词]]=K141,表_网址[[#This Row],[次要关键词]]=L141,表_网址[[#This Row],[重点关键词]]=M141),E141+1,IF(表_网址[[#This Row],[重点关键词]]="",100,101))</f>
        <v>101</v>
      </c>
      <c r="F142" t="s">
        <v>27</v>
      </c>
      <c r="G142" t="s">
        <v>28</v>
      </c>
      <c r="H142" t="s">
        <v>29</v>
      </c>
      <c r="I142" t="s">
        <v>30</v>
      </c>
      <c r="J142" t="s">
        <v>1898</v>
      </c>
      <c r="K142" t="s">
        <v>24</v>
      </c>
      <c r="L142" t="s">
        <v>26</v>
      </c>
      <c r="M142" t="s">
        <v>31</v>
      </c>
      <c r="N142" t="s">
        <v>1848</v>
      </c>
    </row>
    <row r="143" spans="1:19" x14ac:dyDescent="0.2">
      <c r="A143" t="str">
        <f ca="1">表_网址[[#This Row],[1级]]&amp;"-"&amp;表_网址[[#This Row],[2级]]&amp;"-"&amp;表_网址[[#This Row],[3级]]&amp;"-"&amp;表_网址[[#This Row],[级内]]</f>
        <v>8003-11-11-102</v>
      </c>
      <c r="B143" s="2">
        <f ca="1">MATCH(表_网址[[#This Row],[版层分类]],序列_版层分类,0)*1000+MATCH(表_网址[[#This Row],[首要关键词]],序列_首要关键词,0)</f>
        <v>8003</v>
      </c>
      <c r="C143" s="2">
        <f ca="1">IF(表_网址[[#This Row],[次要关键词]]="",10,MATCH(表_网址[[#This Row],[次要关键词]],序列_次要关键词,0)+10)</f>
        <v>11</v>
      </c>
      <c r="D143">
        <f ca="1">IF(表_网址[[#This Row],[重点关键词]]="",10,MATCH(表_网址[[#This Row],[重点关键词]],序列_重点关键词,0)+10)</f>
        <v>11</v>
      </c>
      <c r="E143" s="2">
        <f>IF(AND(表_网址[[#This Row],[首要关键词]]=K142,表_网址[[#This Row],[次要关键词]]=L142,表_网址[[#This Row],[重点关键词]]=M142),E142+1,IF(表_网址[[#This Row],[重点关键词]]="",100,101))</f>
        <v>102</v>
      </c>
      <c r="F143" t="s">
        <v>32</v>
      </c>
      <c r="G143" t="s">
        <v>33</v>
      </c>
      <c r="H143" t="s">
        <v>29</v>
      </c>
      <c r="I143" t="s">
        <v>34</v>
      </c>
      <c r="J143" t="s">
        <v>1898</v>
      </c>
      <c r="K143" t="s">
        <v>24</v>
      </c>
      <c r="L143" t="s">
        <v>26</v>
      </c>
      <c r="M143" t="s">
        <v>31</v>
      </c>
      <c r="N143" t="s">
        <v>1848</v>
      </c>
      <c r="Q143">
        <v>256</v>
      </c>
    </row>
    <row r="144" spans="1:19" x14ac:dyDescent="0.2">
      <c r="A144" t="str">
        <f ca="1">表_网址[[#This Row],[1级]]&amp;"-"&amp;表_网址[[#This Row],[2级]]&amp;"-"&amp;表_网址[[#This Row],[3级]]&amp;"-"&amp;表_网址[[#This Row],[级内]]</f>
        <v>8003-11-11-103</v>
      </c>
      <c r="B144" s="2">
        <f ca="1">MATCH(表_网址[[#This Row],[版层分类]],序列_版层分类,0)*1000+MATCH(表_网址[[#This Row],[首要关键词]],序列_首要关键词,0)</f>
        <v>8003</v>
      </c>
      <c r="C144" s="2">
        <f ca="1">IF(表_网址[[#This Row],[次要关键词]]="",10,MATCH(表_网址[[#This Row],[次要关键词]],序列_次要关键词,0)+10)</f>
        <v>11</v>
      </c>
      <c r="D144">
        <f ca="1">IF(表_网址[[#This Row],[重点关键词]]="",10,MATCH(表_网址[[#This Row],[重点关键词]],序列_重点关键词,0)+10)</f>
        <v>11</v>
      </c>
      <c r="E144" s="2">
        <f>IF(AND(表_网址[[#This Row],[首要关键词]]=K143,表_网址[[#This Row],[次要关键词]]=L143,表_网址[[#This Row],[重点关键词]]=M143),E143+1,IF(表_网址[[#This Row],[重点关键词]]="",100,101))</f>
        <v>103</v>
      </c>
      <c r="F144" t="s">
        <v>35</v>
      </c>
      <c r="G144" t="s">
        <v>36</v>
      </c>
      <c r="H144" t="s">
        <v>29</v>
      </c>
      <c r="I144" t="s">
        <v>37</v>
      </c>
      <c r="J144" t="s">
        <v>1898</v>
      </c>
      <c r="K144" t="s">
        <v>24</v>
      </c>
      <c r="L144" t="s">
        <v>26</v>
      </c>
      <c r="M144" t="s">
        <v>31</v>
      </c>
      <c r="N144" t="s">
        <v>1848</v>
      </c>
    </row>
    <row r="145" spans="1:17" x14ac:dyDescent="0.2">
      <c r="A145" t="str">
        <f ca="1">表_网址[[#This Row],[1级]]&amp;"-"&amp;表_网址[[#This Row],[2级]]&amp;"-"&amp;表_网址[[#This Row],[3级]]&amp;"-"&amp;表_网址[[#This Row],[级内]]</f>
        <v>8003-11-11-104</v>
      </c>
      <c r="B145" s="2">
        <f ca="1">MATCH(表_网址[[#This Row],[版层分类]],序列_版层分类,0)*1000+MATCH(表_网址[[#This Row],[首要关键词]],序列_首要关键词,0)</f>
        <v>8003</v>
      </c>
      <c r="C145" s="2">
        <f ca="1">IF(表_网址[[#This Row],[次要关键词]]="",10,MATCH(表_网址[[#This Row],[次要关键词]],序列_次要关键词,0)+10)</f>
        <v>11</v>
      </c>
      <c r="D145">
        <f ca="1">IF(表_网址[[#This Row],[重点关键词]]="",10,MATCH(表_网址[[#This Row],[重点关键词]],序列_重点关键词,0)+10)</f>
        <v>11</v>
      </c>
      <c r="E145" s="2">
        <f>IF(AND(表_网址[[#This Row],[首要关键词]]=K144,表_网址[[#This Row],[次要关键词]]=L144,表_网址[[#This Row],[重点关键词]]=M144),E144+1,IF(表_网址[[#This Row],[重点关键词]]="",100,101))</f>
        <v>104</v>
      </c>
      <c r="F145" t="s">
        <v>38</v>
      </c>
      <c r="G145" t="s">
        <v>39</v>
      </c>
      <c r="H145" t="s">
        <v>29</v>
      </c>
      <c r="I145" t="s">
        <v>40</v>
      </c>
      <c r="J145" t="s">
        <v>1898</v>
      </c>
      <c r="K145" t="s">
        <v>24</v>
      </c>
      <c r="L145" t="s">
        <v>26</v>
      </c>
      <c r="M145" t="s">
        <v>31</v>
      </c>
      <c r="N145" t="s">
        <v>1848</v>
      </c>
      <c r="Q145">
        <v>16</v>
      </c>
    </row>
    <row r="146" spans="1:17" x14ac:dyDescent="0.2">
      <c r="A146" t="str">
        <f ca="1">表_网址[[#This Row],[1级]]&amp;"-"&amp;表_网址[[#This Row],[2级]]&amp;"-"&amp;表_网址[[#This Row],[3级]]&amp;"-"&amp;表_网址[[#This Row],[级内]]</f>
        <v>8003-11-11-105</v>
      </c>
      <c r="B146" s="2">
        <f ca="1">MATCH(表_网址[[#This Row],[版层分类]],序列_版层分类,0)*1000+MATCH(表_网址[[#This Row],[首要关键词]],序列_首要关键词,0)</f>
        <v>8003</v>
      </c>
      <c r="C146" s="2">
        <f ca="1">IF(表_网址[[#This Row],[次要关键词]]="",10,MATCH(表_网址[[#This Row],[次要关键词]],序列_次要关键词,0)+10)</f>
        <v>11</v>
      </c>
      <c r="D146">
        <f ca="1">IF(表_网址[[#This Row],[重点关键词]]="",10,MATCH(表_网址[[#This Row],[重点关键词]],序列_重点关键词,0)+10)</f>
        <v>11</v>
      </c>
      <c r="E146" s="2">
        <f>IF(AND(表_网址[[#This Row],[首要关键词]]=K145,表_网址[[#This Row],[次要关键词]]=L145,表_网址[[#This Row],[重点关键词]]=M145),E145+1,IF(表_网址[[#This Row],[重点关键词]]="",100,101))</f>
        <v>105</v>
      </c>
      <c r="F146" t="s">
        <v>41</v>
      </c>
      <c r="G146" t="s">
        <v>42</v>
      </c>
      <c r="H146" t="s">
        <v>29</v>
      </c>
      <c r="I146" t="s">
        <v>40</v>
      </c>
      <c r="J146" t="s">
        <v>1898</v>
      </c>
      <c r="K146" t="s">
        <v>24</v>
      </c>
      <c r="L146" t="s">
        <v>26</v>
      </c>
      <c r="M146" t="s">
        <v>31</v>
      </c>
      <c r="N146" t="s">
        <v>1848</v>
      </c>
      <c r="Q146">
        <v>16</v>
      </c>
    </row>
    <row r="147" spans="1:17" x14ac:dyDescent="0.2">
      <c r="A147" t="str">
        <f ca="1">表_网址[[#This Row],[1级]]&amp;"-"&amp;表_网址[[#This Row],[2级]]&amp;"-"&amp;表_网址[[#This Row],[3级]]&amp;"-"&amp;表_网址[[#This Row],[级内]]</f>
        <v>8003-11-11-106</v>
      </c>
      <c r="B147" s="2">
        <f ca="1">MATCH(表_网址[[#This Row],[版层分类]],序列_版层分类,0)*1000+MATCH(表_网址[[#This Row],[首要关键词]],序列_首要关键词,0)</f>
        <v>8003</v>
      </c>
      <c r="C147" s="2">
        <f ca="1">IF(表_网址[[#This Row],[次要关键词]]="",10,MATCH(表_网址[[#This Row],[次要关键词]],序列_次要关键词,0)+10)</f>
        <v>11</v>
      </c>
      <c r="D147">
        <f ca="1">IF(表_网址[[#This Row],[重点关键词]]="",10,MATCH(表_网址[[#This Row],[重点关键词]],序列_重点关键词,0)+10)</f>
        <v>11</v>
      </c>
      <c r="E147" s="2">
        <f>IF(AND(表_网址[[#This Row],[首要关键词]]=K146,表_网址[[#This Row],[次要关键词]]=L146,表_网址[[#This Row],[重点关键词]]=M146),E146+1,IF(表_网址[[#This Row],[重点关键词]]="",100,101))</f>
        <v>106</v>
      </c>
      <c r="F147" t="s">
        <v>43</v>
      </c>
      <c r="G147" t="s">
        <v>44</v>
      </c>
      <c r="H147" t="s">
        <v>29</v>
      </c>
      <c r="I147" t="s">
        <v>45</v>
      </c>
      <c r="J147" t="s">
        <v>1898</v>
      </c>
      <c r="K147" t="s">
        <v>24</v>
      </c>
      <c r="L147" t="s">
        <v>26</v>
      </c>
      <c r="M147" t="s">
        <v>31</v>
      </c>
      <c r="N147" t="s">
        <v>1848</v>
      </c>
      <c r="Q147">
        <v>16</v>
      </c>
    </row>
    <row r="148" spans="1:17" x14ac:dyDescent="0.2">
      <c r="A148" t="str">
        <f ca="1">表_网址[[#This Row],[1级]]&amp;"-"&amp;表_网址[[#This Row],[2级]]&amp;"-"&amp;表_网址[[#This Row],[3级]]&amp;"-"&amp;表_网址[[#This Row],[级内]]</f>
        <v>8003-11-11-107</v>
      </c>
      <c r="B148" s="2">
        <f ca="1">MATCH(表_网址[[#This Row],[版层分类]],序列_版层分类,0)*1000+MATCH(表_网址[[#This Row],[首要关键词]],序列_首要关键词,0)</f>
        <v>8003</v>
      </c>
      <c r="C148" s="2">
        <f ca="1">IF(表_网址[[#This Row],[次要关键词]]="",10,MATCH(表_网址[[#This Row],[次要关键词]],序列_次要关键词,0)+10)</f>
        <v>11</v>
      </c>
      <c r="D148">
        <f ca="1">IF(表_网址[[#This Row],[重点关键词]]="",10,MATCH(表_网址[[#This Row],[重点关键词]],序列_重点关键词,0)+10)</f>
        <v>11</v>
      </c>
      <c r="E148" s="2">
        <f>IF(AND(表_网址[[#This Row],[首要关键词]]=K147,表_网址[[#This Row],[次要关键词]]=L147,表_网址[[#This Row],[重点关键词]]=M147),E147+1,IF(表_网址[[#This Row],[重点关键词]]="",100,101))</f>
        <v>107</v>
      </c>
      <c r="F148" t="s">
        <v>46</v>
      </c>
      <c r="G148" t="s">
        <v>47</v>
      </c>
      <c r="H148" t="s">
        <v>29</v>
      </c>
      <c r="I148" t="s">
        <v>48</v>
      </c>
      <c r="J148" t="s">
        <v>1898</v>
      </c>
      <c r="K148" t="s">
        <v>24</v>
      </c>
      <c r="L148" t="s">
        <v>26</v>
      </c>
      <c r="M148" t="s">
        <v>31</v>
      </c>
      <c r="N148" t="s">
        <v>1848</v>
      </c>
      <c r="O148" t="s">
        <v>1166</v>
      </c>
      <c r="Q148">
        <v>32</v>
      </c>
    </row>
    <row r="149" spans="1:17" x14ac:dyDescent="0.2">
      <c r="A149" t="str">
        <f ca="1">表_网址[[#This Row],[1级]]&amp;"-"&amp;表_网址[[#This Row],[2级]]&amp;"-"&amp;表_网址[[#This Row],[3级]]&amp;"-"&amp;表_网址[[#This Row],[级内]]</f>
        <v>8003-11-11-108</v>
      </c>
      <c r="B149" s="2">
        <f ca="1">MATCH(表_网址[[#This Row],[版层分类]],序列_版层分类,0)*1000+MATCH(表_网址[[#This Row],[首要关键词]],序列_首要关键词,0)</f>
        <v>8003</v>
      </c>
      <c r="C149" s="2">
        <f ca="1">IF(表_网址[[#This Row],[次要关键词]]="",10,MATCH(表_网址[[#This Row],[次要关键词]],序列_次要关键词,0)+10)</f>
        <v>11</v>
      </c>
      <c r="D149">
        <f ca="1">IF(表_网址[[#This Row],[重点关键词]]="",10,MATCH(表_网址[[#This Row],[重点关键词]],序列_重点关键词,0)+10)</f>
        <v>11</v>
      </c>
      <c r="E149" s="2">
        <f>IF(AND(表_网址[[#This Row],[首要关键词]]=K148,表_网址[[#This Row],[次要关键词]]=L148,表_网址[[#This Row],[重点关键词]]=M148),E148+1,IF(表_网址[[#This Row],[重点关键词]]="",100,101))</f>
        <v>108</v>
      </c>
      <c r="F149" t="s">
        <v>49</v>
      </c>
      <c r="G149" t="s">
        <v>50</v>
      </c>
      <c r="H149" t="s">
        <v>29</v>
      </c>
      <c r="I149" t="s">
        <v>51</v>
      </c>
      <c r="J149" t="s">
        <v>1898</v>
      </c>
      <c r="K149" t="s">
        <v>24</v>
      </c>
      <c r="L149" t="s">
        <v>26</v>
      </c>
      <c r="M149" t="s">
        <v>31</v>
      </c>
      <c r="N149" t="s">
        <v>1848</v>
      </c>
    </row>
    <row r="150" spans="1:17" x14ac:dyDescent="0.2">
      <c r="A150" t="str">
        <f ca="1">表_网址[[#This Row],[1级]]&amp;"-"&amp;表_网址[[#This Row],[2级]]&amp;"-"&amp;表_网址[[#This Row],[3级]]&amp;"-"&amp;表_网址[[#This Row],[级内]]</f>
        <v>8003-11-11-109</v>
      </c>
      <c r="B150" s="2">
        <f ca="1">MATCH(表_网址[[#This Row],[版层分类]],序列_版层分类,0)*1000+MATCH(表_网址[[#This Row],[首要关键词]],序列_首要关键词,0)</f>
        <v>8003</v>
      </c>
      <c r="C150" s="2">
        <f ca="1">IF(表_网址[[#This Row],[次要关键词]]="",10,MATCH(表_网址[[#This Row],[次要关键词]],序列_次要关键词,0)+10)</f>
        <v>11</v>
      </c>
      <c r="D150">
        <f ca="1">IF(表_网址[[#This Row],[重点关键词]]="",10,MATCH(表_网址[[#This Row],[重点关键词]],序列_重点关键词,0)+10)</f>
        <v>11</v>
      </c>
      <c r="E150" s="2">
        <f>IF(AND(表_网址[[#This Row],[首要关键词]]=K149,表_网址[[#This Row],[次要关键词]]=L149,表_网址[[#This Row],[重点关键词]]=M149),E149+1,IF(表_网址[[#This Row],[重点关键词]]="",100,101))</f>
        <v>109</v>
      </c>
      <c r="F150" t="s">
        <v>52</v>
      </c>
      <c r="G150" t="s">
        <v>53</v>
      </c>
      <c r="H150" t="s">
        <v>29</v>
      </c>
      <c r="I150" t="s">
        <v>54</v>
      </c>
      <c r="J150" t="s">
        <v>1898</v>
      </c>
      <c r="K150" t="s">
        <v>24</v>
      </c>
      <c r="L150" t="s">
        <v>26</v>
      </c>
      <c r="M150" t="s">
        <v>31</v>
      </c>
      <c r="N150" t="s">
        <v>1848</v>
      </c>
    </row>
    <row r="151" spans="1:17" x14ac:dyDescent="0.2">
      <c r="A151" t="str">
        <f ca="1">表_网址[[#This Row],[1级]]&amp;"-"&amp;表_网址[[#This Row],[2级]]&amp;"-"&amp;表_网址[[#This Row],[3级]]&amp;"-"&amp;表_网址[[#This Row],[级内]]</f>
        <v>8003-11-11-110</v>
      </c>
      <c r="B151" s="2">
        <f ca="1">MATCH(表_网址[[#This Row],[版层分类]],序列_版层分类,0)*1000+MATCH(表_网址[[#This Row],[首要关键词]],序列_首要关键词,0)</f>
        <v>8003</v>
      </c>
      <c r="C151" s="2">
        <f ca="1">IF(表_网址[[#This Row],[次要关键词]]="",10,MATCH(表_网址[[#This Row],[次要关键词]],序列_次要关键词,0)+10)</f>
        <v>11</v>
      </c>
      <c r="D151">
        <f ca="1">IF(表_网址[[#This Row],[重点关键词]]="",10,MATCH(表_网址[[#This Row],[重点关键词]],序列_重点关键词,0)+10)</f>
        <v>11</v>
      </c>
      <c r="E151" s="2">
        <f>IF(AND(表_网址[[#This Row],[首要关键词]]=K150,表_网址[[#This Row],[次要关键词]]=L150,表_网址[[#This Row],[重点关键词]]=M150),E150+1,IF(表_网址[[#This Row],[重点关键词]]="",100,101))</f>
        <v>110</v>
      </c>
      <c r="F151" t="s">
        <v>55</v>
      </c>
      <c r="G151" t="s">
        <v>56</v>
      </c>
      <c r="H151" t="s">
        <v>29</v>
      </c>
      <c r="I151" t="s">
        <v>57</v>
      </c>
      <c r="J151" t="s">
        <v>1898</v>
      </c>
      <c r="K151" t="s">
        <v>24</v>
      </c>
      <c r="L151" t="s">
        <v>26</v>
      </c>
      <c r="M151" t="s">
        <v>31</v>
      </c>
      <c r="N151" t="s">
        <v>1848</v>
      </c>
      <c r="O151" t="s">
        <v>1166</v>
      </c>
      <c r="Q151">
        <v>32</v>
      </c>
    </row>
    <row r="152" spans="1:17" x14ac:dyDescent="0.2">
      <c r="A152" t="str">
        <f ca="1">表_网址[[#This Row],[1级]]&amp;"-"&amp;表_网址[[#This Row],[2级]]&amp;"-"&amp;表_网址[[#This Row],[3级]]&amp;"-"&amp;表_网址[[#This Row],[级内]]</f>
        <v>8003-11-11-111</v>
      </c>
      <c r="B152" s="2">
        <f ca="1">MATCH(表_网址[[#This Row],[版层分类]],序列_版层分类,0)*1000+MATCH(表_网址[[#This Row],[首要关键词]],序列_首要关键词,0)</f>
        <v>8003</v>
      </c>
      <c r="C152" s="2">
        <f ca="1">IF(表_网址[[#This Row],[次要关键词]]="",10,MATCH(表_网址[[#This Row],[次要关键词]],序列_次要关键词,0)+10)</f>
        <v>11</v>
      </c>
      <c r="D152">
        <f ca="1">IF(表_网址[[#This Row],[重点关键词]]="",10,MATCH(表_网址[[#This Row],[重点关键词]],序列_重点关键词,0)+10)</f>
        <v>11</v>
      </c>
      <c r="E152" s="2">
        <f>IF(AND(表_网址[[#This Row],[首要关键词]]=K151,表_网址[[#This Row],[次要关键词]]=L151,表_网址[[#This Row],[重点关键词]]=M151),E151+1,IF(表_网址[[#This Row],[重点关键词]]="",100,101))</f>
        <v>111</v>
      </c>
      <c r="F152" t="s">
        <v>58</v>
      </c>
      <c r="G152" t="s">
        <v>59</v>
      </c>
      <c r="H152" t="s">
        <v>29</v>
      </c>
      <c r="I152" t="s">
        <v>60</v>
      </c>
      <c r="J152" t="s">
        <v>1898</v>
      </c>
      <c r="K152" t="s">
        <v>24</v>
      </c>
      <c r="L152" t="s">
        <v>26</v>
      </c>
      <c r="M152" t="s">
        <v>31</v>
      </c>
      <c r="N152" t="s">
        <v>1848</v>
      </c>
      <c r="O152" t="s">
        <v>1166</v>
      </c>
      <c r="Q152">
        <v>16</v>
      </c>
    </row>
    <row r="153" spans="1:17" x14ac:dyDescent="0.2">
      <c r="A153" t="str">
        <f ca="1">表_网址[[#This Row],[1级]]&amp;"-"&amp;表_网址[[#This Row],[2级]]&amp;"-"&amp;表_网址[[#This Row],[3级]]&amp;"-"&amp;表_网址[[#This Row],[级内]]</f>
        <v>8003-11-11-112</v>
      </c>
      <c r="B153" s="2">
        <f ca="1">MATCH(表_网址[[#This Row],[版层分类]],序列_版层分类,0)*1000+MATCH(表_网址[[#This Row],[首要关键词]],序列_首要关键词,0)</f>
        <v>8003</v>
      </c>
      <c r="C153" s="2">
        <f ca="1">IF(表_网址[[#This Row],[次要关键词]]="",10,MATCH(表_网址[[#This Row],[次要关键词]],序列_次要关键词,0)+10)</f>
        <v>11</v>
      </c>
      <c r="D153">
        <f ca="1">IF(表_网址[[#This Row],[重点关键词]]="",10,MATCH(表_网址[[#This Row],[重点关键词]],序列_重点关键词,0)+10)</f>
        <v>11</v>
      </c>
      <c r="E153" s="2">
        <f>IF(AND(表_网址[[#This Row],[首要关键词]]=K152,表_网址[[#This Row],[次要关键词]]=L152,表_网址[[#This Row],[重点关键词]]=M152),E152+1,IF(表_网址[[#This Row],[重点关键词]]="",100,101))</f>
        <v>112</v>
      </c>
      <c r="F153" t="s">
        <v>61</v>
      </c>
      <c r="H153" t="s">
        <v>29</v>
      </c>
      <c r="J153" t="s">
        <v>1898</v>
      </c>
      <c r="K153" t="s">
        <v>24</v>
      </c>
      <c r="L153" t="s">
        <v>26</v>
      </c>
      <c r="M153" t="s">
        <v>31</v>
      </c>
    </row>
    <row r="154" spans="1:17" x14ac:dyDescent="0.2">
      <c r="A154" t="str">
        <f ca="1">表_网址[[#This Row],[1级]]&amp;"-"&amp;表_网址[[#This Row],[2级]]&amp;"-"&amp;表_网址[[#This Row],[3级]]&amp;"-"&amp;表_网址[[#This Row],[级内]]</f>
        <v>8003-11-11-113</v>
      </c>
      <c r="B154" s="2">
        <f ca="1">MATCH(表_网址[[#This Row],[版层分类]],序列_版层分类,0)*1000+MATCH(表_网址[[#This Row],[首要关键词]],序列_首要关键词,0)</f>
        <v>8003</v>
      </c>
      <c r="C154" s="2">
        <f ca="1">IF(表_网址[[#This Row],[次要关键词]]="",10,MATCH(表_网址[[#This Row],[次要关键词]],序列_次要关键词,0)+10)</f>
        <v>11</v>
      </c>
      <c r="D154">
        <f ca="1">IF(表_网址[[#This Row],[重点关键词]]="",10,MATCH(表_网址[[#This Row],[重点关键词]],序列_重点关键词,0)+10)</f>
        <v>11</v>
      </c>
      <c r="E154" s="2">
        <f>IF(AND(表_网址[[#This Row],[首要关键词]]=K153,表_网址[[#This Row],[次要关键词]]=L153,表_网址[[#This Row],[重点关键词]]=M153),E153+1,IF(表_网址[[#This Row],[重点关键词]]="",100,101))</f>
        <v>113</v>
      </c>
      <c r="F154" t="s">
        <v>62</v>
      </c>
      <c r="G154" t="s">
        <v>63</v>
      </c>
      <c r="H154" t="s">
        <v>29</v>
      </c>
      <c r="I154" t="s">
        <v>64</v>
      </c>
      <c r="J154" t="s">
        <v>1898</v>
      </c>
      <c r="K154" t="s">
        <v>24</v>
      </c>
      <c r="L154" t="s">
        <v>26</v>
      </c>
      <c r="M154" t="s">
        <v>31</v>
      </c>
      <c r="N154" t="s">
        <v>1848</v>
      </c>
      <c r="Q154">
        <v>16</v>
      </c>
    </row>
    <row r="155" spans="1:17" x14ac:dyDescent="0.2">
      <c r="A155" t="str">
        <f ca="1">表_网址[[#This Row],[1级]]&amp;"-"&amp;表_网址[[#This Row],[2级]]&amp;"-"&amp;表_网址[[#This Row],[3级]]&amp;"-"&amp;表_网址[[#This Row],[级内]]</f>
        <v>8003-11-11-114</v>
      </c>
      <c r="B155" s="2">
        <f ca="1">MATCH(表_网址[[#This Row],[版层分类]],序列_版层分类,0)*1000+MATCH(表_网址[[#This Row],[首要关键词]],序列_首要关键词,0)</f>
        <v>8003</v>
      </c>
      <c r="C155" s="2">
        <f ca="1">IF(表_网址[[#This Row],[次要关键词]]="",10,MATCH(表_网址[[#This Row],[次要关键词]],序列_次要关键词,0)+10)</f>
        <v>11</v>
      </c>
      <c r="D155">
        <f ca="1">IF(表_网址[[#This Row],[重点关键词]]="",10,MATCH(表_网址[[#This Row],[重点关键词]],序列_重点关键词,0)+10)</f>
        <v>11</v>
      </c>
      <c r="E155" s="2">
        <f>IF(AND(表_网址[[#This Row],[首要关键词]]=K154,表_网址[[#This Row],[次要关键词]]=L154,表_网址[[#This Row],[重点关键词]]=M154),E154+1,IF(表_网址[[#This Row],[重点关键词]]="",100,101))</f>
        <v>114</v>
      </c>
      <c r="F155" t="s">
        <v>65</v>
      </c>
      <c r="G155" t="s">
        <v>66</v>
      </c>
      <c r="H155" t="s">
        <v>29</v>
      </c>
      <c r="I155" t="s">
        <v>67</v>
      </c>
      <c r="J155" t="s">
        <v>1898</v>
      </c>
      <c r="K155" t="s">
        <v>24</v>
      </c>
      <c r="L155" t="s">
        <v>26</v>
      </c>
      <c r="M155" t="s">
        <v>31</v>
      </c>
      <c r="N155" t="s">
        <v>1848</v>
      </c>
      <c r="Q155">
        <v>16</v>
      </c>
    </row>
    <row r="156" spans="1:17" x14ac:dyDescent="0.2">
      <c r="A156" t="str">
        <f ca="1">表_网址[[#This Row],[1级]]&amp;"-"&amp;表_网址[[#This Row],[2级]]&amp;"-"&amp;表_网址[[#This Row],[3级]]&amp;"-"&amp;表_网址[[#This Row],[级内]]</f>
        <v>8003-11-11-115</v>
      </c>
      <c r="B156" s="2">
        <f ca="1">MATCH(表_网址[[#This Row],[版层分类]],序列_版层分类,0)*1000+MATCH(表_网址[[#This Row],[首要关键词]],序列_首要关键词,0)</f>
        <v>8003</v>
      </c>
      <c r="C156" s="2">
        <f ca="1">IF(表_网址[[#This Row],[次要关键词]]="",10,MATCH(表_网址[[#This Row],[次要关键词]],序列_次要关键词,0)+10)</f>
        <v>11</v>
      </c>
      <c r="D156">
        <f ca="1">IF(表_网址[[#This Row],[重点关键词]]="",10,MATCH(表_网址[[#This Row],[重点关键词]],序列_重点关键词,0)+10)</f>
        <v>11</v>
      </c>
      <c r="E156" s="2">
        <f>IF(AND(表_网址[[#This Row],[首要关键词]]=K155,表_网址[[#This Row],[次要关键词]]=L155,表_网址[[#This Row],[重点关键词]]=M155),E155+1,IF(表_网址[[#This Row],[重点关键词]]="",100,101))</f>
        <v>115</v>
      </c>
      <c r="F156" t="s">
        <v>68</v>
      </c>
      <c r="G156" t="s">
        <v>69</v>
      </c>
      <c r="H156" t="s">
        <v>29</v>
      </c>
      <c r="I156" t="s">
        <v>70</v>
      </c>
      <c r="J156" t="s">
        <v>1898</v>
      </c>
      <c r="K156" t="s">
        <v>24</v>
      </c>
      <c r="L156" t="s">
        <v>26</v>
      </c>
      <c r="M156" t="s">
        <v>31</v>
      </c>
      <c r="N156" t="s">
        <v>1848</v>
      </c>
      <c r="Q156">
        <v>16</v>
      </c>
    </row>
    <row r="157" spans="1:17" x14ac:dyDescent="0.2">
      <c r="A157" t="str">
        <f ca="1">表_网址[[#This Row],[1级]]&amp;"-"&amp;表_网址[[#This Row],[2级]]&amp;"-"&amp;表_网址[[#This Row],[3级]]&amp;"-"&amp;表_网址[[#This Row],[级内]]</f>
        <v>8003-11-11-116</v>
      </c>
      <c r="B157" s="2">
        <f ca="1">MATCH(表_网址[[#This Row],[版层分类]],序列_版层分类,0)*1000+MATCH(表_网址[[#This Row],[首要关键词]],序列_首要关键词,0)</f>
        <v>8003</v>
      </c>
      <c r="C157" s="2">
        <f ca="1">IF(表_网址[[#This Row],[次要关键词]]="",10,MATCH(表_网址[[#This Row],[次要关键词]],序列_次要关键词,0)+10)</f>
        <v>11</v>
      </c>
      <c r="D157">
        <f ca="1">IF(表_网址[[#This Row],[重点关键词]]="",10,MATCH(表_网址[[#This Row],[重点关键词]],序列_重点关键词,0)+10)</f>
        <v>11</v>
      </c>
      <c r="E157" s="2">
        <f>IF(AND(表_网址[[#This Row],[首要关键词]]=K156,表_网址[[#This Row],[次要关键词]]=L156,表_网址[[#This Row],[重点关键词]]=M156),E156+1,IF(表_网址[[#This Row],[重点关键词]]="",100,101))</f>
        <v>116</v>
      </c>
      <c r="F157" t="s">
        <v>71</v>
      </c>
      <c r="G157" t="s">
        <v>72</v>
      </c>
      <c r="H157" t="s">
        <v>29</v>
      </c>
      <c r="I157" t="s">
        <v>73</v>
      </c>
      <c r="J157" t="s">
        <v>1898</v>
      </c>
      <c r="K157" t="s">
        <v>24</v>
      </c>
      <c r="L157" t="s">
        <v>26</v>
      </c>
      <c r="M157" t="s">
        <v>31</v>
      </c>
      <c r="N157" t="s">
        <v>1848</v>
      </c>
    </row>
    <row r="158" spans="1:17" x14ac:dyDescent="0.2">
      <c r="A158" t="str">
        <f ca="1">表_网址[[#This Row],[1级]]&amp;"-"&amp;表_网址[[#This Row],[2级]]&amp;"-"&amp;表_网址[[#This Row],[3级]]&amp;"-"&amp;表_网址[[#This Row],[级内]]</f>
        <v>8003-11-11-117</v>
      </c>
      <c r="B158" s="2">
        <f ca="1">MATCH(表_网址[[#This Row],[版层分类]],序列_版层分类,0)*1000+MATCH(表_网址[[#This Row],[首要关键词]],序列_首要关键词,0)</f>
        <v>8003</v>
      </c>
      <c r="C158" s="2">
        <f ca="1">IF(表_网址[[#This Row],[次要关键词]]="",10,MATCH(表_网址[[#This Row],[次要关键词]],序列_次要关键词,0)+10)</f>
        <v>11</v>
      </c>
      <c r="D158">
        <f ca="1">IF(表_网址[[#This Row],[重点关键词]]="",10,MATCH(表_网址[[#This Row],[重点关键词]],序列_重点关键词,0)+10)</f>
        <v>11</v>
      </c>
      <c r="E158" s="2">
        <f>IF(AND(表_网址[[#This Row],[首要关键词]]=K157,表_网址[[#This Row],[次要关键词]]=L157,表_网址[[#This Row],[重点关键词]]=M157),E157+1,IF(表_网址[[#This Row],[重点关键词]]="",100,101))</f>
        <v>117</v>
      </c>
      <c r="F158" t="s">
        <v>74</v>
      </c>
      <c r="G158" t="s">
        <v>75</v>
      </c>
      <c r="H158" t="s">
        <v>29</v>
      </c>
      <c r="J158" t="s">
        <v>1898</v>
      </c>
      <c r="K158" t="s">
        <v>24</v>
      </c>
      <c r="L158" t="s">
        <v>26</v>
      </c>
      <c r="M158" t="s">
        <v>31</v>
      </c>
      <c r="N158" t="s">
        <v>1848</v>
      </c>
    </row>
    <row r="159" spans="1:17" x14ac:dyDescent="0.2">
      <c r="A159" t="str">
        <f ca="1">表_网址[[#This Row],[1级]]&amp;"-"&amp;表_网址[[#This Row],[2级]]&amp;"-"&amp;表_网址[[#This Row],[3级]]&amp;"-"&amp;表_网址[[#This Row],[级内]]</f>
        <v>8003-11-11-118</v>
      </c>
      <c r="B159" s="2">
        <f ca="1">MATCH(表_网址[[#This Row],[版层分类]],序列_版层分类,0)*1000+MATCH(表_网址[[#This Row],[首要关键词]],序列_首要关键词,0)</f>
        <v>8003</v>
      </c>
      <c r="C159" s="2">
        <f ca="1">IF(表_网址[[#This Row],[次要关键词]]="",10,MATCH(表_网址[[#This Row],[次要关键词]],序列_次要关键词,0)+10)</f>
        <v>11</v>
      </c>
      <c r="D159">
        <f ca="1">IF(表_网址[[#This Row],[重点关键词]]="",10,MATCH(表_网址[[#This Row],[重点关键词]],序列_重点关键词,0)+10)</f>
        <v>11</v>
      </c>
      <c r="E159" s="2">
        <f>IF(AND(表_网址[[#This Row],[首要关键词]]=K158,表_网址[[#This Row],[次要关键词]]=L158,表_网址[[#This Row],[重点关键词]]=M158),E158+1,IF(表_网址[[#This Row],[重点关键词]]="",100,101))</f>
        <v>118</v>
      </c>
      <c r="F159" t="s">
        <v>76</v>
      </c>
      <c r="G159" t="s">
        <v>77</v>
      </c>
      <c r="H159" t="s">
        <v>29</v>
      </c>
      <c r="I159" t="s">
        <v>78</v>
      </c>
      <c r="J159" t="s">
        <v>1898</v>
      </c>
      <c r="K159" t="s">
        <v>24</v>
      </c>
      <c r="L159" t="s">
        <v>26</v>
      </c>
      <c r="M159" t="s">
        <v>31</v>
      </c>
      <c r="N159" t="s">
        <v>1848</v>
      </c>
      <c r="O159" t="s">
        <v>1166</v>
      </c>
      <c r="Q159">
        <v>16</v>
      </c>
    </row>
    <row r="160" spans="1:17" x14ac:dyDescent="0.2">
      <c r="A160" t="str">
        <f ca="1">表_网址[[#This Row],[1级]]&amp;"-"&amp;表_网址[[#This Row],[2级]]&amp;"-"&amp;表_网址[[#This Row],[3级]]&amp;"-"&amp;表_网址[[#This Row],[级内]]</f>
        <v>8003-11-11-119</v>
      </c>
      <c r="B160" s="2">
        <f ca="1">MATCH(表_网址[[#This Row],[版层分类]],序列_版层分类,0)*1000+MATCH(表_网址[[#This Row],[首要关键词]],序列_首要关键词,0)</f>
        <v>8003</v>
      </c>
      <c r="C160" s="2">
        <f ca="1">IF(表_网址[[#This Row],[次要关键词]]="",10,MATCH(表_网址[[#This Row],[次要关键词]],序列_次要关键词,0)+10)</f>
        <v>11</v>
      </c>
      <c r="D160">
        <f ca="1">IF(表_网址[[#This Row],[重点关键词]]="",10,MATCH(表_网址[[#This Row],[重点关键词]],序列_重点关键词,0)+10)</f>
        <v>11</v>
      </c>
      <c r="E160" s="2">
        <f>IF(AND(表_网址[[#This Row],[首要关键词]]=K159,表_网址[[#This Row],[次要关键词]]=L159,表_网址[[#This Row],[重点关键词]]=M159),E159+1,IF(表_网址[[#This Row],[重点关键词]]="",100,101))</f>
        <v>119</v>
      </c>
      <c r="F160" t="s">
        <v>79</v>
      </c>
      <c r="G160" t="s">
        <v>80</v>
      </c>
      <c r="H160" t="s">
        <v>29</v>
      </c>
      <c r="I160" t="s">
        <v>81</v>
      </c>
      <c r="J160" t="s">
        <v>1898</v>
      </c>
      <c r="K160" t="s">
        <v>24</v>
      </c>
      <c r="L160" t="s">
        <v>26</v>
      </c>
      <c r="M160" t="s">
        <v>31</v>
      </c>
      <c r="N160" t="s">
        <v>1848</v>
      </c>
      <c r="O160" t="s">
        <v>1166</v>
      </c>
      <c r="Q160">
        <v>16</v>
      </c>
    </row>
    <row r="161" spans="1:17" x14ac:dyDescent="0.2">
      <c r="A161" t="str">
        <f ca="1">表_网址[[#This Row],[1级]]&amp;"-"&amp;表_网址[[#This Row],[2级]]&amp;"-"&amp;表_网址[[#This Row],[3级]]&amp;"-"&amp;表_网址[[#This Row],[级内]]</f>
        <v>8003-11-11-120</v>
      </c>
      <c r="B161" s="2">
        <f ca="1">MATCH(表_网址[[#This Row],[版层分类]],序列_版层分类,0)*1000+MATCH(表_网址[[#This Row],[首要关键词]],序列_首要关键词,0)</f>
        <v>8003</v>
      </c>
      <c r="C161" s="2">
        <f ca="1">IF(表_网址[[#This Row],[次要关键词]]="",10,MATCH(表_网址[[#This Row],[次要关键词]],序列_次要关键词,0)+10)</f>
        <v>11</v>
      </c>
      <c r="D161">
        <f ca="1">IF(表_网址[[#This Row],[重点关键词]]="",10,MATCH(表_网址[[#This Row],[重点关键词]],序列_重点关键词,0)+10)</f>
        <v>11</v>
      </c>
      <c r="E161" s="2">
        <f>IF(AND(表_网址[[#This Row],[首要关键词]]=K160,表_网址[[#This Row],[次要关键词]]=L160,表_网址[[#This Row],[重点关键词]]=M160),E160+1,IF(表_网址[[#This Row],[重点关键词]]="",100,101))</f>
        <v>120</v>
      </c>
      <c r="F161" t="s">
        <v>82</v>
      </c>
      <c r="G161" t="s">
        <v>83</v>
      </c>
      <c r="H161" t="s">
        <v>29</v>
      </c>
      <c r="I161" t="s">
        <v>84</v>
      </c>
      <c r="J161" t="s">
        <v>1898</v>
      </c>
      <c r="K161" t="s">
        <v>24</v>
      </c>
      <c r="L161" t="s">
        <v>26</v>
      </c>
      <c r="M161" t="s">
        <v>31</v>
      </c>
      <c r="N161" t="s">
        <v>1848</v>
      </c>
    </row>
    <row r="162" spans="1:17" x14ac:dyDescent="0.2">
      <c r="A162" t="str">
        <f ca="1">表_网址[[#This Row],[1级]]&amp;"-"&amp;表_网址[[#This Row],[2级]]&amp;"-"&amp;表_网址[[#This Row],[3级]]&amp;"-"&amp;表_网址[[#This Row],[级内]]</f>
        <v>8003-11-11-121</v>
      </c>
      <c r="B162" s="2">
        <f ca="1">MATCH(表_网址[[#This Row],[版层分类]],序列_版层分类,0)*1000+MATCH(表_网址[[#This Row],[首要关键词]],序列_首要关键词,0)</f>
        <v>8003</v>
      </c>
      <c r="C162" s="2">
        <f ca="1">IF(表_网址[[#This Row],[次要关键词]]="",10,MATCH(表_网址[[#This Row],[次要关键词]],序列_次要关键词,0)+10)</f>
        <v>11</v>
      </c>
      <c r="D162">
        <f ca="1">IF(表_网址[[#This Row],[重点关键词]]="",10,MATCH(表_网址[[#This Row],[重点关键词]],序列_重点关键词,0)+10)</f>
        <v>11</v>
      </c>
      <c r="E162" s="2">
        <f>IF(AND(表_网址[[#This Row],[首要关键词]]=K161,表_网址[[#This Row],[次要关键词]]=L161,表_网址[[#This Row],[重点关键词]]=M161),E161+1,IF(表_网址[[#This Row],[重点关键词]]="",100,101))</f>
        <v>121</v>
      </c>
      <c r="F162" t="s">
        <v>85</v>
      </c>
      <c r="G162" t="s">
        <v>86</v>
      </c>
      <c r="H162" t="s">
        <v>29</v>
      </c>
      <c r="I162" t="s">
        <v>87</v>
      </c>
      <c r="J162" t="s">
        <v>1898</v>
      </c>
      <c r="K162" t="s">
        <v>24</v>
      </c>
      <c r="L162" t="s">
        <v>26</v>
      </c>
      <c r="M162" t="s">
        <v>31</v>
      </c>
      <c r="N162" t="s">
        <v>1848</v>
      </c>
    </row>
    <row r="163" spans="1:17" x14ac:dyDescent="0.2">
      <c r="A163" t="str">
        <f ca="1">表_网址[[#This Row],[1级]]&amp;"-"&amp;表_网址[[#This Row],[2级]]&amp;"-"&amp;表_网址[[#This Row],[3级]]&amp;"-"&amp;表_网址[[#This Row],[级内]]</f>
        <v>8003-11-11-122</v>
      </c>
      <c r="B163" s="2">
        <f ca="1">MATCH(表_网址[[#This Row],[版层分类]],序列_版层分类,0)*1000+MATCH(表_网址[[#This Row],[首要关键词]],序列_首要关键词,0)</f>
        <v>8003</v>
      </c>
      <c r="C163" s="2">
        <f ca="1">IF(表_网址[[#This Row],[次要关键词]]="",10,MATCH(表_网址[[#This Row],[次要关键词]],序列_次要关键词,0)+10)</f>
        <v>11</v>
      </c>
      <c r="D163">
        <f ca="1">IF(表_网址[[#This Row],[重点关键词]]="",10,MATCH(表_网址[[#This Row],[重点关键词]],序列_重点关键词,0)+10)</f>
        <v>11</v>
      </c>
      <c r="E163" s="2">
        <f>IF(AND(表_网址[[#This Row],[首要关键词]]=K162,表_网址[[#This Row],[次要关键词]]=L162,表_网址[[#This Row],[重点关键词]]=M162),E162+1,IF(表_网址[[#This Row],[重点关键词]]="",100,101))</f>
        <v>122</v>
      </c>
      <c r="F163" t="s">
        <v>88</v>
      </c>
      <c r="G163" t="s">
        <v>89</v>
      </c>
      <c r="H163" t="s">
        <v>29</v>
      </c>
      <c r="I163" t="s">
        <v>90</v>
      </c>
      <c r="J163" t="s">
        <v>1898</v>
      </c>
      <c r="K163" t="s">
        <v>24</v>
      </c>
      <c r="L163" t="s">
        <v>26</v>
      </c>
      <c r="M163" t="s">
        <v>31</v>
      </c>
      <c r="N163" t="s">
        <v>1848</v>
      </c>
      <c r="Q163">
        <v>16</v>
      </c>
    </row>
    <row r="164" spans="1:17" x14ac:dyDescent="0.2">
      <c r="A164" t="str">
        <f ca="1">表_网址[[#This Row],[1级]]&amp;"-"&amp;表_网址[[#This Row],[2级]]&amp;"-"&amp;表_网址[[#This Row],[3级]]&amp;"-"&amp;表_网址[[#This Row],[级内]]</f>
        <v>8003-11-11-123</v>
      </c>
      <c r="B164" s="2">
        <f ca="1">MATCH(表_网址[[#This Row],[版层分类]],序列_版层分类,0)*1000+MATCH(表_网址[[#This Row],[首要关键词]],序列_首要关键词,0)</f>
        <v>8003</v>
      </c>
      <c r="C164" s="2">
        <f ca="1">IF(表_网址[[#This Row],[次要关键词]]="",10,MATCH(表_网址[[#This Row],[次要关键词]],序列_次要关键词,0)+10)</f>
        <v>11</v>
      </c>
      <c r="D164">
        <f ca="1">IF(表_网址[[#This Row],[重点关键词]]="",10,MATCH(表_网址[[#This Row],[重点关键词]],序列_重点关键词,0)+10)</f>
        <v>11</v>
      </c>
      <c r="E164" s="2">
        <f>IF(AND(表_网址[[#This Row],[首要关键词]]=K163,表_网址[[#This Row],[次要关键词]]=L163,表_网址[[#This Row],[重点关键词]]=M163),E163+1,IF(表_网址[[#This Row],[重点关键词]]="",100,101))</f>
        <v>123</v>
      </c>
      <c r="F164" t="s">
        <v>91</v>
      </c>
      <c r="G164" t="s">
        <v>92</v>
      </c>
      <c r="H164" t="s">
        <v>29</v>
      </c>
      <c r="I164" t="s">
        <v>93</v>
      </c>
      <c r="J164" t="s">
        <v>1898</v>
      </c>
      <c r="K164" t="s">
        <v>24</v>
      </c>
      <c r="L164" t="s">
        <v>26</v>
      </c>
      <c r="M164" t="s">
        <v>31</v>
      </c>
      <c r="N164" t="s">
        <v>1848</v>
      </c>
      <c r="Q164">
        <v>16</v>
      </c>
    </row>
    <row r="165" spans="1:17" x14ac:dyDescent="0.2">
      <c r="A165" t="str">
        <f ca="1">表_网址[[#This Row],[1级]]&amp;"-"&amp;表_网址[[#This Row],[2级]]&amp;"-"&amp;表_网址[[#This Row],[3级]]&amp;"-"&amp;表_网址[[#This Row],[级内]]</f>
        <v>8003-11-11-124</v>
      </c>
      <c r="B165" s="2">
        <f ca="1">MATCH(表_网址[[#This Row],[版层分类]],序列_版层分类,0)*1000+MATCH(表_网址[[#This Row],[首要关键词]],序列_首要关键词,0)</f>
        <v>8003</v>
      </c>
      <c r="C165" s="2">
        <f ca="1">IF(表_网址[[#This Row],[次要关键词]]="",10,MATCH(表_网址[[#This Row],[次要关键词]],序列_次要关键词,0)+10)</f>
        <v>11</v>
      </c>
      <c r="D165">
        <f ca="1">IF(表_网址[[#This Row],[重点关键词]]="",10,MATCH(表_网址[[#This Row],[重点关键词]],序列_重点关键词,0)+10)</f>
        <v>11</v>
      </c>
      <c r="E165" s="2">
        <f>IF(AND(表_网址[[#This Row],[首要关键词]]=K164,表_网址[[#This Row],[次要关键词]]=L164,表_网址[[#This Row],[重点关键词]]=M164),E164+1,IF(表_网址[[#This Row],[重点关键词]]="",100,101))</f>
        <v>124</v>
      </c>
      <c r="F165" t="s">
        <v>94</v>
      </c>
      <c r="G165" t="s">
        <v>95</v>
      </c>
      <c r="H165" t="s">
        <v>29</v>
      </c>
      <c r="I165" t="s">
        <v>96</v>
      </c>
      <c r="J165" t="s">
        <v>1898</v>
      </c>
      <c r="K165" t="s">
        <v>24</v>
      </c>
      <c r="L165" t="s">
        <v>26</v>
      </c>
      <c r="M165" t="s">
        <v>31</v>
      </c>
      <c r="N165" t="s">
        <v>1848</v>
      </c>
      <c r="Q165">
        <v>32</v>
      </c>
    </row>
    <row r="166" spans="1:17" x14ac:dyDescent="0.2">
      <c r="A166" t="str">
        <f ca="1">表_网址[[#This Row],[1级]]&amp;"-"&amp;表_网址[[#This Row],[2级]]&amp;"-"&amp;表_网址[[#This Row],[3级]]&amp;"-"&amp;表_网址[[#This Row],[级内]]</f>
        <v>8003-11-11-125</v>
      </c>
      <c r="B166" s="2">
        <f ca="1">MATCH(表_网址[[#This Row],[版层分类]],序列_版层分类,0)*1000+MATCH(表_网址[[#This Row],[首要关键词]],序列_首要关键词,0)</f>
        <v>8003</v>
      </c>
      <c r="C166" s="2">
        <f ca="1">IF(表_网址[[#This Row],[次要关键词]]="",10,MATCH(表_网址[[#This Row],[次要关键词]],序列_次要关键词,0)+10)</f>
        <v>11</v>
      </c>
      <c r="D166">
        <f ca="1">IF(表_网址[[#This Row],[重点关键词]]="",10,MATCH(表_网址[[#This Row],[重点关键词]],序列_重点关键词,0)+10)</f>
        <v>11</v>
      </c>
      <c r="E166" s="2">
        <f>IF(AND(表_网址[[#This Row],[首要关键词]]=K165,表_网址[[#This Row],[次要关键词]]=L165,表_网址[[#This Row],[重点关键词]]=M165),E165+1,IF(表_网址[[#This Row],[重点关键词]]="",100,101))</f>
        <v>125</v>
      </c>
      <c r="F166" t="s">
        <v>97</v>
      </c>
      <c r="G166" t="s">
        <v>98</v>
      </c>
      <c r="H166" t="s">
        <v>29</v>
      </c>
      <c r="I166" t="s">
        <v>99</v>
      </c>
      <c r="J166" t="s">
        <v>1898</v>
      </c>
      <c r="K166" t="s">
        <v>24</v>
      </c>
      <c r="L166" t="s">
        <v>26</v>
      </c>
      <c r="M166" t="s">
        <v>31</v>
      </c>
      <c r="N166" t="s">
        <v>1848</v>
      </c>
      <c r="O166" t="s">
        <v>1166</v>
      </c>
      <c r="Q166">
        <v>32</v>
      </c>
    </row>
    <row r="167" spans="1:17" x14ac:dyDescent="0.2">
      <c r="A167" t="str">
        <f ca="1">表_网址[[#This Row],[1级]]&amp;"-"&amp;表_网址[[#This Row],[2级]]&amp;"-"&amp;表_网址[[#This Row],[3级]]&amp;"-"&amp;表_网址[[#This Row],[级内]]</f>
        <v>8003-11-11-126</v>
      </c>
      <c r="B167" s="2">
        <f ca="1">MATCH(表_网址[[#This Row],[版层分类]],序列_版层分类,0)*1000+MATCH(表_网址[[#This Row],[首要关键词]],序列_首要关键词,0)</f>
        <v>8003</v>
      </c>
      <c r="C167" s="2">
        <f ca="1">IF(表_网址[[#This Row],[次要关键词]]="",10,MATCH(表_网址[[#This Row],[次要关键词]],序列_次要关键词,0)+10)</f>
        <v>11</v>
      </c>
      <c r="D167">
        <f ca="1">IF(表_网址[[#This Row],[重点关键词]]="",10,MATCH(表_网址[[#This Row],[重点关键词]],序列_重点关键词,0)+10)</f>
        <v>11</v>
      </c>
      <c r="E167" s="2">
        <f>IF(AND(表_网址[[#This Row],[首要关键词]]=K166,表_网址[[#This Row],[次要关键词]]=L166,表_网址[[#This Row],[重点关键词]]=M166),E166+1,IF(表_网址[[#This Row],[重点关键词]]="",100,101))</f>
        <v>126</v>
      </c>
      <c r="F167" t="s">
        <v>100</v>
      </c>
      <c r="G167" t="s">
        <v>101</v>
      </c>
      <c r="H167" t="s">
        <v>29</v>
      </c>
      <c r="I167" t="s">
        <v>102</v>
      </c>
      <c r="J167" t="s">
        <v>1898</v>
      </c>
      <c r="K167" t="s">
        <v>24</v>
      </c>
      <c r="L167" t="s">
        <v>26</v>
      </c>
      <c r="M167" t="s">
        <v>31</v>
      </c>
      <c r="N167" t="s">
        <v>1848</v>
      </c>
    </row>
    <row r="168" spans="1:17" x14ac:dyDescent="0.2">
      <c r="A168" t="str">
        <f ca="1">表_网址[[#This Row],[1级]]&amp;"-"&amp;表_网址[[#This Row],[2级]]&amp;"-"&amp;表_网址[[#This Row],[3级]]&amp;"-"&amp;表_网址[[#This Row],[级内]]</f>
        <v>8003-11-11-127</v>
      </c>
      <c r="B168" s="2">
        <f ca="1">MATCH(表_网址[[#This Row],[版层分类]],序列_版层分类,0)*1000+MATCH(表_网址[[#This Row],[首要关键词]],序列_首要关键词,0)</f>
        <v>8003</v>
      </c>
      <c r="C168" s="2">
        <f ca="1">IF(表_网址[[#This Row],[次要关键词]]="",10,MATCH(表_网址[[#This Row],[次要关键词]],序列_次要关键词,0)+10)</f>
        <v>11</v>
      </c>
      <c r="D168">
        <f ca="1">IF(表_网址[[#This Row],[重点关键词]]="",10,MATCH(表_网址[[#This Row],[重点关键词]],序列_重点关键词,0)+10)</f>
        <v>11</v>
      </c>
      <c r="E168" s="2">
        <f>IF(AND(表_网址[[#This Row],[首要关键词]]=K167,表_网址[[#This Row],[次要关键词]]=L167,表_网址[[#This Row],[重点关键词]]=M167),E167+1,IF(表_网址[[#This Row],[重点关键词]]="",100,101))</f>
        <v>127</v>
      </c>
      <c r="F168" t="s">
        <v>103</v>
      </c>
      <c r="G168" t="s">
        <v>98</v>
      </c>
      <c r="H168" t="s">
        <v>29</v>
      </c>
      <c r="I168" t="s">
        <v>104</v>
      </c>
      <c r="J168" t="s">
        <v>1898</v>
      </c>
      <c r="K168" t="s">
        <v>24</v>
      </c>
      <c r="L168" t="s">
        <v>26</v>
      </c>
      <c r="M168" t="s">
        <v>31</v>
      </c>
      <c r="N168" t="s">
        <v>1848</v>
      </c>
      <c r="Q168">
        <v>16</v>
      </c>
    </row>
    <row r="169" spans="1:17" x14ac:dyDescent="0.2">
      <c r="A169" t="str">
        <f ca="1">表_网址[[#This Row],[1级]]&amp;"-"&amp;表_网址[[#This Row],[2级]]&amp;"-"&amp;表_网址[[#This Row],[3级]]&amp;"-"&amp;表_网址[[#This Row],[级内]]</f>
        <v>8003-11-11-128</v>
      </c>
      <c r="B169" s="2">
        <f ca="1">MATCH(表_网址[[#This Row],[版层分类]],序列_版层分类,0)*1000+MATCH(表_网址[[#This Row],[首要关键词]],序列_首要关键词,0)</f>
        <v>8003</v>
      </c>
      <c r="C169" s="2">
        <f ca="1">IF(表_网址[[#This Row],[次要关键词]]="",10,MATCH(表_网址[[#This Row],[次要关键词]],序列_次要关键词,0)+10)</f>
        <v>11</v>
      </c>
      <c r="D169">
        <f ca="1">IF(表_网址[[#This Row],[重点关键词]]="",10,MATCH(表_网址[[#This Row],[重点关键词]],序列_重点关键词,0)+10)</f>
        <v>11</v>
      </c>
      <c r="E169" s="2">
        <f>IF(AND(表_网址[[#This Row],[首要关键词]]=K168,表_网址[[#This Row],[次要关键词]]=L168,表_网址[[#This Row],[重点关键词]]=M168),E168+1,IF(表_网址[[#This Row],[重点关键词]]="",100,101))</f>
        <v>128</v>
      </c>
      <c r="F169" t="s">
        <v>105</v>
      </c>
      <c r="G169" t="s">
        <v>106</v>
      </c>
      <c r="H169" t="s">
        <v>29</v>
      </c>
      <c r="I169" t="s">
        <v>107</v>
      </c>
      <c r="J169" t="s">
        <v>1898</v>
      </c>
      <c r="K169" t="s">
        <v>24</v>
      </c>
      <c r="L169" t="s">
        <v>26</v>
      </c>
      <c r="M169" t="s">
        <v>31</v>
      </c>
      <c r="N169" t="s">
        <v>1848</v>
      </c>
      <c r="O169" t="s">
        <v>1166</v>
      </c>
      <c r="Q169">
        <v>64</v>
      </c>
    </row>
    <row r="170" spans="1:17" x14ac:dyDescent="0.2">
      <c r="A170" t="str">
        <f ca="1">表_网址[[#This Row],[1级]]&amp;"-"&amp;表_网址[[#This Row],[2级]]&amp;"-"&amp;表_网址[[#This Row],[3级]]&amp;"-"&amp;表_网址[[#This Row],[级内]]</f>
        <v>8003-11-11-129</v>
      </c>
      <c r="B170" s="2">
        <f ca="1">MATCH(表_网址[[#This Row],[版层分类]],序列_版层分类,0)*1000+MATCH(表_网址[[#This Row],[首要关键词]],序列_首要关键词,0)</f>
        <v>8003</v>
      </c>
      <c r="C170" s="2">
        <f ca="1">IF(表_网址[[#This Row],[次要关键词]]="",10,MATCH(表_网址[[#This Row],[次要关键词]],序列_次要关键词,0)+10)</f>
        <v>11</v>
      </c>
      <c r="D170">
        <f ca="1">IF(表_网址[[#This Row],[重点关键词]]="",10,MATCH(表_网址[[#This Row],[重点关键词]],序列_重点关键词,0)+10)</f>
        <v>11</v>
      </c>
      <c r="E170" s="2">
        <f>IF(AND(表_网址[[#This Row],[首要关键词]]=K169,表_网址[[#This Row],[次要关键词]]=L169,表_网址[[#This Row],[重点关键词]]=M169),E169+1,IF(表_网址[[#This Row],[重点关键词]]="",100,101))</f>
        <v>129</v>
      </c>
      <c r="F170" t="s">
        <v>108</v>
      </c>
      <c r="G170" t="s">
        <v>109</v>
      </c>
      <c r="H170" t="s">
        <v>29</v>
      </c>
      <c r="I170" t="s">
        <v>110</v>
      </c>
      <c r="J170" t="s">
        <v>1898</v>
      </c>
      <c r="K170" t="s">
        <v>24</v>
      </c>
      <c r="L170" t="s">
        <v>26</v>
      </c>
      <c r="M170" t="s">
        <v>31</v>
      </c>
      <c r="N170" t="s">
        <v>1848</v>
      </c>
      <c r="Q170">
        <v>16</v>
      </c>
    </row>
    <row r="171" spans="1:17" x14ac:dyDescent="0.2">
      <c r="A171" t="str">
        <f ca="1">表_网址[[#This Row],[1级]]&amp;"-"&amp;表_网址[[#This Row],[2级]]&amp;"-"&amp;表_网址[[#This Row],[3级]]&amp;"-"&amp;表_网址[[#This Row],[级内]]</f>
        <v>8003-11-11-130</v>
      </c>
      <c r="B171" s="2">
        <f ca="1">MATCH(表_网址[[#This Row],[版层分类]],序列_版层分类,0)*1000+MATCH(表_网址[[#This Row],[首要关键词]],序列_首要关键词,0)</f>
        <v>8003</v>
      </c>
      <c r="C171" s="2">
        <f ca="1">IF(表_网址[[#This Row],[次要关键词]]="",10,MATCH(表_网址[[#This Row],[次要关键词]],序列_次要关键词,0)+10)</f>
        <v>11</v>
      </c>
      <c r="D171">
        <f ca="1">IF(表_网址[[#This Row],[重点关键词]]="",10,MATCH(表_网址[[#This Row],[重点关键词]],序列_重点关键词,0)+10)</f>
        <v>11</v>
      </c>
      <c r="E171" s="2">
        <f>IF(AND(表_网址[[#This Row],[首要关键词]]=K170,表_网址[[#This Row],[次要关键词]]=L170,表_网址[[#This Row],[重点关键词]]=M170),E170+1,IF(表_网址[[#This Row],[重点关键词]]="",100,101))</f>
        <v>130</v>
      </c>
      <c r="F171" t="s">
        <v>111</v>
      </c>
      <c r="G171" t="s">
        <v>112</v>
      </c>
      <c r="H171" t="s">
        <v>29</v>
      </c>
      <c r="I171" t="s">
        <v>113</v>
      </c>
      <c r="J171" t="s">
        <v>1898</v>
      </c>
      <c r="K171" t="s">
        <v>24</v>
      </c>
      <c r="L171" t="s">
        <v>26</v>
      </c>
      <c r="M171" t="s">
        <v>31</v>
      </c>
      <c r="N171" t="s">
        <v>1848</v>
      </c>
    </row>
    <row r="172" spans="1:17" x14ac:dyDescent="0.2">
      <c r="A172" t="str">
        <f ca="1">表_网址[[#This Row],[1级]]&amp;"-"&amp;表_网址[[#This Row],[2级]]&amp;"-"&amp;表_网址[[#This Row],[3级]]&amp;"-"&amp;表_网址[[#This Row],[级内]]</f>
        <v>8003-11-12-101</v>
      </c>
      <c r="B172" s="2">
        <f ca="1">MATCH(表_网址[[#This Row],[版层分类]],序列_版层分类,0)*1000+MATCH(表_网址[[#This Row],[首要关键词]],序列_首要关键词,0)</f>
        <v>8003</v>
      </c>
      <c r="C172" s="2">
        <f ca="1">IF(表_网址[[#This Row],[次要关键词]]="",10,MATCH(表_网址[[#This Row],[次要关键词]],序列_次要关键词,0)+10)</f>
        <v>11</v>
      </c>
      <c r="D172">
        <f ca="1">IF(表_网址[[#This Row],[重点关键词]]="",10,MATCH(表_网址[[#This Row],[重点关键词]],序列_重点关键词,0)+10)</f>
        <v>12</v>
      </c>
      <c r="E172" s="2">
        <f>IF(AND(表_网址[[#This Row],[首要关键词]]=K171,表_网址[[#This Row],[次要关键词]]=L171,表_网址[[#This Row],[重点关键词]]=M171),E171+1,IF(表_网址[[#This Row],[重点关键词]]="",100,101))</f>
        <v>101</v>
      </c>
      <c r="F172" t="s">
        <v>114</v>
      </c>
      <c r="G172" t="s">
        <v>115</v>
      </c>
      <c r="H172" t="s">
        <v>116</v>
      </c>
      <c r="I172" t="s">
        <v>117</v>
      </c>
      <c r="J172" t="s">
        <v>1898</v>
      </c>
      <c r="K172" t="s">
        <v>24</v>
      </c>
      <c r="L172" t="s">
        <v>26</v>
      </c>
      <c r="M172" t="s">
        <v>118</v>
      </c>
      <c r="N172" t="s">
        <v>1848</v>
      </c>
      <c r="Q172">
        <v>30</v>
      </c>
    </row>
    <row r="173" spans="1:17" x14ac:dyDescent="0.2">
      <c r="A173" t="str">
        <f ca="1">表_网址[[#This Row],[1级]]&amp;"-"&amp;表_网址[[#This Row],[2级]]&amp;"-"&amp;表_网址[[#This Row],[3级]]&amp;"-"&amp;表_网址[[#This Row],[级内]]</f>
        <v>8003-11-13-101</v>
      </c>
      <c r="B173" s="2">
        <f ca="1">MATCH(表_网址[[#This Row],[版层分类]],序列_版层分类,0)*1000+MATCH(表_网址[[#This Row],[首要关键词]],序列_首要关键词,0)</f>
        <v>8003</v>
      </c>
      <c r="C173" s="2">
        <f ca="1">IF(表_网址[[#This Row],[次要关键词]]="",10,MATCH(表_网址[[#This Row],[次要关键词]],序列_次要关键词,0)+10)</f>
        <v>11</v>
      </c>
      <c r="D173">
        <f ca="1">IF(表_网址[[#This Row],[重点关键词]]="",10,MATCH(表_网址[[#This Row],[重点关键词]],序列_重点关键词,0)+10)</f>
        <v>13</v>
      </c>
      <c r="E173" s="2">
        <f>IF(AND(表_网址[[#This Row],[首要关键词]]=K172,表_网址[[#This Row],[次要关键词]]=L172,表_网址[[#This Row],[重点关键词]]=M172),E172+1,IF(表_网址[[#This Row],[重点关键词]]="",100,101))</f>
        <v>101</v>
      </c>
      <c r="F173" t="s">
        <v>119</v>
      </c>
      <c r="G173" t="s">
        <v>120</v>
      </c>
      <c r="H173" t="s">
        <v>29</v>
      </c>
      <c r="I173" t="s">
        <v>121</v>
      </c>
      <c r="J173" t="s">
        <v>1898</v>
      </c>
      <c r="K173" t="s">
        <v>24</v>
      </c>
      <c r="L173" t="s">
        <v>26</v>
      </c>
      <c r="M173" t="s">
        <v>122</v>
      </c>
      <c r="N173" t="s">
        <v>1848</v>
      </c>
      <c r="O173" t="s">
        <v>1166</v>
      </c>
    </row>
    <row r="174" spans="1:17" x14ac:dyDescent="0.2">
      <c r="A174" t="str">
        <f ca="1">表_网址[[#This Row],[1级]]&amp;"-"&amp;表_网址[[#This Row],[2级]]&amp;"-"&amp;表_网址[[#This Row],[3级]]&amp;"-"&amp;表_网址[[#This Row],[级内]]</f>
        <v>8003-11-13-102</v>
      </c>
      <c r="B174" s="2">
        <f ca="1">MATCH(表_网址[[#This Row],[版层分类]],序列_版层分类,0)*1000+MATCH(表_网址[[#This Row],[首要关键词]],序列_首要关键词,0)</f>
        <v>8003</v>
      </c>
      <c r="C174" s="2">
        <f ca="1">IF(表_网址[[#This Row],[次要关键词]]="",10,MATCH(表_网址[[#This Row],[次要关键词]],序列_次要关键词,0)+10)</f>
        <v>11</v>
      </c>
      <c r="D174">
        <f ca="1">IF(表_网址[[#This Row],[重点关键词]]="",10,MATCH(表_网址[[#This Row],[重点关键词]],序列_重点关键词,0)+10)</f>
        <v>13</v>
      </c>
      <c r="E174" s="2">
        <f>IF(AND(表_网址[[#This Row],[首要关键词]]=K173,表_网址[[#This Row],[次要关键词]]=L173,表_网址[[#This Row],[重点关键词]]=M173),E173+1,IF(表_网址[[#This Row],[重点关键词]]="",100,101))</f>
        <v>102</v>
      </c>
      <c r="F174" t="s">
        <v>123</v>
      </c>
      <c r="G174" t="s">
        <v>124</v>
      </c>
      <c r="H174" t="s">
        <v>29</v>
      </c>
      <c r="I174" t="s">
        <v>125</v>
      </c>
      <c r="J174" t="s">
        <v>1898</v>
      </c>
      <c r="K174" t="s">
        <v>24</v>
      </c>
      <c r="L174" t="s">
        <v>26</v>
      </c>
      <c r="M174" t="s">
        <v>122</v>
      </c>
      <c r="N174" t="s">
        <v>1848</v>
      </c>
    </row>
    <row r="175" spans="1:17" x14ac:dyDescent="0.2">
      <c r="A175" t="str">
        <f ca="1">表_网址[[#This Row],[1级]]&amp;"-"&amp;表_网址[[#This Row],[2级]]&amp;"-"&amp;表_网址[[#This Row],[3级]]&amp;"-"&amp;表_网址[[#This Row],[级内]]</f>
        <v>8003-11-13-103</v>
      </c>
      <c r="B175" s="2">
        <f ca="1">MATCH(表_网址[[#This Row],[版层分类]],序列_版层分类,0)*1000+MATCH(表_网址[[#This Row],[首要关键词]],序列_首要关键词,0)</f>
        <v>8003</v>
      </c>
      <c r="C175" s="2">
        <f ca="1">IF(表_网址[[#This Row],[次要关键词]]="",10,MATCH(表_网址[[#This Row],[次要关键词]],序列_次要关键词,0)+10)</f>
        <v>11</v>
      </c>
      <c r="D175">
        <f ca="1">IF(表_网址[[#This Row],[重点关键词]]="",10,MATCH(表_网址[[#This Row],[重点关键词]],序列_重点关键词,0)+10)</f>
        <v>13</v>
      </c>
      <c r="E175" s="2">
        <f>IF(AND(表_网址[[#This Row],[首要关键词]]=K174,表_网址[[#This Row],[次要关键词]]=L174,表_网址[[#This Row],[重点关键词]]=M174),E174+1,IF(表_网址[[#This Row],[重点关键词]]="",100,101))</f>
        <v>103</v>
      </c>
      <c r="F175" t="s">
        <v>126</v>
      </c>
      <c r="G175" t="s">
        <v>127</v>
      </c>
      <c r="H175" t="s">
        <v>29</v>
      </c>
      <c r="I175" t="s">
        <v>128</v>
      </c>
      <c r="J175" t="s">
        <v>1898</v>
      </c>
      <c r="K175" t="s">
        <v>24</v>
      </c>
      <c r="L175" t="s">
        <v>26</v>
      </c>
      <c r="M175" t="s">
        <v>122</v>
      </c>
      <c r="N175" t="s">
        <v>1848</v>
      </c>
      <c r="Q175">
        <v>16</v>
      </c>
    </row>
    <row r="176" spans="1:17" x14ac:dyDescent="0.2">
      <c r="A176" t="str">
        <f ca="1">表_网址[[#This Row],[1级]]&amp;"-"&amp;表_网址[[#This Row],[2级]]&amp;"-"&amp;表_网址[[#This Row],[3级]]&amp;"-"&amp;表_网址[[#This Row],[级内]]</f>
        <v>8003-11-13-104</v>
      </c>
      <c r="B176" s="2">
        <f ca="1">MATCH(表_网址[[#This Row],[版层分类]],序列_版层分类,0)*1000+MATCH(表_网址[[#This Row],[首要关键词]],序列_首要关键词,0)</f>
        <v>8003</v>
      </c>
      <c r="C176" s="2">
        <f ca="1">IF(表_网址[[#This Row],[次要关键词]]="",10,MATCH(表_网址[[#This Row],[次要关键词]],序列_次要关键词,0)+10)</f>
        <v>11</v>
      </c>
      <c r="D176">
        <f ca="1">IF(表_网址[[#This Row],[重点关键词]]="",10,MATCH(表_网址[[#This Row],[重点关键词]],序列_重点关键词,0)+10)</f>
        <v>13</v>
      </c>
      <c r="E176" s="2">
        <f>IF(AND(表_网址[[#This Row],[首要关键词]]=K175,表_网址[[#This Row],[次要关键词]]=L175,表_网址[[#This Row],[重点关键词]]=M175),E175+1,IF(表_网址[[#This Row],[重点关键词]]="",100,101))</f>
        <v>104</v>
      </c>
      <c r="F176" t="s">
        <v>129</v>
      </c>
      <c r="G176" t="s">
        <v>130</v>
      </c>
      <c r="H176" t="s">
        <v>29</v>
      </c>
      <c r="I176" t="s">
        <v>131</v>
      </c>
      <c r="J176" t="s">
        <v>1898</v>
      </c>
      <c r="K176" t="s">
        <v>24</v>
      </c>
      <c r="L176" t="s">
        <v>26</v>
      </c>
      <c r="M176" t="s">
        <v>122</v>
      </c>
      <c r="N176" t="s">
        <v>1848</v>
      </c>
      <c r="Q176">
        <v>16</v>
      </c>
    </row>
    <row r="177" spans="1:17" x14ac:dyDescent="0.2">
      <c r="A177" t="str">
        <f ca="1">表_网址[[#This Row],[1级]]&amp;"-"&amp;表_网址[[#This Row],[2级]]&amp;"-"&amp;表_网址[[#This Row],[3级]]&amp;"-"&amp;表_网址[[#This Row],[级内]]</f>
        <v>8003-11-13-105</v>
      </c>
      <c r="B177" s="2">
        <f ca="1">MATCH(表_网址[[#This Row],[版层分类]],序列_版层分类,0)*1000+MATCH(表_网址[[#This Row],[首要关键词]],序列_首要关键词,0)</f>
        <v>8003</v>
      </c>
      <c r="C177" s="2">
        <f ca="1">IF(表_网址[[#This Row],[次要关键词]]="",10,MATCH(表_网址[[#This Row],[次要关键词]],序列_次要关键词,0)+10)</f>
        <v>11</v>
      </c>
      <c r="D177">
        <f ca="1">IF(表_网址[[#This Row],[重点关键词]]="",10,MATCH(表_网址[[#This Row],[重点关键词]],序列_重点关键词,0)+10)</f>
        <v>13</v>
      </c>
      <c r="E177" s="2">
        <f>IF(AND(表_网址[[#This Row],[首要关键词]]=K176,表_网址[[#This Row],[次要关键词]]=L176,表_网址[[#This Row],[重点关键词]]=M176),E176+1,IF(表_网址[[#This Row],[重点关键词]]="",100,101))</f>
        <v>105</v>
      </c>
      <c r="F177" t="s">
        <v>132</v>
      </c>
      <c r="G177" t="s">
        <v>133</v>
      </c>
      <c r="H177" t="s">
        <v>29</v>
      </c>
      <c r="I177" t="s">
        <v>134</v>
      </c>
      <c r="J177" t="s">
        <v>1898</v>
      </c>
      <c r="K177" t="s">
        <v>24</v>
      </c>
      <c r="L177" t="s">
        <v>26</v>
      </c>
      <c r="M177" t="s">
        <v>122</v>
      </c>
      <c r="N177" t="s">
        <v>1848</v>
      </c>
      <c r="Q177">
        <v>16</v>
      </c>
    </row>
    <row r="178" spans="1:17" x14ac:dyDescent="0.2">
      <c r="A178" t="str">
        <f ca="1">表_网址[[#This Row],[1级]]&amp;"-"&amp;表_网址[[#This Row],[2级]]&amp;"-"&amp;表_网址[[#This Row],[3级]]&amp;"-"&amp;表_网址[[#This Row],[级内]]</f>
        <v>8003-11-13-106</v>
      </c>
      <c r="B178" s="2">
        <f ca="1">MATCH(表_网址[[#This Row],[版层分类]],序列_版层分类,0)*1000+MATCH(表_网址[[#This Row],[首要关键词]],序列_首要关键词,0)</f>
        <v>8003</v>
      </c>
      <c r="C178" s="2">
        <f ca="1">IF(表_网址[[#This Row],[次要关键词]]="",10,MATCH(表_网址[[#This Row],[次要关键词]],序列_次要关键词,0)+10)</f>
        <v>11</v>
      </c>
      <c r="D178">
        <f ca="1">IF(表_网址[[#This Row],[重点关键词]]="",10,MATCH(表_网址[[#This Row],[重点关键词]],序列_重点关键词,0)+10)</f>
        <v>13</v>
      </c>
      <c r="E178" s="2">
        <f>IF(AND(表_网址[[#This Row],[首要关键词]]=K177,表_网址[[#This Row],[次要关键词]]=L177,表_网址[[#This Row],[重点关键词]]=M177),E177+1,IF(表_网址[[#This Row],[重点关键词]]="",100,101))</f>
        <v>106</v>
      </c>
      <c r="F178" t="s">
        <v>135</v>
      </c>
      <c r="G178" t="s">
        <v>136</v>
      </c>
      <c r="H178" t="s">
        <v>29</v>
      </c>
      <c r="I178" t="s">
        <v>137</v>
      </c>
      <c r="J178" t="s">
        <v>1898</v>
      </c>
      <c r="K178" t="s">
        <v>24</v>
      </c>
      <c r="L178" t="s">
        <v>26</v>
      </c>
      <c r="M178" t="s">
        <v>122</v>
      </c>
      <c r="N178" t="s">
        <v>1848</v>
      </c>
      <c r="Q178">
        <v>32</v>
      </c>
    </row>
    <row r="179" spans="1:17" x14ac:dyDescent="0.2">
      <c r="A179" t="str">
        <f ca="1">表_网址[[#This Row],[1级]]&amp;"-"&amp;表_网址[[#This Row],[2级]]&amp;"-"&amp;表_网址[[#This Row],[3级]]&amp;"-"&amp;表_网址[[#This Row],[级内]]</f>
        <v>8003-11-13-107</v>
      </c>
      <c r="B179" s="2">
        <f ca="1">MATCH(表_网址[[#This Row],[版层分类]],序列_版层分类,0)*1000+MATCH(表_网址[[#This Row],[首要关键词]],序列_首要关键词,0)</f>
        <v>8003</v>
      </c>
      <c r="C179" s="2">
        <f ca="1">IF(表_网址[[#This Row],[次要关键词]]="",10,MATCH(表_网址[[#This Row],[次要关键词]],序列_次要关键词,0)+10)</f>
        <v>11</v>
      </c>
      <c r="D179">
        <f ca="1">IF(表_网址[[#This Row],[重点关键词]]="",10,MATCH(表_网址[[#This Row],[重点关键词]],序列_重点关键词,0)+10)</f>
        <v>13</v>
      </c>
      <c r="E179" s="2">
        <f>IF(AND(表_网址[[#This Row],[首要关键词]]=K178,表_网址[[#This Row],[次要关键词]]=L178,表_网址[[#This Row],[重点关键词]]=M178),E178+1,IF(表_网址[[#This Row],[重点关键词]]="",100,101))</f>
        <v>107</v>
      </c>
      <c r="F179" t="s">
        <v>138</v>
      </c>
      <c r="G179" t="s">
        <v>139</v>
      </c>
      <c r="H179" t="s">
        <v>29</v>
      </c>
      <c r="I179" t="s">
        <v>140</v>
      </c>
      <c r="J179" t="s">
        <v>1898</v>
      </c>
      <c r="K179" t="s">
        <v>24</v>
      </c>
      <c r="L179" t="s">
        <v>26</v>
      </c>
      <c r="M179" t="s">
        <v>122</v>
      </c>
      <c r="N179" t="s">
        <v>1848</v>
      </c>
    </row>
    <row r="180" spans="1:17" x14ac:dyDescent="0.2">
      <c r="A180" t="str">
        <f ca="1">表_网址[[#This Row],[1级]]&amp;"-"&amp;表_网址[[#This Row],[2级]]&amp;"-"&amp;表_网址[[#This Row],[3级]]&amp;"-"&amp;表_网址[[#This Row],[级内]]</f>
        <v>8003-11-13-108</v>
      </c>
      <c r="B180" s="2">
        <f ca="1">MATCH(表_网址[[#This Row],[版层分类]],序列_版层分类,0)*1000+MATCH(表_网址[[#This Row],[首要关键词]],序列_首要关键词,0)</f>
        <v>8003</v>
      </c>
      <c r="C180" s="2">
        <f ca="1">IF(表_网址[[#This Row],[次要关键词]]="",10,MATCH(表_网址[[#This Row],[次要关键词]],序列_次要关键词,0)+10)</f>
        <v>11</v>
      </c>
      <c r="D180">
        <f ca="1">IF(表_网址[[#This Row],[重点关键词]]="",10,MATCH(表_网址[[#This Row],[重点关键词]],序列_重点关键词,0)+10)</f>
        <v>13</v>
      </c>
      <c r="E180" s="2">
        <f>IF(AND(表_网址[[#This Row],[首要关键词]]=K179,表_网址[[#This Row],[次要关键词]]=L179,表_网址[[#This Row],[重点关键词]]=M179),E179+1,IF(表_网址[[#This Row],[重点关键词]]="",100,101))</f>
        <v>108</v>
      </c>
      <c r="F180" t="s">
        <v>141</v>
      </c>
      <c r="G180" t="s">
        <v>142</v>
      </c>
      <c r="H180" t="s">
        <v>29</v>
      </c>
      <c r="I180" t="s">
        <v>143</v>
      </c>
      <c r="J180" t="s">
        <v>1898</v>
      </c>
      <c r="K180" t="s">
        <v>24</v>
      </c>
      <c r="L180" t="s">
        <v>26</v>
      </c>
      <c r="M180" t="s">
        <v>122</v>
      </c>
      <c r="N180" t="s">
        <v>1848</v>
      </c>
      <c r="Q180">
        <v>16</v>
      </c>
    </row>
    <row r="181" spans="1:17" x14ac:dyDescent="0.2">
      <c r="A181" t="str">
        <f ca="1">表_网址[[#This Row],[1级]]&amp;"-"&amp;表_网址[[#This Row],[2级]]&amp;"-"&amp;表_网址[[#This Row],[3级]]&amp;"-"&amp;表_网址[[#This Row],[级内]]</f>
        <v>8003-11-13-109</v>
      </c>
      <c r="B181" s="2">
        <f ca="1">MATCH(表_网址[[#This Row],[版层分类]],序列_版层分类,0)*1000+MATCH(表_网址[[#This Row],[首要关键词]],序列_首要关键词,0)</f>
        <v>8003</v>
      </c>
      <c r="C181" s="2">
        <f ca="1">IF(表_网址[[#This Row],[次要关键词]]="",10,MATCH(表_网址[[#This Row],[次要关键词]],序列_次要关键词,0)+10)</f>
        <v>11</v>
      </c>
      <c r="D181">
        <f ca="1">IF(表_网址[[#This Row],[重点关键词]]="",10,MATCH(表_网址[[#This Row],[重点关键词]],序列_重点关键词,0)+10)</f>
        <v>13</v>
      </c>
      <c r="E181" s="2">
        <f>IF(AND(表_网址[[#This Row],[首要关键词]]=K180,表_网址[[#This Row],[次要关键词]]=L180,表_网址[[#This Row],[重点关键词]]=M180),E180+1,IF(表_网址[[#This Row],[重点关键词]]="",100,101))</f>
        <v>109</v>
      </c>
      <c r="F181" t="s">
        <v>144</v>
      </c>
      <c r="G181" t="s">
        <v>145</v>
      </c>
      <c r="H181" t="s">
        <v>29</v>
      </c>
      <c r="I181" t="s">
        <v>146</v>
      </c>
      <c r="J181" t="s">
        <v>1898</v>
      </c>
      <c r="K181" t="s">
        <v>24</v>
      </c>
      <c r="L181" t="s">
        <v>26</v>
      </c>
      <c r="M181" t="s">
        <v>122</v>
      </c>
      <c r="N181" t="s">
        <v>1848</v>
      </c>
      <c r="Q181">
        <v>16</v>
      </c>
    </row>
    <row r="182" spans="1:17" x14ac:dyDescent="0.2">
      <c r="A182" t="str">
        <f ca="1">表_网址[[#This Row],[1级]]&amp;"-"&amp;表_网址[[#This Row],[2级]]&amp;"-"&amp;表_网址[[#This Row],[3级]]&amp;"-"&amp;表_网址[[#This Row],[级内]]</f>
        <v>8003-11-13-110</v>
      </c>
      <c r="B182" s="2">
        <f ca="1">MATCH(表_网址[[#This Row],[版层分类]],序列_版层分类,0)*1000+MATCH(表_网址[[#This Row],[首要关键词]],序列_首要关键词,0)</f>
        <v>8003</v>
      </c>
      <c r="C182" s="2">
        <f ca="1">IF(表_网址[[#This Row],[次要关键词]]="",10,MATCH(表_网址[[#This Row],[次要关键词]],序列_次要关键词,0)+10)</f>
        <v>11</v>
      </c>
      <c r="D182">
        <f ca="1">IF(表_网址[[#This Row],[重点关键词]]="",10,MATCH(表_网址[[#This Row],[重点关键词]],序列_重点关键词,0)+10)</f>
        <v>13</v>
      </c>
      <c r="E182" s="2">
        <f>IF(AND(表_网址[[#This Row],[首要关键词]]=K181,表_网址[[#This Row],[次要关键词]]=L181,表_网址[[#This Row],[重点关键词]]=M181),E181+1,IF(表_网址[[#This Row],[重点关键词]]="",100,101))</f>
        <v>110</v>
      </c>
      <c r="F182" t="s">
        <v>147</v>
      </c>
      <c r="G182" t="s">
        <v>148</v>
      </c>
      <c r="H182" t="s">
        <v>29</v>
      </c>
      <c r="I182" t="s">
        <v>149</v>
      </c>
      <c r="J182" t="s">
        <v>1898</v>
      </c>
      <c r="K182" t="s">
        <v>24</v>
      </c>
      <c r="L182" t="s">
        <v>26</v>
      </c>
      <c r="M182" t="s">
        <v>122</v>
      </c>
      <c r="N182" t="s">
        <v>1848</v>
      </c>
      <c r="Q182">
        <v>19</v>
      </c>
    </row>
    <row r="183" spans="1:17" x14ac:dyDescent="0.2">
      <c r="A183" t="str">
        <f ca="1">表_网址[[#This Row],[1级]]&amp;"-"&amp;表_网址[[#This Row],[2级]]&amp;"-"&amp;表_网址[[#This Row],[3级]]&amp;"-"&amp;表_网址[[#This Row],[级内]]</f>
        <v>8003-11-13-111</v>
      </c>
      <c r="B183" s="2">
        <f ca="1">MATCH(表_网址[[#This Row],[版层分类]],序列_版层分类,0)*1000+MATCH(表_网址[[#This Row],[首要关键词]],序列_首要关键词,0)</f>
        <v>8003</v>
      </c>
      <c r="C183" s="2">
        <f ca="1">IF(表_网址[[#This Row],[次要关键词]]="",10,MATCH(表_网址[[#This Row],[次要关键词]],序列_次要关键词,0)+10)</f>
        <v>11</v>
      </c>
      <c r="D183">
        <f ca="1">IF(表_网址[[#This Row],[重点关键词]]="",10,MATCH(表_网址[[#This Row],[重点关键词]],序列_重点关键词,0)+10)</f>
        <v>13</v>
      </c>
      <c r="E183" s="2">
        <f>IF(AND(表_网址[[#This Row],[首要关键词]]=K182,表_网址[[#This Row],[次要关键词]]=L182,表_网址[[#This Row],[重点关键词]]=M182),E182+1,IF(表_网址[[#This Row],[重点关键词]]="",100,101))</f>
        <v>111</v>
      </c>
      <c r="F183" t="s">
        <v>150</v>
      </c>
      <c r="G183" t="s">
        <v>151</v>
      </c>
      <c r="H183" t="s">
        <v>29</v>
      </c>
      <c r="I183" t="s">
        <v>152</v>
      </c>
      <c r="J183" t="s">
        <v>1898</v>
      </c>
      <c r="K183" t="s">
        <v>24</v>
      </c>
      <c r="L183" t="s">
        <v>26</v>
      </c>
      <c r="M183" t="s">
        <v>122</v>
      </c>
      <c r="N183" t="s">
        <v>1848</v>
      </c>
    </row>
    <row r="184" spans="1:17" x14ac:dyDescent="0.2">
      <c r="A184" t="str">
        <f ca="1">表_网址[[#This Row],[1级]]&amp;"-"&amp;表_网址[[#This Row],[2级]]&amp;"-"&amp;表_网址[[#This Row],[3级]]&amp;"-"&amp;表_网址[[#This Row],[级内]]</f>
        <v>8003-11-13-112</v>
      </c>
      <c r="B184" s="2">
        <f ca="1">MATCH(表_网址[[#This Row],[版层分类]],序列_版层分类,0)*1000+MATCH(表_网址[[#This Row],[首要关键词]],序列_首要关键词,0)</f>
        <v>8003</v>
      </c>
      <c r="C184" s="2">
        <f ca="1">IF(表_网址[[#This Row],[次要关键词]]="",10,MATCH(表_网址[[#This Row],[次要关键词]],序列_次要关键词,0)+10)</f>
        <v>11</v>
      </c>
      <c r="D184">
        <f ca="1">IF(表_网址[[#This Row],[重点关键词]]="",10,MATCH(表_网址[[#This Row],[重点关键词]],序列_重点关键词,0)+10)</f>
        <v>13</v>
      </c>
      <c r="E184" s="2">
        <f>IF(AND(表_网址[[#This Row],[首要关键词]]=K183,表_网址[[#This Row],[次要关键词]]=L183,表_网址[[#This Row],[重点关键词]]=M183),E183+1,IF(表_网址[[#This Row],[重点关键词]]="",100,101))</f>
        <v>112</v>
      </c>
      <c r="F184" t="s">
        <v>153</v>
      </c>
      <c r="G184" t="s">
        <v>154</v>
      </c>
      <c r="H184" t="s">
        <v>29</v>
      </c>
      <c r="I184" t="s">
        <v>155</v>
      </c>
      <c r="J184" t="s">
        <v>1898</v>
      </c>
      <c r="K184" t="s">
        <v>24</v>
      </c>
      <c r="L184" t="s">
        <v>26</v>
      </c>
      <c r="M184" t="s">
        <v>122</v>
      </c>
      <c r="N184" t="s">
        <v>1848</v>
      </c>
    </row>
    <row r="185" spans="1:17" x14ac:dyDescent="0.2">
      <c r="A185" t="str">
        <f ca="1">表_网址[[#This Row],[1级]]&amp;"-"&amp;表_网址[[#This Row],[2级]]&amp;"-"&amp;表_网址[[#This Row],[3级]]&amp;"-"&amp;表_网址[[#This Row],[级内]]</f>
        <v>8003-11-13-113</v>
      </c>
      <c r="B185" s="2">
        <f ca="1">MATCH(表_网址[[#This Row],[版层分类]],序列_版层分类,0)*1000+MATCH(表_网址[[#This Row],[首要关键词]],序列_首要关键词,0)</f>
        <v>8003</v>
      </c>
      <c r="C185" s="2">
        <f ca="1">IF(表_网址[[#This Row],[次要关键词]]="",10,MATCH(表_网址[[#This Row],[次要关键词]],序列_次要关键词,0)+10)</f>
        <v>11</v>
      </c>
      <c r="D185">
        <f ca="1">IF(表_网址[[#This Row],[重点关键词]]="",10,MATCH(表_网址[[#This Row],[重点关键词]],序列_重点关键词,0)+10)</f>
        <v>13</v>
      </c>
      <c r="E185" s="2">
        <f>IF(AND(表_网址[[#This Row],[首要关键词]]=K184,表_网址[[#This Row],[次要关键词]]=L184,表_网址[[#This Row],[重点关键词]]=M184),E184+1,IF(表_网址[[#This Row],[重点关键词]]="",100,101))</f>
        <v>113</v>
      </c>
      <c r="F185" t="s">
        <v>156</v>
      </c>
      <c r="G185" t="s">
        <v>157</v>
      </c>
      <c r="H185" t="s">
        <v>29</v>
      </c>
      <c r="I185" t="s">
        <v>158</v>
      </c>
      <c r="J185" t="s">
        <v>1898</v>
      </c>
      <c r="K185" t="s">
        <v>24</v>
      </c>
      <c r="L185" t="s">
        <v>26</v>
      </c>
      <c r="M185" t="s">
        <v>122</v>
      </c>
      <c r="N185" t="s">
        <v>1848</v>
      </c>
      <c r="Q185">
        <v>32</v>
      </c>
    </row>
    <row r="186" spans="1:17" x14ac:dyDescent="0.2">
      <c r="A186" t="str">
        <f ca="1">表_网址[[#This Row],[1级]]&amp;"-"&amp;表_网址[[#This Row],[2级]]&amp;"-"&amp;表_网址[[#This Row],[3级]]&amp;"-"&amp;表_网址[[#This Row],[级内]]</f>
        <v>8003-11-13-114</v>
      </c>
      <c r="B186" s="2">
        <f ca="1">MATCH(表_网址[[#This Row],[版层分类]],序列_版层分类,0)*1000+MATCH(表_网址[[#This Row],[首要关键词]],序列_首要关键词,0)</f>
        <v>8003</v>
      </c>
      <c r="C186" s="2">
        <f ca="1">IF(表_网址[[#This Row],[次要关键词]]="",10,MATCH(表_网址[[#This Row],[次要关键词]],序列_次要关键词,0)+10)</f>
        <v>11</v>
      </c>
      <c r="D186">
        <f ca="1">IF(表_网址[[#This Row],[重点关键词]]="",10,MATCH(表_网址[[#This Row],[重点关键词]],序列_重点关键词,0)+10)</f>
        <v>13</v>
      </c>
      <c r="E186" s="2">
        <f>IF(AND(表_网址[[#This Row],[首要关键词]]=K185,表_网址[[#This Row],[次要关键词]]=L185,表_网址[[#This Row],[重点关键词]]=M185),E185+1,IF(表_网址[[#This Row],[重点关键词]]="",100,101))</f>
        <v>114</v>
      </c>
      <c r="F186" t="s">
        <v>159</v>
      </c>
      <c r="G186" t="s">
        <v>160</v>
      </c>
      <c r="H186" t="s">
        <v>29</v>
      </c>
      <c r="I186" t="s">
        <v>161</v>
      </c>
      <c r="J186" t="s">
        <v>1898</v>
      </c>
      <c r="K186" t="s">
        <v>24</v>
      </c>
      <c r="L186" t="s">
        <v>26</v>
      </c>
      <c r="M186" t="s">
        <v>122</v>
      </c>
      <c r="N186" t="s">
        <v>1848</v>
      </c>
    </row>
    <row r="187" spans="1:17" x14ac:dyDescent="0.2">
      <c r="A187" t="str">
        <f ca="1">表_网址[[#This Row],[1级]]&amp;"-"&amp;表_网址[[#This Row],[2级]]&amp;"-"&amp;表_网址[[#This Row],[3级]]&amp;"-"&amp;表_网址[[#This Row],[级内]]</f>
        <v>8003-11-14-101</v>
      </c>
      <c r="B187" s="2">
        <f ca="1">MATCH(表_网址[[#This Row],[版层分类]],序列_版层分类,0)*1000+MATCH(表_网址[[#This Row],[首要关键词]],序列_首要关键词,0)</f>
        <v>8003</v>
      </c>
      <c r="C187" s="2">
        <f ca="1">IF(表_网址[[#This Row],[次要关键词]]="",10,MATCH(表_网址[[#This Row],[次要关键词]],序列_次要关键词,0)+10)</f>
        <v>11</v>
      </c>
      <c r="D187">
        <f ca="1">IF(表_网址[[#This Row],[重点关键词]]="",10,MATCH(表_网址[[#This Row],[重点关键词]],序列_重点关键词,0)+10)</f>
        <v>14</v>
      </c>
      <c r="E187" s="2">
        <f>IF(AND(表_网址[[#This Row],[首要关键词]]=K186,表_网址[[#This Row],[次要关键词]]=L186,表_网址[[#This Row],[重点关键词]]=M186),E186+1,IF(表_网址[[#This Row],[重点关键词]]="",100,101))</f>
        <v>101</v>
      </c>
      <c r="F187" t="s">
        <v>162</v>
      </c>
      <c r="G187" t="s">
        <v>163</v>
      </c>
      <c r="H187" t="s">
        <v>29</v>
      </c>
      <c r="I187" t="s">
        <v>164</v>
      </c>
      <c r="J187" t="s">
        <v>1898</v>
      </c>
      <c r="K187" t="s">
        <v>24</v>
      </c>
      <c r="L187" t="s">
        <v>26</v>
      </c>
      <c r="M187" t="s">
        <v>165</v>
      </c>
      <c r="N187" t="s">
        <v>1848</v>
      </c>
    </row>
    <row r="188" spans="1:17" x14ac:dyDescent="0.2">
      <c r="A188" t="str">
        <f ca="1">表_网址[[#This Row],[1级]]&amp;"-"&amp;表_网址[[#This Row],[2级]]&amp;"-"&amp;表_网址[[#This Row],[3级]]&amp;"-"&amp;表_网址[[#This Row],[级内]]</f>
        <v>8003-11-14-102</v>
      </c>
      <c r="B188" s="2">
        <f ca="1">MATCH(表_网址[[#This Row],[版层分类]],序列_版层分类,0)*1000+MATCH(表_网址[[#This Row],[首要关键词]],序列_首要关键词,0)</f>
        <v>8003</v>
      </c>
      <c r="C188" s="2">
        <f ca="1">IF(表_网址[[#This Row],[次要关键词]]="",10,MATCH(表_网址[[#This Row],[次要关键词]],序列_次要关键词,0)+10)</f>
        <v>11</v>
      </c>
      <c r="D188">
        <f ca="1">IF(表_网址[[#This Row],[重点关键词]]="",10,MATCH(表_网址[[#This Row],[重点关键词]],序列_重点关键词,0)+10)</f>
        <v>14</v>
      </c>
      <c r="E188" s="2">
        <f>IF(AND(表_网址[[#This Row],[首要关键词]]=K187,表_网址[[#This Row],[次要关键词]]=L187,表_网址[[#This Row],[重点关键词]]=M187),E187+1,IF(表_网址[[#This Row],[重点关键词]]="",100,101))</f>
        <v>102</v>
      </c>
      <c r="F188" t="s">
        <v>166</v>
      </c>
      <c r="G188" t="s">
        <v>167</v>
      </c>
      <c r="H188" t="s">
        <v>29</v>
      </c>
      <c r="I188" t="s">
        <v>22</v>
      </c>
      <c r="J188" t="s">
        <v>1898</v>
      </c>
      <c r="K188" t="s">
        <v>24</v>
      </c>
      <c r="L188" t="s">
        <v>26</v>
      </c>
      <c r="M188" t="s">
        <v>165</v>
      </c>
      <c r="N188" t="s">
        <v>1848</v>
      </c>
      <c r="O188" t="s">
        <v>1166</v>
      </c>
      <c r="Q188">
        <v>16</v>
      </c>
    </row>
    <row r="189" spans="1:17" x14ac:dyDescent="0.2">
      <c r="A189" t="str">
        <f ca="1">表_网址[[#This Row],[1级]]&amp;"-"&amp;表_网址[[#This Row],[2级]]&amp;"-"&amp;表_网址[[#This Row],[3级]]&amp;"-"&amp;表_网址[[#This Row],[级内]]</f>
        <v>8003-11-14-103</v>
      </c>
      <c r="B189" s="2">
        <f ca="1">MATCH(表_网址[[#This Row],[版层分类]],序列_版层分类,0)*1000+MATCH(表_网址[[#This Row],[首要关键词]],序列_首要关键词,0)</f>
        <v>8003</v>
      </c>
      <c r="C189" s="2">
        <f ca="1">IF(表_网址[[#This Row],[次要关键词]]="",10,MATCH(表_网址[[#This Row],[次要关键词]],序列_次要关键词,0)+10)</f>
        <v>11</v>
      </c>
      <c r="D189">
        <f ca="1">IF(表_网址[[#This Row],[重点关键词]]="",10,MATCH(表_网址[[#This Row],[重点关键词]],序列_重点关键词,0)+10)</f>
        <v>14</v>
      </c>
      <c r="E189" s="2">
        <f>IF(AND(表_网址[[#This Row],[首要关键词]]=K188,表_网址[[#This Row],[次要关键词]]=L188,表_网址[[#This Row],[重点关键词]]=M188),E188+1,IF(表_网址[[#This Row],[重点关键词]]="",100,101))</f>
        <v>103</v>
      </c>
      <c r="F189" t="s">
        <v>168</v>
      </c>
      <c r="G189" t="s">
        <v>169</v>
      </c>
      <c r="H189" t="s">
        <v>29</v>
      </c>
      <c r="I189" t="s">
        <v>170</v>
      </c>
      <c r="J189" t="s">
        <v>1898</v>
      </c>
      <c r="K189" t="s">
        <v>24</v>
      </c>
      <c r="L189" t="s">
        <v>26</v>
      </c>
      <c r="M189" t="s">
        <v>165</v>
      </c>
      <c r="N189" t="s">
        <v>1848</v>
      </c>
    </row>
    <row r="190" spans="1:17" x14ac:dyDescent="0.2">
      <c r="A190" t="str">
        <f ca="1">表_网址[[#This Row],[1级]]&amp;"-"&amp;表_网址[[#This Row],[2级]]&amp;"-"&amp;表_网址[[#This Row],[3级]]&amp;"-"&amp;表_网址[[#This Row],[级内]]</f>
        <v>8003-11-14-104</v>
      </c>
      <c r="B190" s="2">
        <f ca="1">MATCH(表_网址[[#This Row],[版层分类]],序列_版层分类,0)*1000+MATCH(表_网址[[#This Row],[首要关键词]],序列_首要关键词,0)</f>
        <v>8003</v>
      </c>
      <c r="C190" s="2">
        <f ca="1">IF(表_网址[[#This Row],[次要关键词]]="",10,MATCH(表_网址[[#This Row],[次要关键词]],序列_次要关键词,0)+10)</f>
        <v>11</v>
      </c>
      <c r="D190">
        <f ca="1">IF(表_网址[[#This Row],[重点关键词]]="",10,MATCH(表_网址[[#This Row],[重点关键词]],序列_重点关键词,0)+10)</f>
        <v>14</v>
      </c>
      <c r="E190" s="2">
        <f>IF(AND(表_网址[[#This Row],[首要关键词]]=K189,表_网址[[#This Row],[次要关键词]]=L189,表_网址[[#This Row],[重点关键词]]=M189),E189+1,IF(表_网址[[#This Row],[重点关键词]]="",100,101))</f>
        <v>104</v>
      </c>
      <c r="F190" t="s">
        <v>171</v>
      </c>
      <c r="G190" t="s">
        <v>172</v>
      </c>
      <c r="H190" t="s">
        <v>29</v>
      </c>
      <c r="I190" t="s">
        <v>173</v>
      </c>
      <c r="J190" t="s">
        <v>1898</v>
      </c>
      <c r="K190" t="s">
        <v>24</v>
      </c>
      <c r="L190" t="s">
        <v>26</v>
      </c>
      <c r="M190" t="s">
        <v>165</v>
      </c>
      <c r="N190" t="s">
        <v>1848</v>
      </c>
    </row>
    <row r="191" spans="1:17" x14ac:dyDescent="0.2">
      <c r="A191" t="str">
        <f ca="1">表_网址[[#This Row],[1级]]&amp;"-"&amp;表_网址[[#This Row],[2级]]&amp;"-"&amp;表_网址[[#This Row],[3级]]&amp;"-"&amp;表_网址[[#This Row],[级内]]</f>
        <v>8003-11-14-105</v>
      </c>
      <c r="B191" s="2">
        <f ca="1">MATCH(表_网址[[#This Row],[版层分类]],序列_版层分类,0)*1000+MATCH(表_网址[[#This Row],[首要关键词]],序列_首要关键词,0)</f>
        <v>8003</v>
      </c>
      <c r="C191" s="2">
        <f ca="1">IF(表_网址[[#This Row],[次要关键词]]="",10,MATCH(表_网址[[#This Row],[次要关键词]],序列_次要关键词,0)+10)</f>
        <v>11</v>
      </c>
      <c r="D191">
        <f ca="1">IF(表_网址[[#This Row],[重点关键词]]="",10,MATCH(表_网址[[#This Row],[重点关键词]],序列_重点关键词,0)+10)</f>
        <v>14</v>
      </c>
      <c r="E191" s="2">
        <f>IF(AND(表_网址[[#This Row],[首要关键词]]=K190,表_网址[[#This Row],[次要关键词]]=L190,表_网址[[#This Row],[重点关键词]]=M190),E190+1,IF(表_网址[[#This Row],[重点关键词]]="",100,101))</f>
        <v>105</v>
      </c>
      <c r="F191" t="s">
        <v>174</v>
      </c>
      <c r="G191" t="s">
        <v>175</v>
      </c>
      <c r="H191" t="s">
        <v>29</v>
      </c>
      <c r="I191" t="s">
        <v>176</v>
      </c>
      <c r="J191" t="s">
        <v>1898</v>
      </c>
      <c r="K191" t="s">
        <v>24</v>
      </c>
      <c r="L191" t="s">
        <v>26</v>
      </c>
      <c r="M191" t="s">
        <v>165</v>
      </c>
      <c r="N191" t="s">
        <v>1848</v>
      </c>
      <c r="Q191">
        <v>16</v>
      </c>
    </row>
    <row r="192" spans="1:17" x14ac:dyDescent="0.2">
      <c r="A192" t="str">
        <f ca="1">表_网址[[#This Row],[1级]]&amp;"-"&amp;表_网址[[#This Row],[2级]]&amp;"-"&amp;表_网址[[#This Row],[3级]]&amp;"-"&amp;表_网址[[#This Row],[级内]]</f>
        <v>8003-11-14-106</v>
      </c>
      <c r="B192" s="2">
        <f ca="1">MATCH(表_网址[[#This Row],[版层分类]],序列_版层分类,0)*1000+MATCH(表_网址[[#This Row],[首要关键词]],序列_首要关键词,0)</f>
        <v>8003</v>
      </c>
      <c r="C192" s="2">
        <f ca="1">IF(表_网址[[#This Row],[次要关键词]]="",10,MATCH(表_网址[[#This Row],[次要关键词]],序列_次要关键词,0)+10)</f>
        <v>11</v>
      </c>
      <c r="D192">
        <f ca="1">IF(表_网址[[#This Row],[重点关键词]]="",10,MATCH(表_网址[[#This Row],[重点关键词]],序列_重点关键词,0)+10)</f>
        <v>14</v>
      </c>
      <c r="E192" s="2">
        <f>IF(AND(表_网址[[#This Row],[首要关键词]]=K191,表_网址[[#This Row],[次要关键词]]=L191,表_网址[[#This Row],[重点关键词]]=M191),E191+1,IF(表_网址[[#This Row],[重点关键词]]="",100,101))</f>
        <v>106</v>
      </c>
      <c r="F192" t="s">
        <v>177</v>
      </c>
      <c r="G192" t="s">
        <v>178</v>
      </c>
      <c r="H192" t="s">
        <v>29</v>
      </c>
      <c r="I192" t="s">
        <v>179</v>
      </c>
      <c r="J192" t="s">
        <v>1898</v>
      </c>
      <c r="K192" t="s">
        <v>24</v>
      </c>
      <c r="L192" t="s">
        <v>26</v>
      </c>
      <c r="M192" t="s">
        <v>165</v>
      </c>
      <c r="N192" t="s">
        <v>1848</v>
      </c>
      <c r="Q192">
        <v>256</v>
      </c>
    </row>
    <row r="193" spans="1:17" x14ac:dyDescent="0.2">
      <c r="A193" t="str">
        <f ca="1">表_网址[[#This Row],[1级]]&amp;"-"&amp;表_网址[[#This Row],[2级]]&amp;"-"&amp;表_网址[[#This Row],[3级]]&amp;"-"&amp;表_网址[[#This Row],[级内]]</f>
        <v>8003-11-15-101</v>
      </c>
      <c r="B193" s="2">
        <f ca="1">MATCH(表_网址[[#This Row],[版层分类]],序列_版层分类,0)*1000+MATCH(表_网址[[#This Row],[首要关键词]],序列_首要关键词,0)</f>
        <v>8003</v>
      </c>
      <c r="C193" s="2">
        <f ca="1">IF(表_网址[[#This Row],[次要关键词]]="",10,MATCH(表_网址[[#This Row],[次要关键词]],序列_次要关键词,0)+10)</f>
        <v>11</v>
      </c>
      <c r="D193">
        <f ca="1">IF(表_网址[[#This Row],[重点关键词]]="",10,MATCH(表_网址[[#This Row],[重点关键词]],序列_重点关键词,0)+10)</f>
        <v>15</v>
      </c>
      <c r="E193" s="2">
        <f>IF(AND(表_网址[[#This Row],[首要关键词]]=K192,表_网址[[#This Row],[次要关键词]]=L192,表_网址[[#This Row],[重点关键词]]=M192),E192+1,IF(表_网址[[#This Row],[重点关键词]]="",100,101))</f>
        <v>101</v>
      </c>
      <c r="F193" t="s">
        <v>180</v>
      </c>
      <c r="G193" t="s">
        <v>181</v>
      </c>
      <c r="H193" t="s">
        <v>29</v>
      </c>
      <c r="I193" t="s">
        <v>182</v>
      </c>
      <c r="J193" t="s">
        <v>1898</v>
      </c>
      <c r="K193" t="s">
        <v>24</v>
      </c>
      <c r="L193" t="s">
        <v>26</v>
      </c>
      <c r="M193" t="s">
        <v>183</v>
      </c>
      <c r="N193" t="s">
        <v>1848</v>
      </c>
    </row>
    <row r="194" spans="1:17" x14ac:dyDescent="0.2">
      <c r="A194" t="str">
        <f ca="1">表_网址[[#This Row],[1级]]&amp;"-"&amp;表_网址[[#This Row],[2级]]&amp;"-"&amp;表_网址[[#This Row],[3级]]&amp;"-"&amp;表_网址[[#This Row],[级内]]</f>
        <v>8003-11-15-102</v>
      </c>
      <c r="B194" s="2">
        <f ca="1">MATCH(表_网址[[#This Row],[版层分类]],序列_版层分类,0)*1000+MATCH(表_网址[[#This Row],[首要关键词]],序列_首要关键词,0)</f>
        <v>8003</v>
      </c>
      <c r="C194" s="2">
        <f ca="1">IF(表_网址[[#This Row],[次要关键词]]="",10,MATCH(表_网址[[#This Row],[次要关键词]],序列_次要关键词,0)+10)</f>
        <v>11</v>
      </c>
      <c r="D194">
        <f ca="1">IF(表_网址[[#This Row],[重点关键词]]="",10,MATCH(表_网址[[#This Row],[重点关键词]],序列_重点关键词,0)+10)</f>
        <v>15</v>
      </c>
      <c r="E194" s="2">
        <f>IF(AND(表_网址[[#This Row],[首要关键词]]=K193,表_网址[[#This Row],[次要关键词]]=L193,表_网址[[#This Row],[重点关键词]]=M193),E193+1,IF(表_网址[[#This Row],[重点关键词]]="",100,101))</f>
        <v>102</v>
      </c>
      <c r="F194" t="s">
        <v>184</v>
      </c>
      <c r="G194" t="s">
        <v>185</v>
      </c>
      <c r="H194" t="s">
        <v>29</v>
      </c>
      <c r="I194" t="s">
        <v>186</v>
      </c>
      <c r="J194" t="s">
        <v>1898</v>
      </c>
      <c r="K194" t="s">
        <v>24</v>
      </c>
      <c r="L194" t="s">
        <v>26</v>
      </c>
      <c r="M194" t="s">
        <v>183</v>
      </c>
      <c r="N194" t="s">
        <v>1848</v>
      </c>
      <c r="O194" t="s">
        <v>1166</v>
      </c>
      <c r="Q194">
        <v>64</v>
      </c>
    </row>
    <row r="195" spans="1:17" x14ac:dyDescent="0.2">
      <c r="A195" t="str">
        <f ca="1">表_网址[[#This Row],[1级]]&amp;"-"&amp;表_网址[[#This Row],[2级]]&amp;"-"&amp;表_网址[[#This Row],[3级]]&amp;"-"&amp;表_网址[[#This Row],[级内]]</f>
        <v>8003-11-15-103</v>
      </c>
      <c r="B195" s="2">
        <f ca="1">MATCH(表_网址[[#This Row],[版层分类]],序列_版层分类,0)*1000+MATCH(表_网址[[#This Row],[首要关键词]],序列_首要关键词,0)</f>
        <v>8003</v>
      </c>
      <c r="C195" s="2">
        <f ca="1">IF(表_网址[[#This Row],[次要关键词]]="",10,MATCH(表_网址[[#This Row],[次要关键词]],序列_次要关键词,0)+10)</f>
        <v>11</v>
      </c>
      <c r="D195">
        <f ca="1">IF(表_网址[[#This Row],[重点关键词]]="",10,MATCH(表_网址[[#This Row],[重点关键词]],序列_重点关键词,0)+10)</f>
        <v>15</v>
      </c>
      <c r="E195" s="2">
        <f>IF(AND(表_网址[[#This Row],[首要关键词]]=K194,表_网址[[#This Row],[次要关键词]]=L194,表_网址[[#This Row],[重点关键词]]=M194),E194+1,IF(表_网址[[#This Row],[重点关键词]]="",100,101))</f>
        <v>103</v>
      </c>
      <c r="F195" t="s">
        <v>187</v>
      </c>
      <c r="G195" t="s">
        <v>188</v>
      </c>
      <c r="H195" t="s">
        <v>29</v>
      </c>
      <c r="I195" t="s">
        <v>189</v>
      </c>
      <c r="J195" t="s">
        <v>1898</v>
      </c>
      <c r="K195" t="s">
        <v>24</v>
      </c>
      <c r="L195" t="s">
        <v>26</v>
      </c>
      <c r="M195" t="s">
        <v>183</v>
      </c>
      <c r="N195" t="s">
        <v>1848</v>
      </c>
      <c r="Q195">
        <v>16</v>
      </c>
    </row>
    <row r="196" spans="1:17" x14ac:dyDescent="0.2">
      <c r="A196" t="str">
        <f ca="1">表_网址[[#This Row],[1级]]&amp;"-"&amp;表_网址[[#This Row],[2级]]&amp;"-"&amp;表_网址[[#This Row],[3级]]&amp;"-"&amp;表_网址[[#This Row],[级内]]</f>
        <v>8003-11-15-104</v>
      </c>
      <c r="B196" s="2">
        <f ca="1">MATCH(表_网址[[#This Row],[版层分类]],序列_版层分类,0)*1000+MATCH(表_网址[[#This Row],[首要关键词]],序列_首要关键词,0)</f>
        <v>8003</v>
      </c>
      <c r="C196" s="2">
        <f ca="1">IF(表_网址[[#This Row],[次要关键词]]="",10,MATCH(表_网址[[#This Row],[次要关键词]],序列_次要关键词,0)+10)</f>
        <v>11</v>
      </c>
      <c r="D196">
        <f ca="1">IF(表_网址[[#This Row],[重点关键词]]="",10,MATCH(表_网址[[#This Row],[重点关键词]],序列_重点关键词,0)+10)</f>
        <v>15</v>
      </c>
      <c r="E196" s="2">
        <f>IF(AND(表_网址[[#This Row],[首要关键词]]=K195,表_网址[[#This Row],[次要关键词]]=L195,表_网址[[#This Row],[重点关键词]]=M195),E195+1,IF(表_网址[[#This Row],[重点关键词]]="",100,101))</f>
        <v>104</v>
      </c>
      <c r="F196" t="s">
        <v>190</v>
      </c>
      <c r="G196" t="s">
        <v>191</v>
      </c>
      <c r="H196" t="s">
        <v>29</v>
      </c>
      <c r="I196" t="s">
        <v>192</v>
      </c>
      <c r="J196" t="s">
        <v>1898</v>
      </c>
      <c r="K196" t="s">
        <v>24</v>
      </c>
      <c r="L196" t="s">
        <v>26</v>
      </c>
      <c r="M196" t="s">
        <v>183</v>
      </c>
      <c r="N196" t="s">
        <v>1848</v>
      </c>
      <c r="O196" t="s">
        <v>1166</v>
      </c>
      <c r="Q196">
        <v>32</v>
      </c>
    </row>
    <row r="197" spans="1:17" x14ac:dyDescent="0.2">
      <c r="A197" t="str">
        <f ca="1">表_网址[[#This Row],[1级]]&amp;"-"&amp;表_网址[[#This Row],[2级]]&amp;"-"&amp;表_网址[[#This Row],[3级]]&amp;"-"&amp;表_网址[[#This Row],[级内]]</f>
        <v>8003-11-15-105</v>
      </c>
      <c r="B197" s="2">
        <f ca="1">MATCH(表_网址[[#This Row],[版层分类]],序列_版层分类,0)*1000+MATCH(表_网址[[#This Row],[首要关键词]],序列_首要关键词,0)</f>
        <v>8003</v>
      </c>
      <c r="C197" s="2">
        <f ca="1">IF(表_网址[[#This Row],[次要关键词]]="",10,MATCH(表_网址[[#This Row],[次要关键词]],序列_次要关键词,0)+10)</f>
        <v>11</v>
      </c>
      <c r="D197">
        <f ca="1">IF(表_网址[[#This Row],[重点关键词]]="",10,MATCH(表_网址[[#This Row],[重点关键词]],序列_重点关键词,0)+10)</f>
        <v>15</v>
      </c>
      <c r="E197" s="2">
        <f>IF(AND(表_网址[[#This Row],[首要关键词]]=K196,表_网址[[#This Row],[次要关键词]]=L196,表_网址[[#This Row],[重点关键词]]=M196),E196+1,IF(表_网址[[#This Row],[重点关键词]]="",100,101))</f>
        <v>105</v>
      </c>
      <c r="F197" t="s">
        <v>193</v>
      </c>
      <c r="G197" t="s">
        <v>194</v>
      </c>
      <c r="H197" t="s">
        <v>29</v>
      </c>
      <c r="I197" t="s">
        <v>195</v>
      </c>
      <c r="J197" t="s">
        <v>1898</v>
      </c>
      <c r="K197" t="s">
        <v>24</v>
      </c>
      <c r="L197" t="s">
        <v>26</v>
      </c>
      <c r="M197" t="s">
        <v>183</v>
      </c>
      <c r="N197" t="s">
        <v>1848</v>
      </c>
    </row>
    <row r="198" spans="1:17" x14ac:dyDescent="0.2">
      <c r="A198" t="str">
        <f ca="1">表_网址[[#This Row],[1级]]&amp;"-"&amp;表_网址[[#This Row],[2级]]&amp;"-"&amp;表_网址[[#This Row],[3级]]&amp;"-"&amp;表_网址[[#This Row],[级内]]</f>
        <v>8003-11-15-106</v>
      </c>
      <c r="B198" s="2">
        <f ca="1">MATCH(表_网址[[#This Row],[版层分类]],序列_版层分类,0)*1000+MATCH(表_网址[[#This Row],[首要关键词]],序列_首要关键词,0)</f>
        <v>8003</v>
      </c>
      <c r="C198" s="2">
        <f ca="1">IF(表_网址[[#This Row],[次要关键词]]="",10,MATCH(表_网址[[#This Row],[次要关键词]],序列_次要关键词,0)+10)</f>
        <v>11</v>
      </c>
      <c r="D198">
        <f ca="1">IF(表_网址[[#This Row],[重点关键词]]="",10,MATCH(表_网址[[#This Row],[重点关键词]],序列_重点关键词,0)+10)</f>
        <v>15</v>
      </c>
      <c r="E198" s="2">
        <f>IF(AND(表_网址[[#This Row],[首要关键词]]=K197,表_网址[[#This Row],[次要关键词]]=L197,表_网址[[#This Row],[重点关键词]]=M197),E197+1,IF(表_网址[[#This Row],[重点关键词]]="",100,101))</f>
        <v>106</v>
      </c>
      <c r="F198" t="s">
        <v>196</v>
      </c>
      <c r="G198" t="s">
        <v>197</v>
      </c>
      <c r="H198" t="s">
        <v>29</v>
      </c>
      <c r="I198" t="s">
        <v>198</v>
      </c>
      <c r="J198" t="s">
        <v>1898</v>
      </c>
      <c r="K198" t="s">
        <v>24</v>
      </c>
      <c r="L198" t="s">
        <v>26</v>
      </c>
      <c r="M198" t="s">
        <v>183</v>
      </c>
      <c r="N198" t="s">
        <v>1848</v>
      </c>
      <c r="O198" t="s">
        <v>1166</v>
      </c>
      <c r="Q198">
        <v>16</v>
      </c>
    </row>
    <row r="199" spans="1:17" x14ac:dyDescent="0.2">
      <c r="A199" t="str">
        <f ca="1">表_网址[[#This Row],[1级]]&amp;"-"&amp;表_网址[[#This Row],[2级]]&amp;"-"&amp;表_网址[[#This Row],[3级]]&amp;"-"&amp;表_网址[[#This Row],[级内]]</f>
        <v>8003-11-15-107</v>
      </c>
      <c r="B199" s="2">
        <f ca="1">MATCH(表_网址[[#This Row],[版层分类]],序列_版层分类,0)*1000+MATCH(表_网址[[#This Row],[首要关键词]],序列_首要关键词,0)</f>
        <v>8003</v>
      </c>
      <c r="C199" s="2">
        <f ca="1">IF(表_网址[[#This Row],[次要关键词]]="",10,MATCH(表_网址[[#This Row],[次要关键词]],序列_次要关键词,0)+10)</f>
        <v>11</v>
      </c>
      <c r="D199">
        <f ca="1">IF(表_网址[[#This Row],[重点关键词]]="",10,MATCH(表_网址[[#This Row],[重点关键词]],序列_重点关键词,0)+10)</f>
        <v>15</v>
      </c>
      <c r="E199" s="2">
        <f>IF(AND(表_网址[[#This Row],[首要关键词]]=K198,表_网址[[#This Row],[次要关键词]]=L198,表_网址[[#This Row],[重点关键词]]=M198),E198+1,IF(表_网址[[#This Row],[重点关键词]]="",100,101))</f>
        <v>107</v>
      </c>
      <c r="F199" t="s">
        <v>199</v>
      </c>
      <c r="G199" t="s">
        <v>200</v>
      </c>
      <c r="H199" t="s">
        <v>29</v>
      </c>
      <c r="I199" t="s">
        <v>201</v>
      </c>
      <c r="J199" t="s">
        <v>1898</v>
      </c>
      <c r="K199" t="s">
        <v>24</v>
      </c>
      <c r="L199" t="s">
        <v>26</v>
      </c>
      <c r="M199" t="s">
        <v>183</v>
      </c>
      <c r="N199" t="s">
        <v>1848</v>
      </c>
      <c r="Q199">
        <v>16</v>
      </c>
    </row>
    <row r="200" spans="1:17" x14ac:dyDescent="0.2">
      <c r="A200" t="str">
        <f ca="1">表_网址[[#This Row],[1级]]&amp;"-"&amp;表_网址[[#This Row],[2级]]&amp;"-"&amp;表_网址[[#This Row],[3级]]&amp;"-"&amp;表_网址[[#This Row],[级内]]</f>
        <v>8003-11-15-108</v>
      </c>
      <c r="B200" s="2">
        <f ca="1">MATCH(表_网址[[#This Row],[版层分类]],序列_版层分类,0)*1000+MATCH(表_网址[[#This Row],[首要关键词]],序列_首要关键词,0)</f>
        <v>8003</v>
      </c>
      <c r="C200" s="2">
        <f ca="1">IF(表_网址[[#This Row],[次要关键词]]="",10,MATCH(表_网址[[#This Row],[次要关键词]],序列_次要关键词,0)+10)</f>
        <v>11</v>
      </c>
      <c r="D200">
        <f ca="1">IF(表_网址[[#This Row],[重点关键词]]="",10,MATCH(表_网址[[#This Row],[重点关键词]],序列_重点关键词,0)+10)</f>
        <v>15</v>
      </c>
      <c r="E200" s="2">
        <f>IF(AND(表_网址[[#This Row],[首要关键词]]=K199,表_网址[[#This Row],[次要关键词]]=L199,表_网址[[#This Row],[重点关键词]]=M199),E199+1,IF(表_网址[[#This Row],[重点关键词]]="",100,101))</f>
        <v>108</v>
      </c>
      <c r="F200" t="s">
        <v>202</v>
      </c>
      <c r="G200" t="s">
        <v>203</v>
      </c>
      <c r="H200" t="s">
        <v>29</v>
      </c>
      <c r="I200" t="s">
        <v>204</v>
      </c>
      <c r="J200" t="s">
        <v>1898</v>
      </c>
      <c r="K200" t="s">
        <v>24</v>
      </c>
      <c r="L200" t="s">
        <v>26</v>
      </c>
      <c r="M200" t="s">
        <v>183</v>
      </c>
      <c r="N200" t="s">
        <v>1848</v>
      </c>
      <c r="O200" t="s">
        <v>1166</v>
      </c>
      <c r="Q200">
        <v>128</v>
      </c>
    </row>
    <row r="201" spans="1:17" x14ac:dyDescent="0.2">
      <c r="A201" t="str">
        <f ca="1">表_网址[[#This Row],[1级]]&amp;"-"&amp;表_网址[[#This Row],[2级]]&amp;"-"&amp;表_网址[[#This Row],[3级]]&amp;"-"&amp;表_网址[[#This Row],[级内]]</f>
        <v>8003-11-15-109</v>
      </c>
      <c r="B201" s="2">
        <f ca="1">MATCH(表_网址[[#This Row],[版层分类]],序列_版层分类,0)*1000+MATCH(表_网址[[#This Row],[首要关键词]],序列_首要关键词,0)</f>
        <v>8003</v>
      </c>
      <c r="C201" s="2">
        <f ca="1">IF(表_网址[[#This Row],[次要关键词]]="",10,MATCH(表_网址[[#This Row],[次要关键词]],序列_次要关键词,0)+10)</f>
        <v>11</v>
      </c>
      <c r="D201">
        <f ca="1">IF(表_网址[[#This Row],[重点关键词]]="",10,MATCH(表_网址[[#This Row],[重点关键词]],序列_重点关键词,0)+10)</f>
        <v>15</v>
      </c>
      <c r="E201" s="2">
        <f>IF(AND(表_网址[[#This Row],[首要关键词]]=K200,表_网址[[#This Row],[次要关键词]]=L200,表_网址[[#This Row],[重点关键词]]=M200),E200+1,IF(表_网址[[#This Row],[重点关键词]]="",100,101))</f>
        <v>109</v>
      </c>
      <c r="F201" t="s">
        <v>205</v>
      </c>
      <c r="G201" t="s">
        <v>206</v>
      </c>
      <c r="H201" t="s">
        <v>29</v>
      </c>
      <c r="I201" t="s">
        <v>207</v>
      </c>
      <c r="J201" t="s">
        <v>1898</v>
      </c>
      <c r="K201" t="s">
        <v>24</v>
      </c>
      <c r="L201" t="s">
        <v>26</v>
      </c>
      <c r="M201" t="s">
        <v>183</v>
      </c>
      <c r="N201" t="s">
        <v>1848</v>
      </c>
    </row>
    <row r="202" spans="1:17" x14ac:dyDescent="0.2">
      <c r="A202" t="str">
        <f ca="1">表_网址[[#This Row],[1级]]&amp;"-"&amp;表_网址[[#This Row],[2级]]&amp;"-"&amp;表_网址[[#This Row],[3级]]&amp;"-"&amp;表_网址[[#This Row],[级内]]</f>
        <v>8003-11-16-101</v>
      </c>
      <c r="B202" s="2">
        <f ca="1">MATCH(表_网址[[#This Row],[版层分类]],序列_版层分类,0)*1000+MATCH(表_网址[[#This Row],[首要关键词]],序列_首要关键词,0)</f>
        <v>8003</v>
      </c>
      <c r="C202" s="2">
        <f ca="1">IF(表_网址[[#This Row],[次要关键词]]="",10,MATCH(表_网址[[#This Row],[次要关键词]],序列_次要关键词,0)+10)</f>
        <v>11</v>
      </c>
      <c r="D202">
        <f ca="1">IF(表_网址[[#This Row],[重点关键词]]="",10,MATCH(表_网址[[#This Row],[重点关键词]],序列_重点关键词,0)+10)</f>
        <v>16</v>
      </c>
      <c r="E202" s="2">
        <f>IF(AND(表_网址[[#This Row],[首要关键词]]=K201,表_网址[[#This Row],[次要关键词]]=L201,表_网址[[#This Row],[重点关键词]]=M201),E201+1,IF(表_网址[[#This Row],[重点关键词]]="",100,101))</f>
        <v>101</v>
      </c>
      <c r="F202" t="s">
        <v>208</v>
      </c>
      <c r="G202" t="s">
        <v>209</v>
      </c>
      <c r="H202" t="s">
        <v>29</v>
      </c>
      <c r="I202" t="s">
        <v>210</v>
      </c>
      <c r="J202" t="s">
        <v>1898</v>
      </c>
      <c r="K202" t="s">
        <v>24</v>
      </c>
      <c r="L202" t="s">
        <v>26</v>
      </c>
      <c r="M202" t="s">
        <v>211</v>
      </c>
      <c r="N202" t="s">
        <v>1848</v>
      </c>
      <c r="O202" t="s">
        <v>1166</v>
      </c>
      <c r="Q202">
        <v>32</v>
      </c>
    </row>
    <row r="203" spans="1:17" x14ac:dyDescent="0.2">
      <c r="A203" t="str">
        <f ca="1">表_网址[[#This Row],[1级]]&amp;"-"&amp;表_网址[[#This Row],[2级]]&amp;"-"&amp;表_网址[[#This Row],[3级]]&amp;"-"&amp;表_网址[[#This Row],[级内]]</f>
        <v>8003-11-16-102</v>
      </c>
      <c r="B203" s="2">
        <f ca="1">MATCH(表_网址[[#This Row],[版层分类]],序列_版层分类,0)*1000+MATCH(表_网址[[#This Row],[首要关键词]],序列_首要关键词,0)</f>
        <v>8003</v>
      </c>
      <c r="C203" s="2">
        <f ca="1">IF(表_网址[[#This Row],[次要关键词]]="",10,MATCH(表_网址[[#This Row],[次要关键词]],序列_次要关键词,0)+10)</f>
        <v>11</v>
      </c>
      <c r="D203">
        <f ca="1">IF(表_网址[[#This Row],[重点关键词]]="",10,MATCH(表_网址[[#This Row],[重点关键词]],序列_重点关键词,0)+10)</f>
        <v>16</v>
      </c>
      <c r="E203" s="2">
        <f>IF(AND(表_网址[[#This Row],[首要关键词]]=K202,表_网址[[#This Row],[次要关键词]]=L202,表_网址[[#This Row],[重点关键词]]=M202),E202+1,IF(表_网址[[#This Row],[重点关键词]]="",100,101))</f>
        <v>102</v>
      </c>
      <c r="F203" t="s">
        <v>212</v>
      </c>
      <c r="G203" t="s">
        <v>213</v>
      </c>
      <c r="H203" t="s">
        <v>29</v>
      </c>
      <c r="I203" t="s">
        <v>214</v>
      </c>
      <c r="J203" t="s">
        <v>1898</v>
      </c>
      <c r="K203" t="s">
        <v>24</v>
      </c>
      <c r="L203" t="s">
        <v>26</v>
      </c>
      <c r="M203" t="s">
        <v>211</v>
      </c>
      <c r="N203" t="s">
        <v>1848</v>
      </c>
      <c r="Q203">
        <v>16</v>
      </c>
    </row>
    <row r="204" spans="1:17" x14ac:dyDescent="0.2">
      <c r="A204" t="str">
        <f ca="1">表_网址[[#This Row],[1级]]&amp;"-"&amp;表_网址[[#This Row],[2级]]&amp;"-"&amp;表_网址[[#This Row],[3级]]&amp;"-"&amp;表_网址[[#This Row],[级内]]</f>
        <v>8003-11-16-103</v>
      </c>
      <c r="B204" s="2">
        <f ca="1">MATCH(表_网址[[#This Row],[版层分类]],序列_版层分类,0)*1000+MATCH(表_网址[[#This Row],[首要关键词]],序列_首要关键词,0)</f>
        <v>8003</v>
      </c>
      <c r="C204" s="2">
        <f ca="1">IF(表_网址[[#This Row],[次要关键词]]="",10,MATCH(表_网址[[#This Row],[次要关键词]],序列_次要关键词,0)+10)</f>
        <v>11</v>
      </c>
      <c r="D204">
        <f ca="1">IF(表_网址[[#This Row],[重点关键词]]="",10,MATCH(表_网址[[#This Row],[重点关键词]],序列_重点关键词,0)+10)</f>
        <v>16</v>
      </c>
      <c r="E204" s="2">
        <f>IF(AND(表_网址[[#This Row],[首要关键词]]=K203,表_网址[[#This Row],[次要关键词]]=L203,表_网址[[#This Row],[重点关键词]]=M203),E203+1,IF(表_网址[[#This Row],[重点关键词]]="",100,101))</f>
        <v>103</v>
      </c>
      <c r="F204" t="s">
        <v>215</v>
      </c>
      <c r="G204" t="s">
        <v>216</v>
      </c>
      <c r="H204" t="s">
        <v>29</v>
      </c>
      <c r="I204" t="s">
        <v>217</v>
      </c>
      <c r="J204" t="s">
        <v>1898</v>
      </c>
      <c r="K204" t="s">
        <v>24</v>
      </c>
      <c r="L204" t="s">
        <v>26</v>
      </c>
      <c r="M204" t="s">
        <v>211</v>
      </c>
      <c r="N204" t="s">
        <v>1848</v>
      </c>
    </row>
    <row r="205" spans="1:17" x14ac:dyDescent="0.2">
      <c r="A205" t="str">
        <f ca="1">表_网址[[#This Row],[1级]]&amp;"-"&amp;表_网址[[#This Row],[2级]]&amp;"-"&amp;表_网址[[#This Row],[3级]]&amp;"-"&amp;表_网址[[#This Row],[级内]]</f>
        <v>8003-11-16-104</v>
      </c>
      <c r="B205" s="2">
        <f ca="1">MATCH(表_网址[[#This Row],[版层分类]],序列_版层分类,0)*1000+MATCH(表_网址[[#This Row],[首要关键词]],序列_首要关键词,0)</f>
        <v>8003</v>
      </c>
      <c r="C205" s="2">
        <f ca="1">IF(表_网址[[#This Row],[次要关键词]]="",10,MATCH(表_网址[[#This Row],[次要关键词]],序列_次要关键词,0)+10)</f>
        <v>11</v>
      </c>
      <c r="D205">
        <f ca="1">IF(表_网址[[#This Row],[重点关键词]]="",10,MATCH(表_网址[[#This Row],[重点关键词]],序列_重点关键词,0)+10)</f>
        <v>16</v>
      </c>
      <c r="E205" s="2">
        <f>IF(AND(表_网址[[#This Row],[首要关键词]]=K204,表_网址[[#This Row],[次要关键词]]=L204,表_网址[[#This Row],[重点关键词]]=M204),E204+1,IF(表_网址[[#This Row],[重点关键词]]="",100,101))</f>
        <v>104</v>
      </c>
      <c r="F205" t="s">
        <v>218</v>
      </c>
      <c r="G205" t="s">
        <v>219</v>
      </c>
      <c r="H205" t="s">
        <v>29</v>
      </c>
      <c r="I205" t="s">
        <v>220</v>
      </c>
      <c r="J205" t="s">
        <v>1898</v>
      </c>
      <c r="K205" t="s">
        <v>24</v>
      </c>
      <c r="L205" t="s">
        <v>26</v>
      </c>
      <c r="M205" t="s">
        <v>211</v>
      </c>
      <c r="N205" t="s">
        <v>1848</v>
      </c>
    </row>
    <row r="206" spans="1:17" x14ac:dyDescent="0.2">
      <c r="A206" t="str">
        <f ca="1">表_网址[[#This Row],[1级]]&amp;"-"&amp;表_网址[[#This Row],[2级]]&amp;"-"&amp;表_网址[[#This Row],[3级]]&amp;"-"&amp;表_网址[[#This Row],[级内]]</f>
        <v>8003-11-16-105</v>
      </c>
      <c r="B206" s="2">
        <f ca="1">MATCH(表_网址[[#This Row],[版层分类]],序列_版层分类,0)*1000+MATCH(表_网址[[#This Row],[首要关键词]],序列_首要关键词,0)</f>
        <v>8003</v>
      </c>
      <c r="C206" s="2">
        <f ca="1">IF(表_网址[[#This Row],[次要关键词]]="",10,MATCH(表_网址[[#This Row],[次要关键词]],序列_次要关键词,0)+10)</f>
        <v>11</v>
      </c>
      <c r="D206">
        <f ca="1">IF(表_网址[[#This Row],[重点关键词]]="",10,MATCH(表_网址[[#This Row],[重点关键词]],序列_重点关键词,0)+10)</f>
        <v>16</v>
      </c>
      <c r="E206" s="2">
        <f>IF(AND(表_网址[[#This Row],[首要关键词]]=K205,表_网址[[#This Row],[次要关键词]]=L205,表_网址[[#This Row],[重点关键词]]=M205),E205+1,IF(表_网址[[#This Row],[重点关键词]]="",100,101))</f>
        <v>105</v>
      </c>
      <c r="F206" t="s">
        <v>221</v>
      </c>
      <c r="G206" t="s">
        <v>222</v>
      </c>
      <c r="H206" t="s">
        <v>29</v>
      </c>
      <c r="I206" t="s">
        <v>223</v>
      </c>
      <c r="J206" t="s">
        <v>1898</v>
      </c>
      <c r="K206" t="s">
        <v>24</v>
      </c>
      <c r="L206" t="s">
        <v>26</v>
      </c>
      <c r="M206" t="s">
        <v>211</v>
      </c>
      <c r="N206" t="s">
        <v>1848</v>
      </c>
    </row>
    <row r="207" spans="1:17" x14ac:dyDescent="0.2">
      <c r="A207" t="str">
        <f ca="1">表_网址[[#This Row],[1级]]&amp;"-"&amp;表_网址[[#This Row],[2级]]&amp;"-"&amp;表_网址[[#This Row],[3级]]&amp;"-"&amp;表_网址[[#This Row],[级内]]</f>
        <v>8003-11-16-106</v>
      </c>
      <c r="B207" s="2">
        <f ca="1">MATCH(表_网址[[#This Row],[版层分类]],序列_版层分类,0)*1000+MATCH(表_网址[[#This Row],[首要关键词]],序列_首要关键词,0)</f>
        <v>8003</v>
      </c>
      <c r="C207" s="2">
        <f ca="1">IF(表_网址[[#This Row],[次要关键词]]="",10,MATCH(表_网址[[#This Row],[次要关键词]],序列_次要关键词,0)+10)</f>
        <v>11</v>
      </c>
      <c r="D207">
        <f ca="1">IF(表_网址[[#This Row],[重点关键词]]="",10,MATCH(表_网址[[#This Row],[重点关键词]],序列_重点关键词,0)+10)</f>
        <v>16</v>
      </c>
      <c r="E207" s="2">
        <f>IF(AND(表_网址[[#This Row],[首要关键词]]=K206,表_网址[[#This Row],[次要关键词]]=L206,表_网址[[#This Row],[重点关键词]]=M206),E206+1,IF(表_网址[[#This Row],[重点关键词]]="",100,101))</f>
        <v>106</v>
      </c>
      <c r="F207" t="s">
        <v>224</v>
      </c>
      <c r="G207" t="s">
        <v>225</v>
      </c>
      <c r="H207" t="s">
        <v>29</v>
      </c>
      <c r="I207" t="s">
        <v>226</v>
      </c>
      <c r="J207" t="s">
        <v>1898</v>
      </c>
      <c r="K207" t="s">
        <v>24</v>
      </c>
      <c r="L207" t="s">
        <v>26</v>
      </c>
      <c r="M207" t="s">
        <v>211</v>
      </c>
      <c r="N207" t="s">
        <v>1848</v>
      </c>
      <c r="O207" t="s">
        <v>1166</v>
      </c>
      <c r="Q207">
        <v>1024</v>
      </c>
    </row>
    <row r="208" spans="1:17" x14ac:dyDescent="0.2">
      <c r="A208" t="str">
        <f ca="1">表_网址[[#This Row],[1级]]&amp;"-"&amp;表_网址[[#This Row],[2级]]&amp;"-"&amp;表_网址[[#This Row],[3级]]&amp;"-"&amp;表_网址[[#This Row],[级内]]</f>
        <v>8003-11-16-107</v>
      </c>
      <c r="B208" s="2">
        <f ca="1">MATCH(表_网址[[#This Row],[版层分类]],序列_版层分类,0)*1000+MATCH(表_网址[[#This Row],[首要关键词]],序列_首要关键词,0)</f>
        <v>8003</v>
      </c>
      <c r="C208" s="2">
        <f ca="1">IF(表_网址[[#This Row],[次要关键词]]="",10,MATCH(表_网址[[#This Row],[次要关键词]],序列_次要关键词,0)+10)</f>
        <v>11</v>
      </c>
      <c r="D208">
        <f ca="1">IF(表_网址[[#This Row],[重点关键词]]="",10,MATCH(表_网址[[#This Row],[重点关键词]],序列_重点关键词,0)+10)</f>
        <v>16</v>
      </c>
      <c r="E208" s="2">
        <f>IF(AND(表_网址[[#This Row],[首要关键词]]=K207,表_网址[[#This Row],[次要关键词]]=L207,表_网址[[#This Row],[重点关键词]]=M207),E207+1,IF(表_网址[[#This Row],[重点关键词]]="",100,101))</f>
        <v>107</v>
      </c>
      <c r="F208" t="s">
        <v>227</v>
      </c>
      <c r="G208" t="s">
        <v>228</v>
      </c>
      <c r="H208" t="s">
        <v>29</v>
      </c>
      <c r="I208" t="s">
        <v>229</v>
      </c>
      <c r="J208" t="s">
        <v>1898</v>
      </c>
      <c r="K208" t="s">
        <v>24</v>
      </c>
      <c r="L208" t="s">
        <v>26</v>
      </c>
      <c r="M208" t="s">
        <v>211</v>
      </c>
      <c r="N208" t="s">
        <v>1848</v>
      </c>
      <c r="Q208">
        <v>53</v>
      </c>
    </row>
    <row r="209" spans="1:17" x14ac:dyDescent="0.2">
      <c r="A209" t="str">
        <f ca="1">表_网址[[#This Row],[1级]]&amp;"-"&amp;表_网址[[#This Row],[2级]]&amp;"-"&amp;表_网址[[#This Row],[3级]]&amp;"-"&amp;表_网址[[#This Row],[级内]]</f>
        <v>8003-11-16-108</v>
      </c>
      <c r="B209" s="2">
        <f ca="1">MATCH(表_网址[[#This Row],[版层分类]],序列_版层分类,0)*1000+MATCH(表_网址[[#This Row],[首要关键词]],序列_首要关键词,0)</f>
        <v>8003</v>
      </c>
      <c r="C209" s="2">
        <f ca="1">IF(表_网址[[#This Row],[次要关键词]]="",10,MATCH(表_网址[[#This Row],[次要关键词]],序列_次要关键词,0)+10)</f>
        <v>11</v>
      </c>
      <c r="D209">
        <f ca="1">IF(表_网址[[#This Row],[重点关键词]]="",10,MATCH(表_网址[[#This Row],[重点关键词]],序列_重点关键词,0)+10)</f>
        <v>16</v>
      </c>
      <c r="E209" s="2">
        <f>IF(AND(表_网址[[#This Row],[首要关键词]]=K208,表_网址[[#This Row],[次要关键词]]=L208,表_网址[[#This Row],[重点关键词]]=M208),E208+1,IF(表_网址[[#This Row],[重点关键词]]="",100,101))</f>
        <v>108</v>
      </c>
      <c r="F209" t="s">
        <v>230</v>
      </c>
      <c r="G209" t="s">
        <v>228</v>
      </c>
      <c r="H209" t="s">
        <v>29</v>
      </c>
      <c r="I209" t="s">
        <v>229</v>
      </c>
      <c r="J209" t="s">
        <v>1898</v>
      </c>
      <c r="K209" t="s">
        <v>24</v>
      </c>
      <c r="L209" t="s">
        <v>26</v>
      </c>
      <c r="M209" t="s">
        <v>211</v>
      </c>
      <c r="N209" t="s">
        <v>1848</v>
      </c>
      <c r="Q209">
        <v>53</v>
      </c>
    </row>
    <row r="210" spans="1:17" x14ac:dyDescent="0.2">
      <c r="A210" t="str">
        <f ca="1">表_网址[[#This Row],[1级]]&amp;"-"&amp;表_网址[[#This Row],[2级]]&amp;"-"&amp;表_网址[[#This Row],[3级]]&amp;"-"&amp;表_网址[[#This Row],[级内]]</f>
        <v>8003-11-16-109</v>
      </c>
      <c r="B210" s="2">
        <f ca="1">MATCH(表_网址[[#This Row],[版层分类]],序列_版层分类,0)*1000+MATCH(表_网址[[#This Row],[首要关键词]],序列_首要关键词,0)</f>
        <v>8003</v>
      </c>
      <c r="C210" s="2">
        <f ca="1">IF(表_网址[[#This Row],[次要关键词]]="",10,MATCH(表_网址[[#This Row],[次要关键词]],序列_次要关键词,0)+10)</f>
        <v>11</v>
      </c>
      <c r="D210">
        <f ca="1">IF(表_网址[[#This Row],[重点关键词]]="",10,MATCH(表_网址[[#This Row],[重点关键词]],序列_重点关键词,0)+10)</f>
        <v>16</v>
      </c>
      <c r="E210" s="2">
        <f>IF(AND(表_网址[[#This Row],[首要关键词]]=K209,表_网址[[#This Row],[次要关键词]]=L209,表_网址[[#This Row],[重点关键词]]=M209),E209+1,IF(表_网址[[#This Row],[重点关键词]]="",100,101))</f>
        <v>109</v>
      </c>
      <c r="F210" t="s">
        <v>231</v>
      </c>
      <c r="G210" t="s">
        <v>232</v>
      </c>
      <c r="H210" t="s">
        <v>29</v>
      </c>
      <c r="I210" t="s">
        <v>233</v>
      </c>
      <c r="J210" t="s">
        <v>1898</v>
      </c>
      <c r="K210" t="s">
        <v>24</v>
      </c>
      <c r="L210" t="s">
        <v>26</v>
      </c>
      <c r="M210" t="s">
        <v>211</v>
      </c>
      <c r="N210" t="s">
        <v>1848</v>
      </c>
    </row>
    <row r="211" spans="1:17" x14ac:dyDescent="0.2">
      <c r="A211" t="str">
        <f ca="1">表_网址[[#This Row],[1级]]&amp;"-"&amp;表_网址[[#This Row],[2级]]&amp;"-"&amp;表_网址[[#This Row],[3级]]&amp;"-"&amp;表_网址[[#This Row],[级内]]</f>
        <v>8003-11-16-110</v>
      </c>
      <c r="B211" s="2">
        <f ca="1">MATCH(表_网址[[#This Row],[版层分类]],序列_版层分类,0)*1000+MATCH(表_网址[[#This Row],[首要关键词]],序列_首要关键词,0)</f>
        <v>8003</v>
      </c>
      <c r="C211" s="2">
        <f ca="1">IF(表_网址[[#This Row],[次要关键词]]="",10,MATCH(表_网址[[#This Row],[次要关键词]],序列_次要关键词,0)+10)</f>
        <v>11</v>
      </c>
      <c r="D211">
        <f ca="1">IF(表_网址[[#This Row],[重点关键词]]="",10,MATCH(表_网址[[#This Row],[重点关键词]],序列_重点关键词,0)+10)</f>
        <v>16</v>
      </c>
      <c r="E211" s="2">
        <f>IF(AND(表_网址[[#This Row],[首要关键词]]=K210,表_网址[[#This Row],[次要关键词]]=L210,表_网址[[#This Row],[重点关键词]]=M210),E210+1,IF(表_网址[[#This Row],[重点关键词]]="",100,101))</f>
        <v>110</v>
      </c>
      <c r="F211" t="s">
        <v>234</v>
      </c>
      <c r="G211" t="s">
        <v>235</v>
      </c>
      <c r="H211" t="s">
        <v>29</v>
      </c>
      <c r="I211" t="s">
        <v>236</v>
      </c>
      <c r="J211" t="s">
        <v>1898</v>
      </c>
      <c r="K211" t="s">
        <v>24</v>
      </c>
      <c r="L211" t="s">
        <v>26</v>
      </c>
      <c r="M211" t="s">
        <v>211</v>
      </c>
      <c r="N211" t="s">
        <v>1848</v>
      </c>
      <c r="Q211">
        <v>197</v>
      </c>
    </row>
    <row r="212" spans="1:17" x14ac:dyDescent="0.2">
      <c r="A212" t="str">
        <f ca="1">表_网址[[#This Row],[1级]]&amp;"-"&amp;表_网址[[#This Row],[2级]]&amp;"-"&amp;表_网址[[#This Row],[3级]]&amp;"-"&amp;表_网址[[#This Row],[级内]]</f>
        <v>8003-11-16-111</v>
      </c>
      <c r="B212" s="2">
        <f ca="1">MATCH(表_网址[[#This Row],[版层分类]],序列_版层分类,0)*1000+MATCH(表_网址[[#This Row],[首要关键词]],序列_首要关键词,0)</f>
        <v>8003</v>
      </c>
      <c r="C212" s="2">
        <f ca="1">IF(表_网址[[#This Row],[次要关键词]]="",10,MATCH(表_网址[[#This Row],[次要关键词]],序列_次要关键词,0)+10)</f>
        <v>11</v>
      </c>
      <c r="D212">
        <f ca="1">IF(表_网址[[#This Row],[重点关键词]]="",10,MATCH(表_网址[[#This Row],[重点关键词]],序列_重点关键词,0)+10)</f>
        <v>16</v>
      </c>
      <c r="E212" s="2">
        <f>IF(AND(表_网址[[#This Row],[首要关键词]]=K211,表_网址[[#This Row],[次要关键词]]=L211,表_网址[[#This Row],[重点关键词]]=M211),E211+1,IF(表_网址[[#This Row],[重点关键词]]="",100,101))</f>
        <v>111</v>
      </c>
      <c r="F212" t="s">
        <v>237</v>
      </c>
      <c r="G212" t="s">
        <v>238</v>
      </c>
      <c r="H212" t="s">
        <v>29</v>
      </c>
      <c r="I212" t="s">
        <v>239</v>
      </c>
      <c r="J212" t="s">
        <v>1898</v>
      </c>
      <c r="K212" t="s">
        <v>24</v>
      </c>
      <c r="L212" t="s">
        <v>26</v>
      </c>
      <c r="M212" t="s">
        <v>211</v>
      </c>
      <c r="N212" t="s">
        <v>1848</v>
      </c>
    </row>
    <row r="213" spans="1:17" x14ac:dyDescent="0.2">
      <c r="A213" t="str">
        <f ca="1">表_网址[[#This Row],[1级]]&amp;"-"&amp;表_网址[[#This Row],[2级]]&amp;"-"&amp;表_网址[[#This Row],[3级]]&amp;"-"&amp;表_网址[[#This Row],[级内]]</f>
        <v>8003-11-16-112</v>
      </c>
      <c r="B213" s="2">
        <f ca="1">MATCH(表_网址[[#This Row],[版层分类]],序列_版层分类,0)*1000+MATCH(表_网址[[#This Row],[首要关键词]],序列_首要关键词,0)</f>
        <v>8003</v>
      </c>
      <c r="C213" s="2">
        <f ca="1">IF(表_网址[[#This Row],[次要关键词]]="",10,MATCH(表_网址[[#This Row],[次要关键词]],序列_次要关键词,0)+10)</f>
        <v>11</v>
      </c>
      <c r="D213">
        <f ca="1">IF(表_网址[[#This Row],[重点关键词]]="",10,MATCH(表_网址[[#This Row],[重点关键词]],序列_重点关键词,0)+10)</f>
        <v>16</v>
      </c>
      <c r="E213" s="2">
        <f>IF(AND(表_网址[[#This Row],[首要关键词]]=K212,表_网址[[#This Row],[次要关键词]]=L212,表_网址[[#This Row],[重点关键词]]=M212),E212+1,IF(表_网址[[#This Row],[重点关键词]]="",100,101))</f>
        <v>112</v>
      </c>
      <c r="F213" t="s">
        <v>240</v>
      </c>
      <c r="G213" t="s">
        <v>241</v>
      </c>
      <c r="H213" t="s">
        <v>29</v>
      </c>
      <c r="I213" t="s">
        <v>242</v>
      </c>
      <c r="J213" t="s">
        <v>1898</v>
      </c>
      <c r="K213" t="s">
        <v>24</v>
      </c>
      <c r="L213" t="s">
        <v>26</v>
      </c>
      <c r="M213" t="s">
        <v>211</v>
      </c>
      <c r="N213" t="s">
        <v>1848</v>
      </c>
    </row>
    <row r="214" spans="1:17" x14ac:dyDescent="0.2">
      <c r="A214" t="str">
        <f ca="1">表_网址[[#This Row],[1级]]&amp;"-"&amp;表_网址[[#This Row],[2级]]&amp;"-"&amp;表_网址[[#This Row],[3级]]&amp;"-"&amp;表_网址[[#This Row],[级内]]</f>
        <v>8003-11-16-113</v>
      </c>
      <c r="B214" s="2">
        <f ca="1">MATCH(表_网址[[#This Row],[版层分类]],序列_版层分类,0)*1000+MATCH(表_网址[[#This Row],[首要关键词]],序列_首要关键词,0)</f>
        <v>8003</v>
      </c>
      <c r="C214" s="2">
        <f ca="1">IF(表_网址[[#This Row],[次要关键词]]="",10,MATCH(表_网址[[#This Row],[次要关键词]],序列_次要关键词,0)+10)</f>
        <v>11</v>
      </c>
      <c r="D214">
        <f ca="1">IF(表_网址[[#This Row],[重点关键词]]="",10,MATCH(表_网址[[#This Row],[重点关键词]],序列_重点关键词,0)+10)</f>
        <v>16</v>
      </c>
      <c r="E214" s="2">
        <f>IF(AND(表_网址[[#This Row],[首要关键词]]=K213,表_网址[[#This Row],[次要关键词]]=L213,表_网址[[#This Row],[重点关键词]]=M213),E213+1,IF(表_网址[[#This Row],[重点关键词]]="",100,101))</f>
        <v>113</v>
      </c>
      <c r="F214" t="s">
        <v>243</v>
      </c>
      <c r="G214" t="s">
        <v>244</v>
      </c>
      <c r="H214" t="s">
        <v>29</v>
      </c>
      <c r="I214" t="s">
        <v>245</v>
      </c>
      <c r="J214" t="s">
        <v>1898</v>
      </c>
      <c r="K214" t="s">
        <v>24</v>
      </c>
      <c r="L214" t="s">
        <v>26</v>
      </c>
      <c r="M214" t="s">
        <v>211</v>
      </c>
      <c r="N214" t="s">
        <v>1848</v>
      </c>
      <c r="Q214">
        <v>256</v>
      </c>
    </row>
    <row r="215" spans="1:17" x14ac:dyDescent="0.2">
      <c r="A215" t="str">
        <f ca="1">表_网址[[#This Row],[1级]]&amp;"-"&amp;表_网址[[#This Row],[2级]]&amp;"-"&amp;表_网址[[#This Row],[3级]]&amp;"-"&amp;表_网址[[#This Row],[级内]]</f>
        <v>8003-11-16-114</v>
      </c>
      <c r="B215" s="2">
        <f ca="1">MATCH(表_网址[[#This Row],[版层分类]],序列_版层分类,0)*1000+MATCH(表_网址[[#This Row],[首要关键词]],序列_首要关键词,0)</f>
        <v>8003</v>
      </c>
      <c r="C215" s="2">
        <f ca="1">IF(表_网址[[#This Row],[次要关键词]]="",10,MATCH(表_网址[[#This Row],[次要关键词]],序列_次要关键词,0)+10)</f>
        <v>11</v>
      </c>
      <c r="D215">
        <f ca="1">IF(表_网址[[#This Row],[重点关键词]]="",10,MATCH(表_网址[[#This Row],[重点关键词]],序列_重点关键词,0)+10)</f>
        <v>16</v>
      </c>
      <c r="E215" s="2">
        <f>IF(AND(表_网址[[#This Row],[首要关键词]]=K214,表_网址[[#This Row],[次要关键词]]=L214,表_网址[[#This Row],[重点关键词]]=M214),E214+1,IF(表_网址[[#This Row],[重点关键词]]="",100,101))</f>
        <v>114</v>
      </c>
      <c r="F215" t="s">
        <v>246</v>
      </c>
      <c r="G215" t="s">
        <v>247</v>
      </c>
      <c r="H215" t="s">
        <v>29</v>
      </c>
      <c r="J215" t="s">
        <v>1898</v>
      </c>
      <c r="K215" t="s">
        <v>24</v>
      </c>
      <c r="L215" t="s">
        <v>26</v>
      </c>
      <c r="M215" t="s">
        <v>211</v>
      </c>
      <c r="N215" t="s">
        <v>1848</v>
      </c>
    </row>
    <row r="216" spans="1:17" x14ac:dyDescent="0.2">
      <c r="A216" t="str">
        <f ca="1">表_网址[[#This Row],[1级]]&amp;"-"&amp;表_网址[[#This Row],[2级]]&amp;"-"&amp;表_网址[[#This Row],[3级]]&amp;"-"&amp;表_网址[[#This Row],[级内]]</f>
        <v>8003-11-16-115</v>
      </c>
      <c r="B216" s="2">
        <f ca="1">MATCH(表_网址[[#This Row],[版层分类]],序列_版层分类,0)*1000+MATCH(表_网址[[#This Row],[首要关键词]],序列_首要关键词,0)</f>
        <v>8003</v>
      </c>
      <c r="C216" s="2">
        <f ca="1">IF(表_网址[[#This Row],[次要关键词]]="",10,MATCH(表_网址[[#This Row],[次要关键词]],序列_次要关键词,0)+10)</f>
        <v>11</v>
      </c>
      <c r="D216">
        <f ca="1">IF(表_网址[[#This Row],[重点关键词]]="",10,MATCH(表_网址[[#This Row],[重点关键词]],序列_重点关键词,0)+10)</f>
        <v>16</v>
      </c>
      <c r="E216" s="2">
        <f>IF(AND(表_网址[[#This Row],[首要关键词]]=K215,表_网址[[#This Row],[次要关键词]]=L215,表_网址[[#This Row],[重点关键词]]=M215),E215+1,IF(表_网址[[#This Row],[重点关键词]]="",100,101))</f>
        <v>115</v>
      </c>
      <c r="F216" t="s">
        <v>248</v>
      </c>
      <c r="G216" t="s">
        <v>249</v>
      </c>
      <c r="H216" t="s">
        <v>29</v>
      </c>
      <c r="I216" t="s">
        <v>250</v>
      </c>
      <c r="J216" t="s">
        <v>1898</v>
      </c>
      <c r="K216" t="s">
        <v>24</v>
      </c>
      <c r="L216" t="s">
        <v>26</v>
      </c>
      <c r="M216" t="s">
        <v>211</v>
      </c>
      <c r="N216" t="s">
        <v>1848</v>
      </c>
      <c r="Q216">
        <v>32</v>
      </c>
    </row>
    <row r="217" spans="1:17" x14ac:dyDescent="0.2">
      <c r="A217" t="str">
        <f ca="1">表_网址[[#This Row],[1级]]&amp;"-"&amp;表_网址[[#This Row],[2级]]&amp;"-"&amp;表_网址[[#This Row],[3级]]&amp;"-"&amp;表_网址[[#This Row],[级内]]</f>
        <v>8003-11-16-116</v>
      </c>
      <c r="B217" s="2">
        <f ca="1">MATCH(表_网址[[#This Row],[版层分类]],序列_版层分类,0)*1000+MATCH(表_网址[[#This Row],[首要关键词]],序列_首要关键词,0)</f>
        <v>8003</v>
      </c>
      <c r="C217" s="2">
        <f ca="1">IF(表_网址[[#This Row],[次要关键词]]="",10,MATCH(表_网址[[#This Row],[次要关键词]],序列_次要关键词,0)+10)</f>
        <v>11</v>
      </c>
      <c r="D217">
        <f ca="1">IF(表_网址[[#This Row],[重点关键词]]="",10,MATCH(表_网址[[#This Row],[重点关键词]],序列_重点关键词,0)+10)</f>
        <v>16</v>
      </c>
      <c r="E217" s="2">
        <f>IF(AND(表_网址[[#This Row],[首要关键词]]=K216,表_网址[[#This Row],[次要关键词]]=L216,表_网址[[#This Row],[重点关键词]]=M216),E216+1,IF(表_网址[[#This Row],[重点关键词]]="",100,101))</f>
        <v>116</v>
      </c>
      <c r="F217" t="s">
        <v>251</v>
      </c>
      <c r="G217" t="s">
        <v>252</v>
      </c>
      <c r="H217" t="s">
        <v>29</v>
      </c>
      <c r="I217" t="s">
        <v>253</v>
      </c>
      <c r="J217" t="s">
        <v>1898</v>
      </c>
      <c r="K217" t="s">
        <v>24</v>
      </c>
      <c r="L217" t="s">
        <v>26</v>
      </c>
      <c r="M217" t="s">
        <v>211</v>
      </c>
      <c r="N217" t="s">
        <v>1848</v>
      </c>
      <c r="O217" t="s">
        <v>1166</v>
      </c>
      <c r="Q217">
        <v>16</v>
      </c>
    </row>
    <row r="218" spans="1:17" x14ac:dyDescent="0.2">
      <c r="A218" t="str">
        <f ca="1">表_网址[[#This Row],[1级]]&amp;"-"&amp;表_网址[[#This Row],[2级]]&amp;"-"&amp;表_网址[[#This Row],[3级]]&amp;"-"&amp;表_网址[[#This Row],[级内]]</f>
        <v>8003-11-16-117</v>
      </c>
      <c r="B218" s="2">
        <f ca="1">MATCH(表_网址[[#This Row],[版层分类]],序列_版层分类,0)*1000+MATCH(表_网址[[#This Row],[首要关键词]],序列_首要关键词,0)</f>
        <v>8003</v>
      </c>
      <c r="C218" s="2">
        <f ca="1">IF(表_网址[[#This Row],[次要关键词]]="",10,MATCH(表_网址[[#This Row],[次要关键词]],序列_次要关键词,0)+10)</f>
        <v>11</v>
      </c>
      <c r="D218">
        <f ca="1">IF(表_网址[[#This Row],[重点关键词]]="",10,MATCH(表_网址[[#This Row],[重点关键词]],序列_重点关键词,0)+10)</f>
        <v>16</v>
      </c>
      <c r="E218" s="2">
        <f>IF(AND(表_网址[[#This Row],[首要关键词]]=K217,表_网址[[#This Row],[次要关键词]]=L217,表_网址[[#This Row],[重点关键词]]=M217),E217+1,IF(表_网址[[#This Row],[重点关键词]]="",100,101))</f>
        <v>117</v>
      </c>
      <c r="F218" t="s">
        <v>254</v>
      </c>
      <c r="G218" t="s">
        <v>255</v>
      </c>
      <c r="H218" t="s">
        <v>29</v>
      </c>
      <c r="I218" t="s">
        <v>256</v>
      </c>
      <c r="J218" t="s">
        <v>1898</v>
      </c>
      <c r="K218" t="s">
        <v>24</v>
      </c>
      <c r="L218" t="s">
        <v>26</v>
      </c>
      <c r="M218" t="s">
        <v>211</v>
      </c>
      <c r="N218" t="s">
        <v>1848</v>
      </c>
      <c r="O218" t="s">
        <v>1166</v>
      </c>
      <c r="Q218">
        <v>128</v>
      </c>
    </row>
    <row r="219" spans="1:17" x14ac:dyDescent="0.2">
      <c r="A219" t="str">
        <f ca="1">表_网址[[#This Row],[1级]]&amp;"-"&amp;表_网址[[#This Row],[2级]]&amp;"-"&amp;表_网址[[#This Row],[3级]]&amp;"-"&amp;表_网址[[#This Row],[级内]]</f>
        <v>8003-11-16-118</v>
      </c>
      <c r="B219" s="2">
        <f ca="1">MATCH(表_网址[[#This Row],[版层分类]],序列_版层分类,0)*1000+MATCH(表_网址[[#This Row],[首要关键词]],序列_首要关键词,0)</f>
        <v>8003</v>
      </c>
      <c r="C219" s="2">
        <f ca="1">IF(表_网址[[#This Row],[次要关键词]]="",10,MATCH(表_网址[[#This Row],[次要关键词]],序列_次要关键词,0)+10)</f>
        <v>11</v>
      </c>
      <c r="D219">
        <f ca="1">IF(表_网址[[#This Row],[重点关键词]]="",10,MATCH(表_网址[[#This Row],[重点关键词]],序列_重点关键词,0)+10)</f>
        <v>16</v>
      </c>
      <c r="E219" s="2">
        <f>IF(AND(表_网址[[#This Row],[首要关键词]]=K218,表_网址[[#This Row],[次要关键词]]=L218,表_网址[[#This Row],[重点关键词]]=M218),E218+1,IF(表_网址[[#This Row],[重点关键词]]="",100,101))</f>
        <v>118</v>
      </c>
      <c r="F219" t="s">
        <v>257</v>
      </c>
      <c r="G219" t="s">
        <v>258</v>
      </c>
      <c r="H219" t="s">
        <v>29</v>
      </c>
      <c r="I219" t="s">
        <v>259</v>
      </c>
      <c r="J219" t="s">
        <v>1898</v>
      </c>
      <c r="K219" t="s">
        <v>24</v>
      </c>
      <c r="L219" t="s">
        <v>26</v>
      </c>
      <c r="M219" t="s">
        <v>211</v>
      </c>
      <c r="N219" t="s">
        <v>1848</v>
      </c>
    </row>
    <row r="220" spans="1:17" x14ac:dyDescent="0.2">
      <c r="A220" t="str">
        <f ca="1">表_网址[[#This Row],[1级]]&amp;"-"&amp;表_网址[[#This Row],[2级]]&amp;"-"&amp;表_网址[[#This Row],[3级]]&amp;"-"&amp;表_网址[[#This Row],[级内]]</f>
        <v>8003-11-16-119</v>
      </c>
      <c r="B220" s="2">
        <f ca="1">MATCH(表_网址[[#This Row],[版层分类]],序列_版层分类,0)*1000+MATCH(表_网址[[#This Row],[首要关键词]],序列_首要关键词,0)</f>
        <v>8003</v>
      </c>
      <c r="C220" s="2">
        <f ca="1">IF(表_网址[[#This Row],[次要关键词]]="",10,MATCH(表_网址[[#This Row],[次要关键词]],序列_次要关键词,0)+10)</f>
        <v>11</v>
      </c>
      <c r="D220">
        <f ca="1">IF(表_网址[[#This Row],[重点关键词]]="",10,MATCH(表_网址[[#This Row],[重点关键词]],序列_重点关键词,0)+10)</f>
        <v>16</v>
      </c>
      <c r="E220" s="2">
        <f>IF(AND(表_网址[[#This Row],[首要关键词]]=K219,表_网址[[#This Row],[次要关键词]]=L219,表_网址[[#This Row],[重点关键词]]=M219),E219+1,IF(表_网址[[#This Row],[重点关键词]]="",100,101))</f>
        <v>119</v>
      </c>
      <c r="F220" t="s">
        <v>260</v>
      </c>
      <c r="G220" t="s">
        <v>261</v>
      </c>
      <c r="H220" t="s">
        <v>29</v>
      </c>
      <c r="I220" t="s">
        <v>262</v>
      </c>
      <c r="J220" t="s">
        <v>1898</v>
      </c>
      <c r="K220" t="s">
        <v>24</v>
      </c>
      <c r="L220" t="s">
        <v>26</v>
      </c>
      <c r="M220" t="s">
        <v>211</v>
      </c>
      <c r="N220" t="s">
        <v>1848</v>
      </c>
    </row>
    <row r="221" spans="1:17" x14ac:dyDescent="0.2">
      <c r="A221" t="str">
        <f ca="1">表_网址[[#This Row],[1级]]&amp;"-"&amp;表_网址[[#This Row],[2级]]&amp;"-"&amp;表_网址[[#This Row],[3级]]&amp;"-"&amp;表_网址[[#This Row],[级内]]</f>
        <v>8003-11-16-120</v>
      </c>
      <c r="B221" s="2">
        <f ca="1">MATCH(表_网址[[#This Row],[版层分类]],序列_版层分类,0)*1000+MATCH(表_网址[[#This Row],[首要关键词]],序列_首要关键词,0)</f>
        <v>8003</v>
      </c>
      <c r="C221" s="2">
        <f ca="1">IF(表_网址[[#This Row],[次要关键词]]="",10,MATCH(表_网址[[#This Row],[次要关键词]],序列_次要关键词,0)+10)</f>
        <v>11</v>
      </c>
      <c r="D221">
        <f ca="1">IF(表_网址[[#This Row],[重点关键词]]="",10,MATCH(表_网址[[#This Row],[重点关键词]],序列_重点关键词,0)+10)</f>
        <v>16</v>
      </c>
      <c r="E221" s="2">
        <f>IF(AND(表_网址[[#This Row],[首要关键词]]=K220,表_网址[[#This Row],[次要关键词]]=L220,表_网址[[#This Row],[重点关键词]]=M220),E220+1,IF(表_网址[[#This Row],[重点关键词]]="",100,101))</f>
        <v>120</v>
      </c>
      <c r="F221" t="s">
        <v>263</v>
      </c>
      <c r="G221" t="s">
        <v>264</v>
      </c>
      <c r="H221" t="s">
        <v>29</v>
      </c>
      <c r="I221" t="s">
        <v>265</v>
      </c>
      <c r="J221" t="s">
        <v>1898</v>
      </c>
      <c r="K221" t="s">
        <v>24</v>
      </c>
      <c r="L221" t="s">
        <v>26</v>
      </c>
      <c r="M221" t="s">
        <v>211</v>
      </c>
      <c r="N221" t="s">
        <v>1848</v>
      </c>
    </row>
    <row r="222" spans="1:17" x14ac:dyDescent="0.2">
      <c r="A222" t="str">
        <f ca="1">表_网址[[#This Row],[1级]]&amp;"-"&amp;表_网址[[#This Row],[2级]]&amp;"-"&amp;表_网址[[#This Row],[3级]]&amp;"-"&amp;表_网址[[#This Row],[级内]]</f>
        <v>8003-11-17-101</v>
      </c>
      <c r="B222" s="2">
        <f ca="1">MATCH(表_网址[[#This Row],[版层分类]],序列_版层分类,0)*1000+MATCH(表_网址[[#This Row],[首要关键词]],序列_首要关键词,0)</f>
        <v>8003</v>
      </c>
      <c r="C222" s="2">
        <f ca="1">IF(表_网址[[#This Row],[次要关键词]]="",10,MATCH(表_网址[[#This Row],[次要关键词]],序列_次要关键词,0)+10)</f>
        <v>11</v>
      </c>
      <c r="D222">
        <f ca="1">IF(表_网址[[#This Row],[重点关键词]]="",10,MATCH(表_网址[[#This Row],[重点关键词]],序列_重点关键词,0)+10)</f>
        <v>17</v>
      </c>
      <c r="E222" s="2">
        <f>IF(AND(表_网址[[#This Row],[首要关键词]]=K221,表_网址[[#This Row],[次要关键词]]=L221,表_网址[[#This Row],[重点关键词]]=M221),E221+1,IF(表_网址[[#This Row],[重点关键词]]="",100,101))</f>
        <v>101</v>
      </c>
      <c r="F222" t="s">
        <v>266</v>
      </c>
      <c r="G222" t="s">
        <v>267</v>
      </c>
      <c r="H222" t="s">
        <v>268</v>
      </c>
      <c r="I222" t="s">
        <v>269</v>
      </c>
      <c r="J222" t="s">
        <v>1898</v>
      </c>
      <c r="K222" t="s">
        <v>24</v>
      </c>
      <c r="L222" t="s">
        <v>26</v>
      </c>
      <c r="M222" t="s">
        <v>270</v>
      </c>
      <c r="N222" t="s">
        <v>1848</v>
      </c>
      <c r="Q222">
        <v>32</v>
      </c>
    </row>
    <row r="223" spans="1:17" x14ac:dyDescent="0.2">
      <c r="A223" t="str">
        <f ca="1">表_网址[[#This Row],[1级]]&amp;"-"&amp;表_网址[[#This Row],[2级]]&amp;"-"&amp;表_网址[[#This Row],[3级]]&amp;"-"&amp;表_网址[[#This Row],[级内]]</f>
        <v>8003-11-17-102</v>
      </c>
      <c r="B223" s="2">
        <f ca="1">MATCH(表_网址[[#This Row],[版层分类]],序列_版层分类,0)*1000+MATCH(表_网址[[#This Row],[首要关键词]],序列_首要关键词,0)</f>
        <v>8003</v>
      </c>
      <c r="C223" s="2">
        <f ca="1">IF(表_网址[[#This Row],[次要关键词]]="",10,MATCH(表_网址[[#This Row],[次要关键词]],序列_次要关键词,0)+10)</f>
        <v>11</v>
      </c>
      <c r="D223">
        <f ca="1">IF(表_网址[[#This Row],[重点关键词]]="",10,MATCH(表_网址[[#This Row],[重点关键词]],序列_重点关键词,0)+10)</f>
        <v>17</v>
      </c>
      <c r="E223" s="2">
        <f>IF(AND(表_网址[[#This Row],[首要关键词]]=K222,表_网址[[#This Row],[次要关键词]]=L222,表_网址[[#This Row],[重点关键词]]=M222),E222+1,IF(表_网址[[#This Row],[重点关键词]]="",100,101))</f>
        <v>102</v>
      </c>
      <c r="F223" t="s">
        <v>271</v>
      </c>
      <c r="G223" t="s">
        <v>272</v>
      </c>
      <c r="H223" t="s">
        <v>273</v>
      </c>
      <c r="I223" t="s">
        <v>29</v>
      </c>
      <c r="J223" t="s">
        <v>1898</v>
      </c>
      <c r="K223" t="s">
        <v>24</v>
      </c>
      <c r="L223" t="s">
        <v>26</v>
      </c>
      <c r="M223" t="s">
        <v>270</v>
      </c>
      <c r="N223" t="s">
        <v>1848</v>
      </c>
    </row>
    <row r="224" spans="1:17" x14ac:dyDescent="0.2">
      <c r="A224" t="str">
        <f ca="1">表_网址[[#This Row],[1级]]&amp;"-"&amp;表_网址[[#This Row],[2级]]&amp;"-"&amp;表_网址[[#This Row],[3级]]&amp;"-"&amp;表_网址[[#This Row],[级内]]</f>
        <v>8003-11-17-103</v>
      </c>
      <c r="B224" s="2">
        <f ca="1">MATCH(表_网址[[#This Row],[版层分类]],序列_版层分类,0)*1000+MATCH(表_网址[[#This Row],[首要关键词]],序列_首要关键词,0)</f>
        <v>8003</v>
      </c>
      <c r="C224" s="2">
        <f ca="1">IF(表_网址[[#This Row],[次要关键词]]="",10,MATCH(表_网址[[#This Row],[次要关键词]],序列_次要关键词,0)+10)</f>
        <v>11</v>
      </c>
      <c r="D224">
        <f ca="1">IF(表_网址[[#This Row],[重点关键词]]="",10,MATCH(表_网址[[#This Row],[重点关键词]],序列_重点关键词,0)+10)</f>
        <v>17</v>
      </c>
      <c r="E224" s="2">
        <f>IF(AND(表_网址[[#This Row],[首要关键词]]=K223,表_网址[[#This Row],[次要关键词]]=L223,表_网址[[#This Row],[重点关键词]]=M223),E223+1,IF(表_网址[[#This Row],[重点关键词]]="",100,101))</f>
        <v>103</v>
      </c>
      <c r="F224" t="s">
        <v>274</v>
      </c>
      <c r="H224" t="s">
        <v>275</v>
      </c>
      <c r="I224" t="s">
        <v>29</v>
      </c>
      <c r="J224" t="s">
        <v>1898</v>
      </c>
      <c r="K224" t="s">
        <v>24</v>
      </c>
      <c r="L224" t="s">
        <v>26</v>
      </c>
      <c r="M224" t="s">
        <v>270</v>
      </c>
    </row>
    <row r="225" spans="1:17" x14ac:dyDescent="0.2">
      <c r="A225" t="str">
        <f ca="1">表_网址[[#This Row],[1级]]&amp;"-"&amp;表_网址[[#This Row],[2级]]&amp;"-"&amp;表_网址[[#This Row],[3级]]&amp;"-"&amp;表_网址[[#This Row],[级内]]</f>
        <v>8004-10-10-100</v>
      </c>
      <c r="B225" s="2">
        <f ca="1">MATCH(表_网址[[#This Row],[版层分类]],序列_版层分类,0)*1000+MATCH(表_网址[[#This Row],[首要关键词]],序列_首要关键词,0)</f>
        <v>8004</v>
      </c>
      <c r="C225" s="2">
        <f>IF(表_网址[[#This Row],[次要关键词]]="",10,MATCH(表_网址[[#This Row],[次要关键词]],序列_次要关键词,0)+10)</f>
        <v>10</v>
      </c>
      <c r="D225">
        <f>IF(表_网址[[#This Row],[重点关键词]]="",10,MATCH(表_网址[[#This Row],[重点关键词]],序列_重点关键词,0)+10)</f>
        <v>10</v>
      </c>
      <c r="E225" s="2">
        <f>IF(AND(表_网址[[#This Row],[首要关键词]]=K224,表_网址[[#This Row],[次要关键词]]=L224,表_网址[[#This Row],[重点关键词]]=M224),E224+1,IF(表_网址[[#This Row],[重点关键词]]="",100,101))</f>
        <v>100</v>
      </c>
      <c r="F225" t="s">
        <v>276</v>
      </c>
      <c r="G225" t="s">
        <v>277</v>
      </c>
      <c r="H225" t="s">
        <v>29</v>
      </c>
      <c r="I225" t="s">
        <v>278</v>
      </c>
      <c r="J225" t="s">
        <v>1898</v>
      </c>
      <c r="K225" t="s">
        <v>279</v>
      </c>
      <c r="N225" t="s">
        <v>1848</v>
      </c>
      <c r="Q225">
        <v>16</v>
      </c>
    </row>
    <row r="226" spans="1:17" x14ac:dyDescent="0.2">
      <c r="A226" t="str">
        <f ca="1">表_网址[[#This Row],[1级]]&amp;"-"&amp;表_网址[[#This Row],[2级]]&amp;"-"&amp;表_网址[[#This Row],[3级]]&amp;"-"&amp;表_网址[[#This Row],[级内]]</f>
        <v>8004-11-10-100</v>
      </c>
      <c r="B226" s="2">
        <f ca="1">MATCH(表_网址[[#This Row],[版层分类]],序列_版层分类,0)*1000+MATCH(表_网址[[#This Row],[首要关键词]],序列_首要关键词,0)</f>
        <v>8004</v>
      </c>
      <c r="C226" s="2">
        <f ca="1">IF(表_网址[[#This Row],[次要关键词]]="",10,MATCH(表_网址[[#This Row],[次要关键词]],序列_次要关键词,0)+10)</f>
        <v>11</v>
      </c>
      <c r="D226">
        <f>IF(表_网址[[#This Row],[重点关键词]]="",10,MATCH(表_网址[[#This Row],[重点关键词]],序列_重点关键词,0)+10)</f>
        <v>10</v>
      </c>
      <c r="E226" s="2">
        <f>IF(AND(表_网址[[#This Row],[首要关键词]]=K225,表_网址[[#This Row],[次要关键词]]=L225,表_网址[[#This Row],[重点关键词]]=M225),E225+1,IF(表_网址[[#This Row],[重点关键词]]="",100,101))</f>
        <v>100</v>
      </c>
      <c r="F226" t="s">
        <v>280</v>
      </c>
      <c r="G226" t="s">
        <v>281</v>
      </c>
      <c r="H226" t="s">
        <v>29</v>
      </c>
      <c r="I226" t="s">
        <v>282</v>
      </c>
      <c r="J226" t="s">
        <v>1898</v>
      </c>
      <c r="K226" t="s">
        <v>279</v>
      </c>
      <c r="L226" t="s">
        <v>283</v>
      </c>
      <c r="N226" t="s">
        <v>1848</v>
      </c>
      <c r="Q226">
        <v>25</v>
      </c>
    </row>
    <row r="227" spans="1:17" x14ac:dyDescent="0.2">
      <c r="A227" t="str">
        <f ca="1">表_网址[[#This Row],[1级]]&amp;"-"&amp;表_网址[[#This Row],[2级]]&amp;"-"&amp;表_网址[[#This Row],[3级]]&amp;"-"&amp;表_网址[[#This Row],[级内]]</f>
        <v>8004-12-10-100</v>
      </c>
      <c r="B227" s="2">
        <f ca="1">MATCH(表_网址[[#This Row],[版层分类]],序列_版层分类,0)*1000+MATCH(表_网址[[#This Row],[首要关键词]],序列_首要关键词,0)</f>
        <v>8004</v>
      </c>
      <c r="C227" s="2">
        <f ca="1">IF(表_网址[[#This Row],[次要关键词]]="",10,MATCH(表_网址[[#This Row],[次要关键词]],序列_次要关键词,0)+10)</f>
        <v>12</v>
      </c>
      <c r="D227">
        <f>IF(表_网址[[#This Row],[重点关键词]]="",10,MATCH(表_网址[[#This Row],[重点关键词]],序列_重点关键词,0)+10)</f>
        <v>10</v>
      </c>
      <c r="E227" s="2">
        <f>IF(AND(表_网址[[#This Row],[首要关键词]]=K226,表_网址[[#This Row],[次要关键词]]=L226,表_网址[[#This Row],[重点关键词]]=M226),E226+1,IF(表_网址[[#This Row],[重点关键词]]="",100,101))</f>
        <v>100</v>
      </c>
      <c r="F227" t="s">
        <v>284</v>
      </c>
      <c r="G227" t="s">
        <v>285</v>
      </c>
      <c r="H227" t="s">
        <v>29</v>
      </c>
      <c r="I227" t="s">
        <v>286</v>
      </c>
      <c r="J227" t="s">
        <v>1898</v>
      </c>
      <c r="K227" t="s">
        <v>279</v>
      </c>
      <c r="L227" t="s">
        <v>287</v>
      </c>
      <c r="N227" t="s">
        <v>1848</v>
      </c>
    </row>
    <row r="228" spans="1:17" x14ac:dyDescent="0.2">
      <c r="A228" t="str">
        <f ca="1">表_网址[[#This Row],[1级]]&amp;"-"&amp;表_网址[[#This Row],[2级]]&amp;"-"&amp;表_网址[[#This Row],[3级]]&amp;"-"&amp;表_网址[[#This Row],[级内]]</f>
        <v>8004-13-10-100</v>
      </c>
      <c r="B228" s="2">
        <f ca="1">MATCH(表_网址[[#This Row],[版层分类]],序列_版层分类,0)*1000+MATCH(表_网址[[#This Row],[首要关键词]],序列_首要关键词,0)</f>
        <v>8004</v>
      </c>
      <c r="C228" s="2">
        <f ca="1">IF(表_网址[[#This Row],[次要关键词]]="",10,MATCH(表_网址[[#This Row],[次要关键词]],序列_次要关键词,0)+10)</f>
        <v>13</v>
      </c>
      <c r="D228">
        <f>IF(表_网址[[#This Row],[重点关键词]]="",10,MATCH(表_网址[[#This Row],[重点关键词]],序列_重点关键词,0)+10)</f>
        <v>10</v>
      </c>
      <c r="E228" s="2">
        <f>IF(AND(表_网址[[#This Row],[首要关键词]]=K227,表_网址[[#This Row],[次要关键词]]=L227,表_网址[[#This Row],[重点关键词]]=M227),E227+1,IF(表_网址[[#This Row],[重点关键词]]="",100,101))</f>
        <v>100</v>
      </c>
      <c r="F228" t="s">
        <v>288</v>
      </c>
      <c r="G228" t="s">
        <v>289</v>
      </c>
      <c r="H228" t="s">
        <v>29</v>
      </c>
      <c r="I228" t="s">
        <v>290</v>
      </c>
      <c r="J228" t="s">
        <v>1898</v>
      </c>
      <c r="K228" t="s">
        <v>279</v>
      </c>
      <c r="L228" t="s">
        <v>291</v>
      </c>
      <c r="N228" t="s">
        <v>1848</v>
      </c>
    </row>
    <row r="229" spans="1:17" x14ac:dyDescent="0.2">
      <c r="A229" t="str">
        <f ca="1">表_网址[[#This Row],[1级]]&amp;"-"&amp;表_网址[[#This Row],[2级]]&amp;"-"&amp;表_网址[[#This Row],[3级]]&amp;"-"&amp;表_网址[[#This Row],[级内]]</f>
        <v>8004-14-10-100</v>
      </c>
      <c r="B229" s="2">
        <f ca="1">MATCH(表_网址[[#This Row],[版层分类]],序列_版层分类,0)*1000+MATCH(表_网址[[#This Row],[首要关键词]],序列_首要关键词,0)</f>
        <v>8004</v>
      </c>
      <c r="C229" s="2">
        <f ca="1">IF(表_网址[[#This Row],[次要关键词]]="",10,MATCH(表_网址[[#This Row],[次要关键词]],序列_次要关键词,0)+10)</f>
        <v>14</v>
      </c>
      <c r="D229">
        <f>IF(表_网址[[#This Row],[重点关键词]]="",10,MATCH(表_网址[[#This Row],[重点关键词]],序列_重点关键词,0)+10)</f>
        <v>10</v>
      </c>
      <c r="E229" s="2">
        <f>IF(AND(表_网址[[#This Row],[首要关键词]]=K228,表_网址[[#This Row],[次要关键词]]=L228,表_网址[[#This Row],[重点关键词]]=M228),E228+1,IF(表_网址[[#This Row],[重点关键词]]="",100,101))</f>
        <v>100</v>
      </c>
      <c r="F229" t="s">
        <v>292</v>
      </c>
      <c r="G229" t="s">
        <v>293</v>
      </c>
      <c r="H229" t="s">
        <v>29</v>
      </c>
      <c r="I229" t="s">
        <v>294</v>
      </c>
      <c r="J229" t="s">
        <v>1898</v>
      </c>
      <c r="K229" t="s">
        <v>279</v>
      </c>
      <c r="L229" t="s">
        <v>295</v>
      </c>
      <c r="N229" t="s">
        <v>1848</v>
      </c>
    </row>
    <row r="230" spans="1:17" x14ac:dyDescent="0.2">
      <c r="A230" t="str">
        <f ca="1">表_网址[[#This Row],[1级]]&amp;"-"&amp;表_网址[[#This Row],[2级]]&amp;"-"&amp;表_网址[[#This Row],[3级]]&amp;"-"&amp;表_网址[[#This Row],[级内]]</f>
        <v>8004-15-10-100</v>
      </c>
      <c r="B230" s="2">
        <f ca="1">MATCH(表_网址[[#This Row],[版层分类]],序列_版层分类,0)*1000+MATCH(表_网址[[#This Row],[首要关键词]],序列_首要关键词,0)</f>
        <v>8004</v>
      </c>
      <c r="C230" s="2">
        <f ca="1">IF(表_网址[[#This Row],[次要关键词]]="",10,MATCH(表_网址[[#This Row],[次要关键词]],序列_次要关键词,0)+10)</f>
        <v>15</v>
      </c>
      <c r="D230">
        <f>IF(表_网址[[#This Row],[重点关键词]]="",10,MATCH(表_网址[[#This Row],[重点关键词]],序列_重点关键词,0)+10)</f>
        <v>10</v>
      </c>
      <c r="E230" s="2">
        <f>IF(AND(表_网址[[#This Row],[首要关键词]]=K229,表_网址[[#This Row],[次要关键词]]=L229,表_网址[[#This Row],[重点关键词]]=M229),E229+1,IF(表_网址[[#This Row],[重点关键词]]="",100,101))</f>
        <v>100</v>
      </c>
      <c r="F230" t="s">
        <v>296</v>
      </c>
      <c r="G230" t="s">
        <v>297</v>
      </c>
      <c r="H230" t="s">
        <v>29</v>
      </c>
      <c r="I230" t="s">
        <v>298</v>
      </c>
      <c r="J230" t="s">
        <v>1898</v>
      </c>
      <c r="K230" t="s">
        <v>279</v>
      </c>
      <c r="L230" t="s">
        <v>299</v>
      </c>
      <c r="N230" t="s">
        <v>1848</v>
      </c>
      <c r="Q230">
        <v>241</v>
      </c>
    </row>
    <row r="231" spans="1:17" x14ac:dyDescent="0.2">
      <c r="A231" t="str">
        <f ca="1">表_网址[[#This Row],[1级]]&amp;"-"&amp;表_网址[[#This Row],[2级]]&amp;"-"&amp;表_网址[[#This Row],[3级]]&amp;"-"&amp;表_网址[[#This Row],[级内]]</f>
        <v>8004-16-10-100</v>
      </c>
      <c r="B231" s="2">
        <f ca="1">MATCH(表_网址[[#This Row],[版层分类]],序列_版层分类,0)*1000+MATCH(表_网址[[#This Row],[首要关键词]],序列_首要关键词,0)</f>
        <v>8004</v>
      </c>
      <c r="C231" s="2">
        <f ca="1">IF(表_网址[[#This Row],[次要关键词]]="",10,MATCH(表_网址[[#This Row],[次要关键词]],序列_次要关键词,0)+10)</f>
        <v>16</v>
      </c>
      <c r="D231">
        <f>IF(表_网址[[#This Row],[重点关键词]]="",10,MATCH(表_网址[[#This Row],[重点关键词]],序列_重点关键词,0)+10)</f>
        <v>10</v>
      </c>
      <c r="E231" s="2">
        <f>IF(AND(表_网址[[#This Row],[首要关键词]]=K230,表_网址[[#This Row],[次要关键词]]=L230,表_网址[[#This Row],[重点关键词]]=M230),E230+1,IF(表_网址[[#This Row],[重点关键词]]="",100,101))</f>
        <v>100</v>
      </c>
      <c r="F231" t="s">
        <v>300</v>
      </c>
      <c r="G231" t="s">
        <v>301</v>
      </c>
      <c r="H231" t="s">
        <v>29</v>
      </c>
      <c r="I231" t="s">
        <v>302</v>
      </c>
      <c r="J231" t="s">
        <v>1898</v>
      </c>
      <c r="K231" t="s">
        <v>279</v>
      </c>
      <c r="L231" t="s">
        <v>303</v>
      </c>
      <c r="N231" t="s">
        <v>1848</v>
      </c>
      <c r="O231" t="s">
        <v>1166</v>
      </c>
      <c r="Q231">
        <v>268</v>
      </c>
    </row>
    <row r="232" spans="1:17" x14ac:dyDescent="0.2">
      <c r="A232" t="str">
        <f ca="1">表_网址[[#This Row],[1级]]&amp;"-"&amp;表_网址[[#This Row],[2级]]&amp;"-"&amp;表_网址[[#This Row],[3级]]&amp;"-"&amp;表_网址[[#This Row],[级内]]</f>
        <v>8004-17-10-100</v>
      </c>
      <c r="B232" s="2">
        <f ca="1">MATCH(表_网址[[#This Row],[版层分类]],序列_版层分类,0)*1000+MATCH(表_网址[[#This Row],[首要关键词]],序列_首要关键词,0)</f>
        <v>8004</v>
      </c>
      <c r="C232" s="2">
        <f ca="1">IF(表_网址[[#This Row],[次要关键词]]="",10,MATCH(表_网址[[#This Row],[次要关键词]],序列_次要关键词,0)+10)</f>
        <v>17</v>
      </c>
      <c r="D232">
        <f>IF(表_网址[[#This Row],[重点关键词]]="",10,MATCH(表_网址[[#This Row],[重点关键词]],序列_重点关键词,0)+10)</f>
        <v>10</v>
      </c>
      <c r="E232" s="2">
        <f>IF(AND(表_网址[[#This Row],[首要关键词]]=K231,表_网址[[#This Row],[次要关键词]]=L231,表_网址[[#This Row],[重点关键词]]=M231),E231+1,IF(表_网址[[#This Row],[重点关键词]]="",100,101))</f>
        <v>100</v>
      </c>
      <c r="F232" t="s">
        <v>304</v>
      </c>
      <c r="G232" t="s">
        <v>305</v>
      </c>
      <c r="H232" t="s">
        <v>29</v>
      </c>
      <c r="I232" t="s">
        <v>306</v>
      </c>
      <c r="J232" t="s">
        <v>1898</v>
      </c>
      <c r="K232" t="s">
        <v>279</v>
      </c>
      <c r="L232" t="s">
        <v>307</v>
      </c>
      <c r="N232" t="s">
        <v>1848</v>
      </c>
    </row>
    <row r="233" spans="1:17" x14ac:dyDescent="0.2">
      <c r="A233" t="str">
        <f ca="1">表_网址[[#This Row],[1级]]&amp;"-"&amp;表_网址[[#This Row],[2级]]&amp;"-"&amp;表_网址[[#This Row],[3级]]&amp;"-"&amp;表_网址[[#This Row],[级内]]</f>
        <v>8004-18-10-100</v>
      </c>
      <c r="B233" s="2">
        <f ca="1">MATCH(表_网址[[#This Row],[版层分类]],序列_版层分类,0)*1000+MATCH(表_网址[[#This Row],[首要关键词]],序列_首要关键词,0)</f>
        <v>8004</v>
      </c>
      <c r="C233" s="2">
        <f ca="1">IF(表_网址[[#This Row],[次要关键词]]="",10,MATCH(表_网址[[#This Row],[次要关键词]],序列_次要关键词,0)+10)</f>
        <v>18</v>
      </c>
      <c r="D233">
        <f>IF(表_网址[[#This Row],[重点关键词]]="",10,MATCH(表_网址[[#This Row],[重点关键词]],序列_重点关键词,0)+10)</f>
        <v>10</v>
      </c>
      <c r="E233" s="2">
        <f>IF(AND(表_网址[[#This Row],[首要关键词]]=K232,表_网址[[#This Row],[次要关键词]]=L232,表_网址[[#This Row],[重点关键词]]=M232),E232+1,IF(表_网址[[#This Row],[重点关键词]]="",100,101))</f>
        <v>100</v>
      </c>
      <c r="F233" t="s">
        <v>308</v>
      </c>
      <c r="G233" t="s">
        <v>309</v>
      </c>
      <c r="H233" t="s">
        <v>29</v>
      </c>
      <c r="I233" t="s">
        <v>310</v>
      </c>
      <c r="J233" t="s">
        <v>1898</v>
      </c>
      <c r="K233" t="s">
        <v>279</v>
      </c>
      <c r="L233" t="s">
        <v>311</v>
      </c>
      <c r="N233" t="s">
        <v>1848</v>
      </c>
      <c r="Q233">
        <v>16</v>
      </c>
    </row>
    <row r="234" spans="1:17" x14ac:dyDescent="0.2">
      <c r="A234" t="str">
        <f ca="1">表_网址[[#This Row],[1级]]&amp;"-"&amp;表_网址[[#This Row],[2级]]&amp;"-"&amp;表_网址[[#This Row],[3级]]&amp;"-"&amp;表_网址[[#This Row],[级内]]</f>
        <v>8004-19-10-100</v>
      </c>
      <c r="B234" s="2">
        <f ca="1">MATCH(表_网址[[#This Row],[版层分类]],序列_版层分类,0)*1000+MATCH(表_网址[[#This Row],[首要关键词]],序列_首要关键词,0)</f>
        <v>8004</v>
      </c>
      <c r="C234" s="2">
        <f ca="1">IF(表_网址[[#This Row],[次要关键词]]="",10,MATCH(表_网址[[#This Row],[次要关键词]],序列_次要关键词,0)+10)</f>
        <v>19</v>
      </c>
      <c r="D234">
        <f>IF(表_网址[[#This Row],[重点关键词]]="",10,MATCH(表_网址[[#This Row],[重点关键词]],序列_重点关键词,0)+10)</f>
        <v>10</v>
      </c>
      <c r="E234" s="2">
        <f>IF(AND(表_网址[[#This Row],[首要关键词]]=K233,表_网址[[#This Row],[次要关键词]]=L233,表_网址[[#This Row],[重点关键词]]=M233),E233+1,IF(表_网址[[#This Row],[重点关键词]]="",100,101))</f>
        <v>100</v>
      </c>
      <c r="F234" t="s">
        <v>312</v>
      </c>
      <c r="G234" t="s">
        <v>313</v>
      </c>
      <c r="H234" t="s">
        <v>29</v>
      </c>
      <c r="I234" t="s">
        <v>314</v>
      </c>
      <c r="J234" t="s">
        <v>1898</v>
      </c>
      <c r="K234" t="s">
        <v>279</v>
      </c>
      <c r="L234" t="s">
        <v>315</v>
      </c>
      <c r="N234" t="s">
        <v>1848</v>
      </c>
    </row>
    <row r="235" spans="1:17" x14ac:dyDescent="0.2">
      <c r="A235" t="str">
        <f ca="1">表_网址[[#This Row],[1级]]&amp;"-"&amp;表_网址[[#This Row],[2级]]&amp;"-"&amp;表_网址[[#This Row],[3级]]&amp;"-"&amp;表_网址[[#This Row],[级内]]</f>
        <v>8004-20-10-100</v>
      </c>
      <c r="B235" s="2">
        <f ca="1">MATCH(表_网址[[#This Row],[版层分类]],序列_版层分类,0)*1000+MATCH(表_网址[[#This Row],[首要关键词]],序列_首要关键词,0)</f>
        <v>8004</v>
      </c>
      <c r="C235" s="2">
        <f ca="1">IF(表_网址[[#This Row],[次要关键词]]="",10,MATCH(表_网址[[#This Row],[次要关键词]],序列_次要关键词,0)+10)</f>
        <v>20</v>
      </c>
      <c r="D235">
        <f>IF(表_网址[[#This Row],[重点关键词]]="",10,MATCH(表_网址[[#This Row],[重点关键词]],序列_重点关键词,0)+10)</f>
        <v>10</v>
      </c>
      <c r="E235" s="2">
        <f>IF(AND(表_网址[[#This Row],[首要关键词]]=K234,表_网址[[#This Row],[次要关键词]]=L234,表_网址[[#This Row],[重点关键词]]=M234),E234+1,IF(表_网址[[#This Row],[重点关键词]]="",100,101))</f>
        <v>100</v>
      </c>
      <c r="F235" t="s">
        <v>316</v>
      </c>
      <c r="G235" t="s">
        <v>317</v>
      </c>
      <c r="H235" t="s">
        <v>29</v>
      </c>
      <c r="I235" t="s">
        <v>318</v>
      </c>
      <c r="J235" t="s">
        <v>1898</v>
      </c>
      <c r="K235" t="s">
        <v>279</v>
      </c>
      <c r="L235" t="s">
        <v>319</v>
      </c>
      <c r="N235" t="s">
        <v>1848</v>
      </c>
    </row>
    <row r="236" spans="1:17" x14ac:dyDescent="0.2">
      <c r="A236" t="str">
        <f ca="1">表_网址[[#This Row],[1级]]&amp;"-"&amp;表_网址[[#This Row],[2级]]&amp;"-"&amp;表_网址[[#This Row],[3级]]&amp;"-"&amp;表_网址[[#This Row],[级内]]</f>
        <v>8004-21-10-100</v>
      </c>
      <c r="B236" s="2">
        <f ca="1">MATCH(表_网址[[#This Row],[版层分类]],序列_版层分类,0)*1000+MATCH(表_网址[[#This Row],[首要关键词]],序列_首要关键词,0)</f>
        <v>8004</v>
      </c>
      <c r="C236" s="2">
        <f ca="1">IF(表_网址[[#This Row],[次要关键词]]="",10,MATCH(表_网址[[#This Row],[次要关键词]],序列_次要关键词,0)+10)</f>
        <v>21</v>
      </c>
      <c r="D236">
        <f>IF(表_网址[[#This Row],[重点关键词]]="",10,MATCH(表_网址[[#This Row],[重点关键词]],序列_重点关键词,0)+10)</f>
        <v>10</v>
      </c>
      <c r="E236" s="2">
        <f>IF(AND(表_网址[[#This Row],[首要关键词]]=K235,表_网址[[#This Row],[次要关键词]]=L235,表_网址[[#This Row],[重点关键词]]=M235),E235+1,IF(表_网址[[#This Row],[重点关键词]]="",100,101))</f>
        <v>100</v>
      </c>
      <c r="F236" t="s">
        <v>320</v>
      </c>
      <c r="G236" t="s">
        <v>321</v>
      </c>
      <c r="H236" t="s">
        <v>29</v>
      </c>
      <c r="I236" t="s">
        <v>322</v>
      </c>
      <c r="J236" t="s">
        <v>1898</v>
      </c>
      <c r="K236" t="s">
        <v>279</v>
      </c>
      <c r="L236" t="s">
        <v>323</v>
      </c>
      <c r="N236" t="s">
        <v>1848</v>
      </c>
      <c r="Q236">
        <v>25</v>
      </c>
    </row>
    <row r="237" spans="1:17" x14ac:dyDescent="0.2">
      <c r="A237" t="str">
        <f ca="1">表_网址[[#This Row],[1级]]&amp;"-"&amp;表_网址[[#This Row],[2级]]&amp;"-"&amp;表_网址[[#This Row],[3级]]&amp;"-"&amp;表_网址[[#This Row],[级内]]</f>
        <v>8004-22-10-100</v>
      </c>
      <c r="B237" s="2">
        <f ca="1">MATCH(表_网址[[#This Row],[版层分类]],序列_版层分类,0)*1000+MATCH(表_网址[[#This Row],[首要关键词]],序列_首要关键词,0)</f>
        <v>8004</v>
      </c>
      <c r="C237" s="2">
        <f ca="1">IF(表_网址[[#This Row],[次要关键词]]="",10,MATCH(表_网址[[#This Row],[次要关键词]],序列_次要关键词,0)+10)</f>
        <v>22</v>
      </c>
      <c r="D237">
        <f>IF(表_网址[[#This Row],[重点关键词]]="",10,MATCH(表_网址[[#This Row],[重点关键词]],序列_重点关键词,0)+10)</f>
        <v>10</v>
      </c>
      <c r="E237" s="2">
        <f>IF(AND(表_网址[[#This Row],[首要关键词]]=K236,表_网址[[#This Row],[次要关键词]]=L236,表_网址[[#This Row],[重点关键词]]=M236),E236+1,IF(表_网址[[#This Row],[重点关键词]]="",100,101))</f>
        <v>100</v>
      </c>
      <c r="F237" t="s">
        <v>324</v>
      </c>
      <c r="G237" t="s">
        <v>325</v>
      </c>
      <c r="H237" t="s">
        <v>29</v>
      </c>
      <c r="I237" t="s">
        <v>326</v>
      </c>
      <c r="J237" t="s">
        <v>1898</v>
      </c>
      <c r="K237" t="s">
        <v>279</v>
      </c>
      <c r="L237" t="s">
        <v>327</v>
      </c>
      <c r="N237" t="s">
        <v>1848</v>
      </c>
      <c r="Q237">
        <v>32</v>
      </c>
    </row>
    <row r="238" spans="1:17" x14ac:dyDescent="0.2">
      <c r="A238" t="str">
        <f ca="1">表_网址[[#This Row],[1级]]&amp;"-"&amp;表_网址[[#This Row],[2级]]&amp;"-"&amp;表_网址[[#This Row],[3级]]&amp;"-"&amp;表_网址[[#This Row],[级内]]</f>
        <v>8004-23-10-100</v>
      </c>
      <c r="B238" s="2">
        <f ca="1">MATCH(表_网址[[#This Row],[版层分类]],序列_版层分类,0)*1000+MATCH(表_网址[[#This Row],[首要关键词]],序列_首要关键词,0)</f>
        <v>8004</v>
      </c>
      <c r="C238" s="2">
        <f ca="1">IF(表_网址[[#This Row],[次要关键词]]="",10,MATCH(表_网址[[#This Row],[次要关键词]],序列_次要关键词,0)+10)</f>
        <v>23</v>
      </c>
      <c r="D238">
        <f>IF(表_网址[[#This Row],[重点关键词]]="",10,MATCH(表_网址[[#This Row],[重点关键词]],序列_重点关键词,0)+10)</f>
        <v>10</v>
      </c>
      <c r="E238" s="2">
        <f>IF(AND(表_网址[[#This Row],[首要关键词]]=K237,表_网址[[#This Row],[次要关键词]]=L237,表_网址[[#This Row],[重点关键词]]=M237),E237+1,IF(表_网址[[#This Row],[重点关键词]]="",100,101))</f>
        <v>100</v>
      </c>
      <c r="F238" t="s">
        <v>328</v>
      </c>
      <c r="G238" t="s">
        <v>329</v>
      </c>
      <c r="H238" t="s">
        <v>29</v>
      </c>
      <c r="I238" t="s">
        <v>330</v>
      </c>
      <c r="J238" t="s">
        <v>1898</v>
      </c>
      <c r="K238" t="s">
        <v>279</v>
      </c>
      <c r="L238" t="s">
        <v>331</v>
      </c>
      <c r="N238" t="s">
        <v>1848</v>
      </c>
      <c r="Q238">
        <v>32</v>
      </c>
    </row>
    <row r="239" spans="1:17" x14ac:dyDescent="0.2">
      <c r="A239" t="str">
        <f ca="1">表_网址[[#This Row],[1级]]&amp;"-"&amp;表_网址[[#This Row],[2级]]&amp;"-"&amp;表_网址[[#This Row],[3级]]&amp;"-"&amp;表_网址[[#This Row],[级内]]</f>
        <v>8004-23-11-101</v>
      </c>
      <c r="B239" s="2">
        <f ca="1">MATCH(表_网址[[#This Row],[版层分类]],序列_版层分类,0)*1000+MATCH(表_网址[[#This Row],[首要关键词]],序列_首要关键词,0)</f>
        <v>8004</v>
      </c>
      <c r="C239" s="2">
        <f ca="1">IF(表_网址[[#This Row],[次要关键词]]="",10,MATCH(表_网址[[#This Row],[次要关键词]],序列_次要关键词,0)+10)</f>
        <v>23</v>
      </c>
      <c r="D239">
        <f ca="1">IF(表_网址[[#This Row],[重点关键词]]="",10,MATCH(表_网址[[#This Row],[重点关键词]],序列_重点关键词,0)+10)</f>
        <v>11</v>
      </c>
      <c r="E239" s="2">
        <f>IF(AND(表_网址[[#This Row],[首要关键词]]=K238,表_网址[[#This Row],[次要关键词]]=L238,表_网址[[#This Row],[重点关键词]]=M238),E238+1,IF(表_网址[[#This Row],[重点关键词]]="",100,101))</f>
        <v>101</v>
      </c>
      <c r="F239" t="s">
        <v>332</v>
      </c>
      <c r="G239" t="s">
        <v>333</v>
      </c>
      <c r="H239" t="s">
        <v>29</v>
      </c>
      <c r="I239" t="s">
        <v>334</v>
      </c>
      <c r="J239" t="s">
        <v>1898</v>
      </c>
      <c r="K239" t="s">
        <v>279</v>
      </c>
      <c r="L239" t="s">
        <v>331</v>
      </c>
      <c r="M239" t="s">
        <v>335</v>
      </c>
      <c r="N239" t="s">
        <v>1848</v>
      </c>
      <c r="O239" t="s">
        <v>1166</v>
      </c>
      <c r="Q239">
        <v>40</v>
      </c>
    </row>
    <row r="240" spans="1:17" x14ac:dyDescent="0.2">
      <c r="A240" t="str">
        <f ca="1">表_网址[[#This Row],[1级]]&amp;"-"&amp;表_网址[[#This Row],[2级]]&amp;"-"&amp;表_网址[[#This Row],[3级]]&amp;"-"&amp;表_网址[[#This Row],[级内]]</f>
        <v>8004-23-12-101</v>
      </c>
      <c r="B240" s="2">
        <f ca="1">MATCH(表_网址[[#This Row],[版层分类]],序列_版层分类,0)*1000+MATCH(表_网址[[#This Row],[首要关键词]],序列_首要关键词,0)</f>
        <v>8004</v>
      </c>
      <c r="C240" s="2">
        <f ca="1">IF(表_网址[[#This Row],[次要关键词]]="",10,MATCH(表_网址[[#This Row],[次要关键词]],序列_次要关键词,0)+10)</f>
        <v>23</v>
      </c>
      <c r="D240">
        <f ca="1">IF(表_网址[[#This Row],[重点关键词]]="",10,MATCH(表_网址[[#This Row],[重点关键词]],序列_重点关键词,0)+10)</f>
        <v>12</v>
      </c>
      <c r="E240" s="2">
        <f>IF(AND(表_网址[[#This Row],[首要关键词]]=K239,表_网址[[#This Row],[次要关键词]]=L239,表_网址[[#This Row],[重点关键词]]=M239),E239+1,IF(表_网址[[#This Row],[重点关键词]]="",100,101))</f>
        <v>101</v>
      </c>
      <c r="F240" t="s">
        <v>336</v>
      </c>
      <c r="G240" t="s">
        <v>337</v>
      </c>
      <c r="H240" t="s">
        <v>29</v>
      </c>
      <c r="I240" t="s">
        <v>338</v>
      </c>
      <c r="J240" t="s">
        <v>1898</v>
      </c>
      <c r="K240" t="s">
        <v>279</v>
      </c>
      <c r="L240" t="s">
        <v>331</v>
      </c>
      <c r="M240" t="s">
        <v>339</v>
      </c>
      <c r="N240" t="s">
        <v>1848</v>
      </c>
    </row>
    <row r="241" spans="1:17" x14ac:dyDescent="0.2">
      <c r="A241" t="str">
        <f ca="1">表_网址[[#This Row],[1级]]&amp;"-"&amp;表_网址[[#This Row],[2级]]&amp;"-"&amp;表_网址[[#This Row],[3级]]&amp;"-"&amp;表_网址[[#This Row],[级内]]</f>
        <v>8004-23-13-101</v>
      </c>
      <c r="B241" s="2">
        <f ca="1">MATCH(表_网址[[#This Row],[版层分类]],序列_版层分类,0)*1000+MATCH(表_网址[[#This Row],[首要关键词]],序列_首要关键词,0)</f>
        <v>8004</v>
      </c>
      <c r="C241" s="2">
        <f ca="1">IF(表_网址[[#This Row],[次要关键词]]="",10,MATCH(表_网址[[#This Row],[次要关键词]],序列_次要关键词,0)+10)</f>
        <v>23</v>
      </c>
      <c r="D241">
        <f ca="1">IF(表_网址[[#This Row],[重点关键词]]="",10,MATCH(表_网址[[#This Row],[重点关键词]],序列_重点关键词,0)+10)</f>
        <v>13</v>
      </c>
      <c r="E241" s="2">
        <f>IF(AND(表_网址[[#This Row],[首要关键词]]=K240,表_网址[[#This Row],[次要关键词]]=L240,表_网址[[#This Row],[重点关键词]]=M240),E240+1,IF(表_网址[[#This Row],[重点关键词]]="",100,101))</f>
        <v>101</v>
      </c>
      <c r="F241" t="s">
        <v>340</v>
      </c>
      <c r="G241" t="s">
        <v>341</v>
      </c>
      <c r="H241" t="s">
        <v>29</v>
      </c>
      <c r="I241" t="s">
        <v>342</v>
      </c>
      <c r="J241" t="s">
        <v>1898</v>
      </c>
      <c r="K241" t="s">
        <v>279</v>
      </c>
      <c r="L241" t="s">
        <v>331</v>
      </c>
      <c r="M241" t="s">
        <v>343</v>
      </c>
      <c r="N241" t="s">
        <v>1848</v>
      </c>
    </row>
    <row r="242" spans="1:17" x14ac:dyDescent="0.2">
      <c r="A242" t="str">
        <f ca="1">表_网址[[#This Row],[1级]]&amp;"-"&amp;表_网址[[#This Row],[2级]]&amp;"-"&amp;表_网址[[#This Row],[3级]]&amp;"-"&amp;表_网址[[#This Row],[级内]]</f>
        <v>8004-23-14-101</v>
      </c>
      <c r="B242" s="2">
        <f ca="1">MATCH(表_网址[[#This Row],[版层分类]],序列_版层分类,0)*1000+MATCH(表_网址[[#This Row],[首要关键词]],序列_首要关键词,0)</f>
        <v>8004</v>
      </c>
      <c r="C242" s="2">
        <f ca="1">IF(表_网址[[#This Row],[次要关键词]]="",10,MATCH(表_网址[[#This Row],[次要关键词]],序列_次要关键词,0)+10)</f>
        <v>23</v>
      </c>
      <c r="D242">
        <f ca="1">IF(表_网址[[#This Row],[重点关键词]]="",10,MATCH(表_网址[[#This Row],[重点关键词]],序列_重点关键词,0)+10)</f>
        <v>14</v>
      </c>
      <c r="E242" s="2">
        <f>IF(AND(表_网址[[#This Row],[首要关键词]]=K241,表_网址[[#This Row],[次要关键词]]=L241,表_网址[[#This Row],[重点关键词]]=M241),E241+1,IF(表_网址[[#This Row],[重点关键词]]="",100,101))</f>
        <v>101</v>
      </c>
      <c r="F242" t="s">
        <v>344</v>
      </c>
      <c r="G242" t="s">
        <v>345</v>
      </c>
      <c r="H242" t="s">
        <v>29</v>
      </c>
      <c r="I242" t="s">
        <v>346</v>
      </c>
      <c r="J242" t="s">
        <v>1898</v>
      </c>
      <c r="K242" t="s">
        <v>279</v>
      </c>
      <c r="L242" t="s">
        <v>331</v>
      </c>
      <c r="M242" t="s">
        <v>347</v>
      </c>
      <c r="N242" t="s">
        <v>1848</v>
      </c>
    </row>
    <row r="243" spans="1:17" x14ac:dyDescent="0.2">
      <c r="A243" t="str">
        <f ca="1">表_网址[[#This Row],[1级]]&amp;"-"&amp;表_网址[[#This Row],[2级]]&amp;"-"&amp;表_网址[[#This Row],[3级]]&amp;"-"&amp;表_网址[[#This Row],[级内]]</f>
        <v>8004-23-14-102</v>
      </c>
      <c r="B243" s="2">
        <f ca="1">MATCH(表_网址[[#This Row],[版层分类]],序列_版层分类,0)*1000+MATCH(表_网址[[#This Row],[首要关键词]],序列_首要关键词,0)</f>
        <v>8004</v>
      </c>
      <c r="C243" s="2">
        <f ca="1">IF(表_网址[[#This Row],[次要关键词]]="",10,MATCH(表_网址[[#This Row],[次要关键词]],序列_次要关键词,0)+10)</f>
        <v>23</v>
      </c>
      <c r="D243">
        <f ca="1">IF(表_网址[[#This Row],[重点关键词]]="",10,MATCH(表_网址[[#This Row],[重点关键词]],序列_重点关键词,0)+10)</f>
        <v>14</v>
      </c>
      <c r="E243" s="2">
        <f>IF(AND(表_网址[[#This Row],[首要关键词]]=K242,表_网址[[#This Row],[次要关键词]]=L242,表_网址[[#This Row],[重点关键词]]=M242),E242+1,IF(表_网址[[#This Row],[重点关键词]]="",100,101))</f>
        <v>102</v>
      </c>
      <c r="F243" t="s">
        <v>348</v>
      </c>
      <c r="G243" t="s">
        <v>349</v>
      </c>
      <c r="H243" t="s">
        <v>29</v>
      </c>
      <c r="I243" t="s">
        <v>350</v>
      </c>
      <c r="J243" t="s">
        <v>1898</v>
      </c>
      <c r="K243" t="s">
        <v>279</v>
      </c>
      <c r="L243" t="s">
        <v>331</v>
      </c>
      <c r="M243" t="s">
        <v>347</v>
      </c>
      <c r="N243" t="s">
        <v>1848</v>
      </c>
      <c r="O243" t="s">
        <v>1166</v>
      </c>
      <c r="Q243">
        <v>16</v>
      </c>
    </row>
    <row r="244" spans="1:17" x14ac:dyDescent="0.2">
      <c r="A244" t="str">
        <f ca="1">表_网址[[#This Row],[1级]]&amp;"-"&amp;表_网址[[#This Row],[2级]]&amp;"-"&amp;表_网址[[#This Row],[3级]]&amp;"-"&amp;表_网址[[#This Row],[级内]]</f>
        <v>8004-23-15-101</v>
      </c>
      <c r="B244" s="2">
        <f ca="1">MATCH(表_网址[[#This Row],[版层分类]],序列_版层分类,0)*1000+MATCH(表_网址[[#This Row],[首要关键词]],序列_首要关键词,0)</f>
        <v>8004</v>
      </c>
      <c r="C244" s="2">
        <f ca="1">IF(表_网址[[#This Row],[次要关键词]]="",10,MATCH(表_网址[[#This Row],[次要关键词]],序列_次要关键词,0)+10)</f>
        <v>23</v>
      </c>
      <c r="D244">
        <f ca="1">IF(表_网址[[#This Row],[重点关键词]]="",10,MATCH(表_网址[[#This Row],[重点关键词]],序列_重点关键词,0)+10)</f>
        <v>15</v>
      </c>
      <c r="E244" s="2">
        <f>IF(AND(表_网址[[#This Row],[首要关键词]]=K243,表_网址[[#This Row],[次要关键词]]=L243,表_网址[[#This Row],[重点关键词]]=M243),E243+1,IF(表_网址[[#This Row],[重点关键词]]="",100,101))</f>
        <v>101</v>
      </c>
      <c r="F244" t="s">
        <v>351</v>
      </c>
      <c r="G244" t="s">
        <v>352</v>
      </c>
      <c r="H244" t="s">
        <v>29</v>
      </c>
      <c r="I244" t="s">
        <v>353</v>
      </c>
      <c r="J244" t="s">
        <v>1898</v>
      </c>
      <c r="K244" t="s">
        <v>279</v>
      </c>
      <c r="L244" t="s">
        <v>331</v>
      </c>
      <c r="M244" t="s">
        <v>354</v>
      </c>
      <c r="N244" t="s">
        <v>1848</v>
      </c>
    </row>
    <row r="245" spans="1:17" x14ac:dyDescent="0.2">
      <c r="A245" t="str">
        <f ca="1">表_网址[[#This Row],[1级]]&amp;"-"&amp;表_网址[[#This Row],[2级]]&amp;"-"&amp;表_网址[[#This Row],[3级]]&amp;"-"&amp;表_网址[[#This Row],[级内]]</f>
        <v>8004-23-16-101</v>
      </c>
      <c r="B245" s="2">
        <f ca="1">MATCH(表_网址[[#This Row],[版层分类]],序列_版层分类,0)*1000+MATCH(表_网址[[#This Row],[首要关键词]],序列_首要关键词,0)</f>
        <v>8004</v>
      </c>
      <c r="C245" s="2">
        <f ca="1">IF(表_网址[[#This Row],[次要关键词]]="",10,MATCH(表_网址[[#This Row],[次要关键词]],序列_次要关键词,0)+10)</f>
        <v>23</v>
      </c>
      <c r="D245">
        <f ca="1">IF(表_网址[[#This Row],[重点关键词]]="",10,MATCH(表_网址[[#This Row],[重点关键词]],序列_重点关键词,0)+10)</f>
        <v>16</v>
      </c>
      <c r="E245" s="2">
        <f>IF(AND(表_网址[[#This Row],[首要关键词]]=K244,表_网址[[#This Row],[次要关键词]]=L244,表_网址[[#This Row],[重点关键词]]=M244),E244+1,IF(表_网址[[#This Row],[重点关键词]]="",100,101))</f>
        <v>101</v>
      </c>
      <c r="F245" t="s">
        <v>355</v>
      </c>
      <c r="G245" t="s">
        <v>356</v>
      </c>
      <c r="H245" t="s">
        <v>29</v>
      </c>
      <c r="I245" t="s">
        <v>357</v>
      </c>
      <c r="J245" t="s">
        <v>1898</v>
      </c>
      <c r="K245" t="s">
        <v>279</v>
      </c>
      <c r="L245" t="s">
        <v>331</v>
      </c>
      <c r="M245" t="s">
        <v>358</v>
      </c>
      <c r="N245" t="s">
        <v>1848</v>
      </c>
    </row>
    <row r="246" spans="1:17" x14ac:dyDescent="0.2">
      <c r="A246" t="str">
        <f ca="1">表_网址[[#This Row],[1级]]&amp;"-"&amp;表_网址[[#This Row],[2级]]&amp;"-"&amp;表_网址[[#This Row],[3级]]&amp;"-"&amp;表_网址[[#This Row],[级内]]</f>
        <v>8004-23-17-101</v>
      </c>
      <c r="B246" s="2">
        <f ca="1">MATCH(表_网址[[#This Row],[版层分类]],序列_版层分类,0)*1000+MATCH(表_网址[[#This Row],[首要关键词]],序列_首要关键词,0)</f>
        <v>8004</v>
      </c>
      <c r="C246" s="2">
        <f ca="1">IF(表_网址[[#This Row],[次要关键词]]="",10,MATCH(表_网址[[#This Row],[次要关键词]],序列_次要关键词,0)+10)</f>
        <v>23</v>
      </c>
      <c r="D246">
        <f ca="1">IF(表_网址[[#This Row],[重点关键词]]="",10,MATCH(表_网址[[#This Row],[重点关键词]],序列_重点关键词,0)+10)</f>
        <v>17</v>
      </c>
      <c r="E246" s="2">
        <f>IF(AND(表_网址[[#This Row],[首要关键词]]=K245,表_网址[[#This Row],[次要关键词]]=L245,表_网址[[#This Row],[重点关键词]]=M245),E245+1,IF(表_网址[[#This Row],[重点关键词]]="",100,101))</f>
        <v>101</v>
      </c>
      <c r="F246" t="s">
        <v>359</v>
      </c>
      <c r="G246" t="s">
        <v>360</v>
      </c>
      <c r="H246" t="s">
        <v>29</v>
      </c>
      <c r="I246" t="s">
        <v>361</v>
      </c>
      <c r="J246" t="s">
        <v>1898</v>
      </c>
      <c r="K246" t="s">
        <v>279</v>
      </c>
      <c r="L246" t="s">
        <v>331</v>
      </c>
      <c r="M246" t="s">
        <v>362</v>
      </c>
      <c r="N246" t="s">
        <v>1848</v>
      </c>
    </row>
    <row r="247" spans="1:17" x14ac:dyDescent="0.2">
      <c r="A247" t="str">
        <f ca="1">表_网址[[#This Row],[1级]]&amp;"-"&amp;表_网址[[#This Row],[2级]]&amp;"-"&amp;表_网址[[#This Row],[3级]]&amp;"-"&amp;表_网址[[#This Row],[级内]]</f>
        <v>8004-23-18-101</v>
      </c>
      <c r="B247" s="2">
        <f ca="1">MATCH(表_网址[[#This Row],[版层分类]],序列_版层分类,0)*1000+MATCH(表_网址[[#This Row],[首要关键词]],序列_首要关键词,0)</f>
        <v>8004</v>
      </c>
      <c r="C247" s="2">
        <f ca="1">IF(表_网址[[#This Row],[次要关键词]]="",10,MATCH(表_网址[[#This Row],[次要关键词]],序列_次要关键词,0)+10)</f>
        <v>23</v>
      </c>
      <c r="D247">
        <f ca="1">IF(表_网址[[#This Row],[重点关键词]]="",10,MATCH(表_网址[[#This Row],[重点关键词]],序列_重点关键词,0)+10)</f>
        <v>18</v>
      </c>
      <c r="E247" s="2">
        <f>IF(AND(表_网址[[#This Row],[首要关键词]]=K246,表_网址[[#This Row],[次要关键词]]=L246,表_网址[[#This Row],[重点关键词]]=M246),E246+1,IF(表_网址[[#This Row],[重点关键词]]="",100,101))</f>
        <v>101</v>
      </c>
      <c r="F247" t="s">
        <v>363</v>
      </c>
      <c r="G247" t="s">
        <v>364</v>
      </c>
      <c r="H247" t="s">
        <v>29</v>
      </c>
      <c r="I247" t="s">
        <v>365</v>
      </c>
      <c r="J247" t="s">
        <v>1898</v>
      </c>
      <c r="K247" t="s">
        <v>279</v>
      </c>
      <c r="L247" t="s">
        <v>331</v>
      </c>
      <c r="M247" t="s">
        <v>366</v>
      </c>
      <c r="N247" t="s">
        <v>1848</v>
      </c>
    </row>
    <row r="248" spans="1:17" x14ac:dyDescent="0.2">
      <c r="A248" t="str">
        <f ca="1">表_网址[[#This Row],[1级]]&amp;"-"&amp;表_网址[[#This Row],[2级]]&amp;"-"&amp;表_网址[[#This Row],[3级]]&amp;"-"&amp;表_网址[[#This Row],[级内]]</f>
        <v>8004-23-19-101</v>
      </c>
      <c r="B248" s="2">
        <f ca="1">MATCH(表_网址[[#This Row],[版层分类]],序列_版层分类,0)*1000+MATCH(表_网址[[#This Row],[首要关键词]],序列_首要关键词,0)</f>
        <v>8004</v>
      </c>
      <c r="C248" s="2">
        <f ca="1">IF(表_网址[[#This Row],[次要关键词]]="",10,MATCH(表_网址[[#This Row],[次要关键词]],序列_次要关键词,0)+10)</f>
        <v>23</v>
      </c>
      <c r="D248">
        <f ca="1">IF(表_网址[[#This Row],[重点关键词]]="",10,MATCH(表_网址[[#This Row],[重点关键词]],序列_重点关键词,0)+10)</f>
        <v>19</v>
      </c>
      <c r="E248" s="2">
        <f>IF(AND(表_网址[[#This Row],[首要关键词]]=K247,表_网址[[#This Row],[次要关键词]]=L247,表_网址[[#This Row],[重点关键词]]=M247),E247+1,IF(表_网址[[#This Row],[重点关键词]]="",100,101))</f>
        <v>101</v>
      </c>
      <c r="F248" t="s">
        <v>367</v>
      </c>
      <c r="G248" t="s">
        <v>368</v>
      </c>
      <c r="H248" t="s">
        <v>29</v>
      </c>
      <c r="I248" t="s">
        <v>369</v>
      </c>
      <c r="J248" t="s">
        <v>1898</v>
      </c>
      <c r="K248" t="s">
        <v>279</v>
      </c>
      <c r="L248" t="s">
        <v>331</v>
      </c>
      <c r="M248" t="s">
        <v>370</v>
      </c>
      <c r="N248" t="s">
        <v>1848</v>
      </c>
    </row>
    <row r="249" spans="1:17" x14ac:dyDescent="0.2">
      <c r="A249" t="str">
        <f ca="1">表_网址[[#This Row],[1级]]&amp;"-"&amp;表_网址[[#This Row],[2级]]&amp;"-"&amp;表_网址[[#This Row],[3级]]&amp;"-"&amp;表_网址[[#This Row],[级内]]</f>
        <v>8004-23-20-101</v>
      </c>
      <c r="B249" s="2">
        <f ca="1">MATCH(表_网址[[#This Row],[版层分类]],序列_版层分类,0)*1000+MATCH(表_网址[[#This Row],[首要关键词]],序列_首要关键词,0)</f>
        <v>8004</v>
      </c>
      <c r="C249" s="2">
        <f ca="1">IF(表_网址[[#This Row],[次要关键词]]="",10,MATCH(表_网址[[#This Row],[次要关键词]],序列_次要关键词,0)+10)</f>
        <v>23</v>
      </c>
      <c r="D249">
        <f ca="1">IF(表_网址[[#This Row],[重点关键词]]="",10,MATCH(表_网址[[#This Row],[重点关键词]],序列_重点关键词,0)+10)</f>
        <v>20</v>
      </c>
      <c r="E249" s="2">
        <f>IF(AND(表_网址[[#This Row],[首要关键词]]=K248,表_网址[[#This Row],[次要关键词]]=L248,表_网址[[#This Row],[重点关键词]]=M248),E248+1,IF(表_网址[[#This Row],[重点关键词]]="",100,101))</f>
        <v>101</v>
      </c>
      <c r="F249" t="s">
        <v>371</v>
      </c>
      <c r="G249" t="s">
        <v>372</v>
      </c>
      <c r="H249" t="s">
        <v>29</v>
      </c>
      <c r="I249" t="s">
        <v>373</v>
      </c>
      <c r="J249" t="s">
        <v>1898</v>
      </c>
      <c r="K249" t="s">
        <v>279</v>
      </c>
      <c r="L249" t="s">
        <v>331</v>
      </c>
      <c r="M249" t="s">
        <v>374</v>
      </c>
      <c r="N249" t="s">
        <v>1848</v>
      </c>
    </row>
    <row r="250" spans="1:17" x14ac:dyDescent="0.2">
      <c r="A250" t="str">
        <f ca="1">表_网址[[#This Row],[1级]]&amp;"-"&amp;表_网址[[#This Row],[2级]]&amp;"-"&amp;表_网址[[#This Row],[3级]]&amp;"-"&amp;表_网址[[#This Row],[级内]]</f>
        <v>8004-23-21-101</v>
      </c>
      <c r="B250" s="2">
        <f ca="1">MATCH(表_网址[[#This Row],[版层分类]],序列_版层分类,0)*1000+MATCH(表_网址[[#This Row],[首要关键词]],序列_首要关键词,0)</f>
        <v>8004</v>
      </c>
      <c r="C250" s="2">
        <f ca="1">IF(表_网址[[#This Row],[次要关键词]]="",10,MATCH(表_网址[[#This Row],[次要关键词]],序列_次要关键词,0)+10)</f>
        <v>23</v>
      </c>
      <c r="D250">
        <f ca="1">IF(表_网址[[#This Row],[重点关键词]]="",10,MATCH(表_网址[[#This Row],[重点关键词]],序列_重点关键词,0)+10)</f>
        <v>21</v>
      </c>
      <c r="E250" s="2">
        <f>IF(AND(表_网址[[#This Row],[首要关键词]]=K249,表_网址[[#This Row],[次要关键词]]=L249,表_网址[[#This Row],[重点关键词]]=M249),E249+1,IF(表_网址[[#This Row],[重点关键词]]="",100,101))</f>
        <v>101</v>
      </c>
      <c r="F250" t="s">
        <v>375</v>
      </c>
      <c r="G250" t="s">
        <v>376</v>
      </c>
      <c r="H250" t="s">
        <v>29</v>
      </c>
      <c r="I250" t="s">
        <v>377</v>
      </c>
      <c r="J250" t="s">
        <v>1898</v>
      </c>
      <c r="K250" t="s">
        <v>279</v>
      </c>
      <c r="L250" t="s">
        <v>331</v>
      </c>
      <c r="M250" t="s">
        <v>378</v>
      </c>
      <c r="N250" t="s">
        <v>1848</v>
      </c>
    </row>
    <row r="251" spans="1:17" x14ac:dyDescent="0.2">
      <c r="A251" t="str">
        <f ca="1">表_网址[[#This Row],[1级]]&amp;"-"&amp;表_网址[[#This Row],[2级]]&amp;"-"&amp;表_网址[[#This Row],[3级]]&amp;"-"&amp;表_网址[[#This Row],[级内]]</f>
        <v>8004-23-22-101</v>
      </c>
      <c r="B251" s="2">
        <f ca="1">MATCH(表_网址[[#This Row],[版层分类]],序列_版层分类,0)*1000+MATCH(表_网址[[#This Row],[首要关键词]],序列_首要关键词,0)</f>
        <v>8004</v>
      </c>
      <c r="C251" s="2">
        <f ca="1">IF(表_网址[[#This Row],[次要关键词]]="",10,MATCH(表_网址[[#This Row],[次要关键词]],序列_次要关键词,0)+10)</f>
        <v>23</v>
      </c>
      <c r="D251">
        <f ca="1">IF(表_网址[[#This Row],[重点关键词]]="",10,MATCH(表_网址[[#This Row],[重点关键词]],序列_重点关键词,0)+10)</f>
        <v>22</v>
      </c>
      <c r="E251" s="2">
        <f>IF(AND(表_网址[[#This Row],[首要关键词]]=K250,表_网址[[#This Row],[次要关键词]]=L250,表_网址[[#This Row],[重点关键词]]=M250),E250+1,IF(表_网址[[#This Row],[重点关键词]]="",100,101))</f>
        <v>101</v>
      </c>
      <c r="F251" t="s">
        <v>379</v>
      </c>
      <c r="G251" t="s">
        <v>380</v>
      </c>
      <c r="H251" t="s">
        <v>29</v>
      </c>
      <c r="I251" t="s">
        <v>381</v>
      </c>
      <c r="J251" t="s">
        <v>1898</v>
      </c>
      <c r="K251" t="s">
        <v>279</v>
      </c>
      <c r="L251" t="s">
        <v>331</v>
      </c>
      <c r="M251" t="s">
        <v>382</v>
      </c>
      <c r="N251" t="s">
        <v>1848</v>
      </c>
    </row>
    <row r="252" spans="1:17" x14ac:dyDescent="0.2">
      <c r="A252" t="str">
        <f ca="1">表_网址[[#This Row],[1级]]&amp;"-"&amp;表_网址[[#This Row],[2级]]&amp;"-"&amp;表_网址[[#This Row],[3级]]&amp;"-"&amp;表_网址[[#This Row],[级内]]</f>
        <v>8004-23-23-101</v>
      </c>
      <c r="B252" s="2">
        <f ca="1">MATCH(表_网址[[#This Row],[版层分类]],序列_版层分类,0)*1000+MATCH(表_网址[[#This Row],[首要关键词]],序列_首要关键词,0)</f>
        <v>8004</v>
      </c>
      <c r="C252" s="2">
        <f ca="1">IF(表_网址[[#This Row],[次要关键词]]="",10,MATCH(表_网址[[#This Row],[次要关键词]],序列_次要关键词,0)+10)</f>
        <v>23</v>
      </c>
      <c r="D252">
        <f ca="1">IF(表_网址[[#This Row],[重点关键词]]="",10,MATCH(表_网址[[#This Row],[重点关键词]],序列_重点关键词,0)+10)</f>
        <v>23</v>
      </c>
      <c r="E252" s="2">
        <f>IF(AND(表_网址[[#This Row],[首要关键词]]=K251,表_网址[[#This Row],[次要关键词]]=L251,表_网址[[#This Row],[重点关键词]]=M251),E251+1,IF(表_网址[[#This Row],[重点关键词]]="",100,101))</f>
        <v>101</v>
      </c>
      <c r="F252" t="s">
        <v>383</v>
      </c>
      <c r="G252" t="s">
        <v>384</v>
      </c>
      <c r="H252" t="s">
        <v>29</v>
      </c>
      <c r="I252" t="s">
        <v>385</v>
      </c>
      <c r="J252" t="s">
        <v>1898</v>
      </c>
      <c r="K252" t="s">
        <v>279</v>
      </c>
      <c r="L252" t="s">
        <v>331</v>
      </c>
      <c r="M252" t="s">
        <v>386</v>
      </c>
      <c r="N252" t="s">
        <v>1848</v>
      </c>
    </row>
    <row r="253" spans="1:17" x14ac:dyDescent="0.2">
      <c r="A253" t="str">
        <f ca="1">表_网址[[#This Row],[1级]]&amp;"-"&amp;表_网址[[#This Row],[2级]]&amp;"-"&amp;表_网址[[#This Row],[3级]]&amp;"-"&amp;表_网址[[#This Row],[级内]]</f>
        <v>8004-23-24-101</v>
      </c>
      <c r="B253" s="2">
        <f ca="1">MATCH(表_网址[[#This Row],[版层分类]],序列_版层分类,0)*1000+MATCH(表_网址[[#This Row],[首要关键词]],序列_首要关键词,0)</f>
        <v>8004</v>
      </c>
      <c r="C253" s="2">
        <f ca="1">IF(表_网址[[#This Row],[次要关键词]]="",10,MATCH(表_网址[[#This Row],[次要关键词]],序列_次要关键词,0)+10)</f>
        <v>23</v>
      </c>
      <c r="D253">
        <f ca="1">IF(表_网址[[#This Row],[重点关键词]]="",10,MATCH(表_网址[[#This Row],[重点关键词]],序列_重点关键词,0)+10)</f>
        <v>24</v>
      </c>
      <c r="E253" s="2">
        <f>IF(AND(表_网址[[#This Row],[首要关键词]]=K252,表_网址[[#This Row],[次要关键词]]=L252,表_网址[[#This Row],[重点关键词]]=M252),E252+1,IF(表_网址[[#This Row],[重点关键词]]="",100,101))</f>
        <v>101</v>
      </c>
      <c r="F253" t="s">
        <v>387</v>
      </c>
      <c r="G253" t="s">
        <v>388</v>
      </c>
      <c r="H253" t="s">
        <v>29</v>
      </c>
      <c r="I253" t="s">
        <v>389</v>
      </c>
      <c r="J253" t="s">
        <v>1898</v>
      </c>
      <c r="K253" t="s">
        <v>279</v>
      </c>
      <c r="L253" t="s">
        <v>331</v>
      </c>
      <c r="M253" t="s">
        <v>390</v>
      </c>
      <c r="N253" t="s">
        <v>1848</v>
      </c>
    </row>
    <row r="254" spans="1:17" x14ac:dyDescent="0.2">
      <c r="A254" t="str">
        <f ca="1">表_网址[[#This Row],[1级]]&amp;"-"&amp;表_网址[[#This Row],[2级]]&amp;"-"&amp;表_网址[[#This Row],[3级]]&amp;"-"&amp;表_网址[[#This Row],[级内]]</f>
        <v>8004-23-25-101</v>
      </c>
      <c r="B254" s="2">
        <f ca="1">MATCH(表_网址[[#This Row],[版层分类]],序列_版层分类,0)*1000+MATCH(表_网址[[#This Row],[首要关键词]],序列_首要关键词,0)</f>
        <v>8004</v>
      </c>
      <c r="C254" s="2">
        <f ca="1">IF(表_网址[[#This Row],[次要关键词]]="",10,MATCH(表_网址[[#This Row],[次要关键词]],序列_次要关键词,0)+10)</f>
        <v>23</v>
      </c>
      <c r="D254">
        <f ca="1">IF(表_网址[[#This Row],[重点关键词]]="",10,MATCH(表_网址[[#This Row],[重点关键词]],序列_重点关键词,0)+10)</f>
        <v>25</v>
      </c>
      <c r="E254" s="2">
        <f>IF(AND(表_网址[[#This Row],[首要关键词]]=K253,表_网址[[#This Row],[次要关键词]]=L253,表_网址[[#This Row],[重点关键词]]=M253),E253+1,IF(表_网址[[#This Row],[重点关键词]]="",100,101))</f>
        <v>101</v>
      </c>
      <c r="F254" t="s">
        <v>391</v>
      </c>
      <c r="G254" t="s">
        <v>392</v>
      </c>
      <c r="H254" t="s">
        <v>29</v>
      </c>
      <c r="I254" t="s">
        <v>393</v>
      </c>
      <c r="J254" t="s">
        <v>1898</v>
      </c>
      <c r="K254" t="s">
        <v>279</v>
      </c>
      <c r="L254" t="s">
        <v>331</v>
      </c>
      <c r="M254" t="s">
        <v>394</v>
      </c>
      <c r="N254" t="s">
        <v>1848</v>
      </c>
      <c r="O254" t="s">
        <v>1166</v>
      </c>
    </row>
    <row r="255" spans="1:17" x14ac:dyDescent="0.2">
      <c r="A255" t="str">
        <f ca="1">表_网址[[#This Row],[1级]]&amp;"-"&amp;表_网址[[#This Row],[2级]]&amp;"-"&amp;表_网址[[#This Row],[3级]]&amp;"-"&amp;表_网址[[#This Row],[级内]]</f>
        <v>8004-23-26-101</v>
      </c>
      <c r="B255" s="2">
        <f ca="1">MATCH(表_网址[[#This Row],[版层分类]],序列_版层分类,0)*1000+MATCH(表_网址[[#This Row],[首要关键词]],序列_首要关键词,0)</f>
        <v>8004</v>
      </c>
      <c r="C255" s="2">
        <f ca="1">IF(表_网址[[#This Row],[次要关键词]]="",10,MATCH(表_网址[[#This Row],[次要关键词]],序列_次要关键词,0)+10)</f>
        <v>23</v>
      </c>
      <c r="D255">
        <f ca="1">IF(表_网址[[#This Row],[重点关键词]]="",10,MATCH(表_网址[[#This Row],[重点关键词]],序列_重点关键词,0)+10)</f>
        <v>26</v>
      </c>
      <c r="E255" s="2">
        <f>IF(AND(表_网址[[#This Row],[首要关键词]]=K254,表_网址[[#This Row],[次要关键词]]=L254,表_网址[[#This Row],[重点关键词]]=M254),E254+1,IF(表_网址[[#This Row],[重点关键词]]="",100,101))</f>
        <v>101</v>
      </c>
      <c r="F255" t="s">
        <v>395</v>
      </c>
      <c r="G255" t="s">
        <v>396</v>
      </c>
      <c r="H255" t="s">
        <v>29</v>
      </c>
      <c r="I255" t="s">
        <v>397</v>
      </c>
      <c r="J255" t="s">
        <v>1898</v>
      </c>
      <c r="K255" t="s">
        <v>279</v>
      </c>
      <c r="L255" t="s">
        <v>331</v>
      </c>
      <c r="M255" t="s">
        <v>398</v>
      </c>
      <c r="N255" t="s">
        <v>1848</v>
      </c>
    </row>
    <row r="256" spans="1:17" x14ac:dyDescent="0.2">
      <c r="A256" t="str">
        <f ca="1">表_网址[[#This Row],[1级]]&amp;"-"&amp;表_网址[[#This Row],[2级]]&amp;"-"&amp;表_网址[[#This Row],[3级]]&amp;"-"&amp;表_网址[[#This Row],[级内]]</f>
        <v>8004-23-27-101</v>
      </c>
      <c r="B256" s="2">
        <f ca="1">MATCH(表_网址[[#This Row],[版层分类]],序列_版层分类,0)*1000+MATCH(表_网址[[#This Row],[首要关键词]],序列_首要关键词,0)</f>
        <v>8004</v>
      </c>
      <c r="C256" s="2">
        <f ca="1">IF(表_网址[[#This Row],[次要关键词]]="",10,MATCH(表_网址[[#This Row],[次要关键词]],序列_次要关键词,0)+10)</f>
        <v>23</v>
      </c>
      <c r="D256">
        <f ca="1">IF(表_网址[[#This Row],[重点关键词]]="",10,MATCH(表_网址[[#This Row],[重点关键词]],序列_重点关键词,0)+10)</f>
        <v>27</v>
      </c>
      <c r="E256" s="2">
        <f>IF(AND(表_网址[[#This Row],[首要关键词]]=K255,表_网址[[#This Row],[次要关键词]]=L255,表_网址[[#This Row],[重点关键词]]=M255),E255+1,IF(表_网址[[#This Row],[重点关键词]]="",100,101))</f>
        <v>101</v>
      </c>
      <c r="F256" t="s">
        <v>399</v>
      </c>
      <c r="G256" t="s">
        <v>400</v>
      </c>
      <c r="H256" t="s">
        <v>29</v>
      </c>
      <c r="I256" t="s">
        <v>401</v>
      </c>
      <c r="J256" t="s">
        <v>1898</v>
      </c>
      <c r="K256" t="s">
        <v>279</v>
      </c>
      <c r="L256" t="s">
        <v>331</v>
      </c>
      <c r="M256" t="s">
        <v>402</v>
      </c>
      <c r="N256" t="s">
        <v>1848</v>
      </c>
    </row>
    <row r="257" spans="1:17" x14ac:dyDescent="0.2">
      <c r="A257" t="str">
        <f ca="1">表_网址[[#This Row],[1级]]&amp;"-"&amp;表_网址[[#This Row],[2级]]&amp;"-"&amp;表_网址[[#This Row],[3级]]&amp;"-"&amp;表_网址[[#This Row],[级内]]</f>
        <v>8004-23-28-101</v>
      </c>
      <c r="B257" s="2">
        <f ca="1">MATCH(表_网址[[#This Row],[版层分类]],序列_版层分类,0)*1000+MATCH(表_网址[[#This Row],[首要关键词]],序列_首要关键词,0)</f>
        <v>8004</v>
      </c>
      <c r="C257" s="2">
        <f ca="1">IF(表_网址[[#This Row],[次要关键词]]="",10,MATCH(表_网址[[#This Row],[次要关键词]],序列_次要关键词,0)+10)</f>
        <v>23</v>
      </c>
      <c r="D257">
        <f ca="1">IF(表_网址[[#This Row],[重点关键词]]="",10,MATCH(表_网址[[#This Row],[重点关键词]],序列_重点关键词,0)+10)</f>
        <v>28</v>
      </c>
      <c r="E257" s="2">
        <f>IF(AND(表_网址[[#This Row],[首要关键词]]=K256,表_网址[[#This Row],[次要关键词]]=L256,表_网址[[#This Row],[重点关键词]]=M256),E256+1,IF(表_网址[[#This Row],[重点关键词]]="",100,101))</f>
        <v>101</v>
      </c>
      <c r="F257" t="s">
        <v>403</v>
      </c>
      <c r="G257" t="s">
        <v>404</v>
      </c>
      <c r="H257" t="s">
        <v>29</v>
      </c>
      <c r="I257" t="s">
        <v>405</v>
      </c>
      <c r="J257" t="s">
        <v>1898</v>
      </c>
      <c r="K257" t="s">
        <v>279</v>
      </c>
      <c r="L257" t="s">
        <v>331</v>
      </c>
      <c r="M257" t="s">
        <v>406</v>
      </c>
      <c r="N257" t="s">
        <v>1848</v>
      </c>
    </row>
    <row r="258" spans="1:17" x14ac:dyDescent="0.2">
      <c r="A258" t="str">
        <f ca="1">表_网址[[#This Row],[1级]]&amp;"-"&amp;表_网址[[#This Row],[2级]]&amp;"-"&amp;表_网址[[#This Row],[3级]]&amp;"-"&amp;表_网址[[#This Row],[级内]]</f>
        <v>8004-23-29-101</v>
      </c>
      <c r="B258" s="2">
        <f ca="1">MATCH(表_网址[[#This Row],[版层分类]],序列_版层分类,0)*1000+MATCH(表_网址[[#This Row],[首要关键词]],序列_首要关键词,0)</f>
        <v>8004</v>
      </c>
      <c r="C258" s="2">
        <f ca="1">IF(表_网址[[#This Row],[次要关键词]]="",10,MATCH(表_网址[[#This Row],[次要关键词]],序列_次要关键词,0)+10)</f>
        <v>23</v>
      </c>
      <c r="D258">
        <f ca="1">IF(表_网址[[#This Row],[重点关键词]]="",10,MATCH(表_网址[[#This Row],[重点关键词]],序列_重点关键词,0)+10)</f>
        <v>29</v>
      </c>
      <c r="E258" s="2">
        <f>IF(AND(表_网址[[#This Row],[首要关键词]]=K257,表_网址[[#This Row],[次要关键词]]=L257,表_网址[[#This Row],[重点关键词]]=M257),E257+1,IF(表_网址[[#This Row],[重点关键词]]="",100,101))</f>
        <v>101</v>
      </c>
      <c r="F258" t="s">
        <v>407</v>
      </c>
      <c r="G258" t="s">
        <v>408</v>
      </c>
      <c r="H258" t="s">
        <v>29</v>
      </c>
      <c r="I258" t="s">
        <v>409</v>
      </c>
      <c r="J258" t="s">
        <v>1898</v>
      </c>
      <c r="K258" t="s">
        <v>279</v>
      </c>
      <c r="L258" t="s">
        <v>331</v>
      </c>
      <c r="M258" t="s">
        <v>410</v>
      </c>
      <c r="N258" t="s">
        <v>1848</v>
      </c>
    </row>
    <row r="259" spans="1:17" x14ac:dyDescent="0.2">
      <c r="A259" t="str">
        <f ca="1">表_网址[[#This Row],[1级]]&amp;"-"&amp;表_网址[[#This Row],[2级]]&amp;"-"&amp;表_网址[[#This Row],[3级]]&amp;"-"&amp;表_网址[[#This Row],[级内]]</f>
        <v>8004-23-30-101</v>
      </c>
      <c r="B259" s="2">
        <f ca="1">MATCH(表_网址[[#This Row],[版层分类]],序列_版层分类,0)*1000+MATCH(表_网址[[#This Row],[首要关键词]],序列_首要关键词,0)</f>
        <v>8004</v>
      </c>
      <c r="C259" s="2">
        <f ca="1">IF(表_网址[[#This Row],[次要关键词]]="",10,MATCH(表_网址[[#This Row],[次要关键词]],序列_次要关键词,0)+10)</f>
        <v>23</v>
      </c>
      <c r="D259">
        <f ca="1">IF(表_网址[[#This Row],[重点关键词]]="",10,MATCH(表_网址[[#This Row],[重点关键词]],序列_重点关键词,0)+10)</f>
        <v>30</v>
      </c>
      <c r="E259" s="2">
        <f>IF(AND(表_网址[[#This Row],[首要关键词]]=K258,表_网址[[#This Row],[次要关键词]]=L258,表_网址[[#This Row],[重点关键词]]=M258),E258+1,IF(表_网址[[#This Row],[重点关键词]]="",100,101))</f>
        <v>101</v>
      </c>
      <c r="F259" t="s">
        <v>411</v>
      </c>
      <c r="G259" t="s">
        <v>412</v>
      </c>
      <c r="H259" t="s">
        <v>29</v>
      </c>
      <c r="I259" t="s">
        <v>413</v>
      </c>
      <c r="J259" t="s">
        <v>1898</v>
      </c>
      <c r="K259" t="s">
        <v>279</v>
      </c>
      <c r="L259" t="s">
        <v>331</v>
      </c>
      <c r="M259" t="s">
        <v>414</v>
      </c>
      <c r="N259" t="s">
        <v>1848</v>
      </c>
    </row>
    <row r="260" spans="1:17" x14ac:dyDescent="0.2">
      <c r="A260" t="str">
        <f ca="1">表_网址[[#This Row],[1级]]&amp;"-"&amp;表_网址[[#This Row],[2级]]&amp;"-"&amp;表_网址[[#This Row],[3级]]&amp;"-"&amp;表_网址[[#This Row],[级内]]</f>
        <v>8004-24-10-100</v>
      </c>
      <c r="B260" s="2">
        <f ca="1">MATCH(表_网址[[#This Row],[版层分类]],序列_版层分类,0)*1000+MATCH(表_网址[[#This Row],[首要关键词]],序列_首要关键词,0)</f>
        <v>8004</v>
      </c>
      <c r="C260" s="2">
        <f ca="1">IF(表_网址[[#This Row],[次要关键词]]="",10,MATCH(表_网址[[#This Row],[次要关键词]],序列_次要关键词,0)+10)</f>
        <v>24</v>
      </c>
      <c r="D260">
        <f>IF(表_网址[[#This Row],[重点关键词]]="",10,MATCH(表_网址[[#This Row],[重点关键词]],序列_重点关键词,0)+10)</f>
        <v>10</v>
      </c>
      <c r="E260" s="2">
        <f>IF(AND(表_网址[[#This Row],[首要关键词]]=K259,表_网址[[#This Row],[次要关键词]]=L259,表_网址[[#This Row],[重点关键词]]=M259),E259+1,IF(表_网址[[#This Row],[重点关键词]]="",100,101))</f>
        <v>100</v>
      </c>
      <c r="F260" t="s">
        <v>415</v>
      </c>
      <c r="G260" t="s">
        <v>416</v>
      </c>
      <c r="H260" t="s">
        <v>29</v>
      </c>
      <c r="I260" t="s">
        <v>417</v>
      </c>
      <c r="J260" t="s">
        <v>1898</v>
      </c>
      <c r="K260" t="s">
        <v>279</v>
      </c>
      <c r="L260" t="s">
        <v>418</v>
      </c>
      <c r="N260" t="s">
        <v>1848</v>
      </c>
    </row>
    <row r="261" spans="1:17" x14ac:dyDescent="0.2">
      <c r="A261" t="str">
        <f ca="1">表_网址[[#This Row],[1级]]&amp;"-"&amp;表_网址[[#This Row],[2级]]&amp;"-"&amp;表_网址[[#This Row],[3级]]&amp;"-"&amp;表_网址[[#This Row],[级内]]</f>
        <v>8004-25-10-100</v>
      </c>
      <c r="B261" s="2">
        <f ca="1">MATCH(表_网址[[#This Row],[版层分类]],序列_版层分类,0)*1000+MATCH(表_网址[[#This Row],[首要关键词]],序列_首要关键词,0)</f>
        <v>8004</v>
      </c>
      <c r="C261" s="2">
        <f ca="1">IF(表_网址[[#This Row],[次要关键词]]="",10,MATCH(表_网址[[#This Row],[次要关键词]],序列_次要关键词,0)+10)</f>
        <v>25</v>
      </c>
      <c r="D261">
        <f>IF(表_网址[[#This Row],[重点关键词]]="",10,MATCH(表_网址[[#This Row],[重点关键词]],序列_重点关键词,0)+10)</f>
        <v>10</v>
      </c>
      <c r="E261" s="2">
        <f>IF(AND(表_网址[[#This Row],[首要关键词]]=K260,表_网址[[#This Row],[次要关键词]]=L260,表_网址[[#This Row],[重点关键词]]=M260),E260+1,IF(表_网址[[#This Row],[重点关键词]]="",100,101))</f>
        <v>100</v>
      </c>
      <c r="F261" t="s">
        <v>419</v>
      </c>
      <c r="G261" t="s">
        <v>420</v>
      </c>
      <c r="H261" t="s">
        <v>29</v>
      </c>
      <c r="I261" t="s">
        <v>421</v>
      </c>
      <c r="J261" t="s">
        <v>1898</v>
      </c>
      <c r="K261" t="s">
        <v>279</v>
      </c>
      <c r="L261" t="s">
        <v>422</v>
      </c>
      <c r="N261" t="s">
        <v>1848</v>
      </c>
    </row>
    <row r="262" spans="1:17" x14ac:dyDescent="0.2">
      <c r="A262" t="str">
        <f ca="1">表_网址[[#This Row],[1级]]&amp;"-"&amp;表_网址[[#This Row],[2级]]&amp;"-"&amp;表_网址[[#This Row],[3级]]&amp;"-"&amp;表_网址[[#This Row],[级内]]</f>
        <v>8004-26-10-100</v>
      </c>
      <c r="B262" s="2">
        <f ca="1">MATCH(表_网址[[#This Row],[版层分类]],序列_版层分类,0)*1000+MATCH(表_网址[[#This Row],[首要关键词]],序列_首要关键词,0)</f>
        <v>8004</v>
      </c>
      <c r="C262" s="2">
        <f ca="1">IF(表_网址[[#This Row],[次要关键词]]="",10,MATCH(表_网址[[#This Row],[次要关键词]],序列_次要关键词,0)+10)</f>
        <v>26</v>
      </c>
      <c r="D262">
        <f>IF(表_网址[[#This Row],[重点关键词]]="",10,MATCH(表_网址[[#This Row],[重点关键词]],序列_重点关键词,0)+10)</f>
        <v>10</v>
      </c>
      <c r="E262" s="2">
        <f>IF(AND(表_网址[[#This Row],[首要关键词]]=K261,表_网址[[#This Row],[次要关键词]]=L261,表_网址[[#This Row],[重点关键词]]=M261),E261+1,IF(表_网址[[#This Row],[重点关键词]]="",100,101))</f>
        <v>100</v>
      </c>
      <c r="F262" t="s">
        <v>423</v>
      </c>
      <c r="G262" t="s">
        <v>424</v>
      </c>
      <c r="H262" t="s">
        <v>29</v>
      </c>
      <c r="I262" t="s">
        <v>425</v>
      </c>
      <c r="J262" t="s">
        <v>1898</v>
      </c>
      <c r="K262" t="s">
        <v>279</v>
      </c>
      <c r="L262" t="s">
        <v>426</v>
      </c>
      <c r="N262" t="s">
        <v>1848</v>
      </c>
    </row>
    <row r="263" spans="1:17" x14ac:dyDescent="0.2">
      <c r="A263" t="str">
        <f ca="1">表_网址[[#This Row],[1级]]&amp;"-"&amp;表_网址[[#This Row],[2级]]&amp;"-"&amp;表_网址[[#This Row],[3级]]&amp;"-"&amp;表_网址[[#This Row],[级内]]</f>
        <v>8004-27-10-100</v>
      </c>
      <c r="B263" s="2">
        <f ca="1">MATCH(表_网址[[#This Row],[版层分类]],序列_版层分类,0)*1000+MATCH(表_网址[[#This Row],[首要关键词]],序列_首要关键词,0)</f>
        <v>8004</v>
      </c>
      <c r="C263" s="2">
        <f ca="1">IF(表_网址[[#This Row],[次要关键词]]="",10,MATCH(表_网址[[#This Row],[次要关键词]],序列_次要关键词,0)+10)</f>
        <v>27</v>
      </c>
      <c r="D263">
        <f>IF(表_网址[[#This Row],[重点关键词]]="",10,MATCH(表_网址[[#This Row],[重点关键词]],序列_重点关键词,0)+10)</f>
        <v>10</v>
      </c>
      <c r="E263" s="2">
        <f>IF(AND(表_网址[[#This Row],[首要关键词]]=K262,表_网址[[#This Row],[次要关键词]]=L262,表_网址[[#This Row],[重点关键词]]=M262),E262+1,IF(表_网址[[#This Row],[重点关键词]]="",100,101))</f>
        <v>100</v>
      </c>
      <c r="F263" t="s">
        <v>427</v>
      </c>
      <c r="G263" t="s">
        <v>428</v>
      </c>
      <c r="H263" t="s">
        <v>29</v>
      </c>
      <c r="I263" t="s">
        <v>429</v>
      </c>
      <c r="J263" t="s">
        <v>1898</v>
      </c>
      <c r="K263" t="s">
        <v>279</v>
      </c>
      <c r="L263" t="s">
        <v>430</v>
      </c>
      <c r="N263" t="s">
        <v>1848</v>
      </c>
      <c r="O263" t="s">
        <v>1166</v>
      </c>
    </row>
    <row r="264" spans="1:17" x14ac:dyDescent="0.2">
      <c r="A264" t="str">
        <f ca="1">表_网址[[#This Row],[1级]]&amp;"-"&amp;表_网址[[#This Row],[2级]]&amp;"-"&amp;表_网址[[#This Row],[3级]]&amp;"-"&amp;表_网址[[#This Row],[级内]]</f>
        <v>8004-28-10-100</v>
      </c>
      <c r="B264" s="2">
        <f ca="1">MATCH(表_网址[[#This Row],[版层分类]],序列_版层分类,0)*1000+MATCH(表_网址[[#This Row],[首要关键词]],序列_首要关键词,0)</f>
        <v>8004</v>
      </c>
      <c r="C264" s="2">
        <f ca="1">IF(表_网址[[#This Row],[次要关键词]]="",10,MATCH(表_网址[[#This Row],[次要关键词]],序列_次要关键词,0)+10)</f>
        <v>28</v>
      </c>
      <c r="D264">
        <f>IF(表_网址[[#This Row],[重点关键词]]="",10,MATCH(表_网址[[#This Row],[重点关键词]],序列_重点关键词,0)+10)</f>
        <v>10</v>
      </c>
      <c r="E264" s="2">
        <f>IF(AND(表_网址[[#This Row],[首要关键词]]=K263,表_网址[[#This Row],[次要关键词]]=L263,表_网址[[#This Row],[重点关键词]]=M263),E263+1,IF(表_网址[[#This Row],[重点关键词]]="",100,101))</f>
        <v>100</v>
      </c>
      <c r="F264" t="s">
        <v>431</v>
      </c>
      <c r="G264" t="s">
        <v>432</v>
      </c>
      <c r="H264" t="s">
        <v>29</v>
      </c>
      <c r="I264" t="s">
        <v>433</v>
      </c>
      <c r="J264" t="s">
        <v>1898</v>
      </c>
      <c r="K264" t="s">
        <v>279</v>
      </c>
      <c r="L264" t="s">
        <v>434</v>
      </c>
      <c r="N264" t="s">
        <v>1848</v>
      </c>
    </row>
    <row r="265" spans="1:17" x14ac:dyDescent="0.2">
      <c r="A265" t="str">
        <f ca="1">表_网址[[#This Row],[1级]]&amp;"-"&amp;表_网址[[#This Row],[2级]]&amp;"-"&amp;表_网址[[#This Row],[3级]]&amp;"-"&amp;表_网址[[#This Row],[级内]]</f>
        <v>8004-28-11-101</v>
      </c>
      <c r="B265" s="2">
        <f ca="1">MATCH(表_网址[[#This Row],[版层分类]],序列_版层分类,0)*1000+MATCH(表_网址[[#This Row],[首要关键词]],序列_首要关键词,0)</f>
        <v>8004</v>
      </c>
      <c r="C265" s="2">
        <f ca="1">IF(表_网址[[#This Row],[次要关键词]]="",10,MATCH(表_网址[[#This Row],[次要关键词]],序列_次要关键词,0)+10)</f>
        <v>28</v>
      </c>
      <c r="D265">
        <f ca="1">IF(表_网址[[#This Row],[重点关键词]]="",10,MATCH(表_网址[[#This Row],[重点关键词]],序列_重点关键词,0)+10)</f>
        <v>11</v>
      </c>
      <c r="E265" s="2">
        <f>IF(AND(表_网址[[#This Row],[首要关键词]]=K264,表_网址[[#This Row],[次要关键词]]=L264,表_网址[[#This Row],[重点关键词]]=M264),E264+1,IF(表_网址[[#This Row],[重点关键词]]="",100,101))</f>
        <v>101</v>
      </c>
      <c r="F265" t="s">
        <v>435</v>
      </c>
      <c r="G265" t="s">
        <v>436</v>
      </c>
      <c r="H265" t="s">
        <v>29</v>
      </c>
      <c r="I265" t="s">
        <v>437</v>
      </c>
      <c r="J265" t="s">
        <v>1898</v>
      </c>
      <c r="K265" t="s">
        <v>279</v>
      </c>
      <c r="L265" t="s">
        <v>434</v>
      </c>
      <c r="M265" t="s">
        <v>438</v>
      </c>
      <c r="N265" t="s">
        <v>1848</v>
      </c>
    </row>
    <row r="266" spans="1:17" x14ac:dyDescent="0.2">
      <c r="A266" t="str">
        <f ca="1">表_网址[[#This Row],[1级]]&amp;"-"&amp;表_网址[[#This Row],[2级]]&amp;"-"&amp;表_网址[[#This Row],[3级]]&amp;"-"&amp;表_网址[[#This Row],[级内]]</f>
        <v>8004-29-10-100</v>
      </c>
      <c r="B266" s="2">
        <f ca="1">MATCH(表_网址[[#This Row],[版层分类]],序列_版层分类,0)*1000+MATCH(表_网址[[#This Row],[首要关键词]],序列_首要关键词,0)</f>
        <v>8004</v>
      </c>
      <c r="C266" s="2">
        <f ca="1">IF(表_网址[[#This Row],[次要关键词]]="",10,MATCH(表_网址[[#This Row],[次要关键词]],序列_次要关键词,0)+10)</f>
        <v>29</v>
      </c>
      <c r="D266">
        <f>IF(表_网址[[#This Row],[重点关键词]]="",10,MATCH(表_网址[[#This Row],[重点关键词]],序列_重点关键词,0)+10)</f>
        <v>10</v>
      </c>
      <c r="E266" s="2">
        <f>IF(AND(表_网址[[#This Row],[首要关键词]]=K265,表_网址[[#This Row],[次要关键词]]=L265,表_网址[[#This Row],[重点关键词]]=M265),E265+1,IF(表_网址[[#This Row],[重点关键词]]="",100,101))</f>
        <v>100</v>
      </c>
      <c r="F266" t="s">
        <v>439</v>
      </c>
      <c r="G266" t="s">
        <v>440</v>
      </c>
      <c r="H266" t="s">
        <v>29</v>
      </c>
      <c r="I266" t="s">
        <v>441</v>
      </c>
      <c r="J266" t="s">
        <v>1898</v>
      </c>
      <c r="K266" t="s">
        <v>279</v>
      </c>
      <c r="L266" t="s">
        <v>442</v>
      </c>
      <c r="N266" t="s">
        <v>1848</v>
      </c>
      <c r="O266" t="s">
        <v>1166</v>
      </c>
      <c r="Q266">
        <v>32</v>
      </c>
    </row>
    <row r="267" spans="1:17" x14ac:dyDescent="0.2">
      <c r="A267" t="str">
        <f ca="1">表_网址[[#This Row],[1级]]&amp;"-"&amp;表_网址[[#This Row],[2级]]&amp;"-"&amp;表_网址[[#This Row],[3级]]&amp;"-"&amp;表_网址[[#This Row],[级内]]</f>
        <v>8004-29-11-101</v>
      </c>
      <c r="B267" s="2">
        <f ca="1">MATCH(表_网址[[#This Row],[版层分类]],序列_版层分类,0)*1000+MATCH(表_网址[[#This Row],[首要关键词]],序列_首要关键词,0)</f>
        <v>8004</v>
      </c>
      <c r="C267" s="2">
        <f ca="1">IF(表_网址[[#This Row],[次要关键词]]="",10,MATCH(表_网址[[#This Row],[次要关键词]],序列_次要关键词,0)+10)</f>
        <v>29</v>
      </c>
      <c r="D267">
        <f ca="1">IF(表_网址[[#This Row],[重点关键词]]="",10,MATCH(表_网址[[#This Row],[重点关键词]],序列_重点关键词,0)+10)</f>
        <v>11</v>
      </c>
      <c r="E267" s="2">
        <f>IF(AND(表_网址[[#This Row],[首要关键词]]=K266,表_网址[[#This Row],[次要关键词]]=L266,表_网址[[#This Row],[重点关键词]]=M266),E266+1,IF(表_网址[[#This Row],[重点关键词]]="",100,101))</f>
        <v>101</v>
      </c>
      <c r="F267" t="s">
        <v>443</v>
      </c>
      <c r="G267" t="s">
        <v>444</v>
      </c>
      <c r="H267" t="s">
        <v>29</v>
      </c>
      <c r="I267" t="s">
        <v>445</v>
      </c>
      <c r="J267" t="s">
        <v>1898</v>
      </c>
      <c r="K267" t="s">
        <v>279</v>
      </c>
      <c r="L267" t="s">
        <v>442</v>
      </c>
      <c r="M267" t="s">
        <v>446</v>
      </c>
      <c r="N267" t="s">
        <v>1848</v>
      </c>
    </row>
    <row r="268" spans="1:17" x14ac:dyDescent="0.2">
      <c r="A268" t="str">
        <f ca="1">表_网址[[#This Row],[1级]]&amp;"-"&amp;表_网址[[#This Row],[2级]]&amp;"-"&amp;表_网址[[#This Row],[3级]]&amp;"-"&amp;表_网址[[#This Row],[级内]]</f>
        <v>8004-30-10-100</v>
      </c>
      <c r="B268" s="2">
        <f ca="1">MATCH(表_网址[[#This Row],[版层分类]],序列_版层分类,0)*1000+MATCH(表_网址[[#This Row],[首要关键词]],序列_首要关键词,0)</f>
        <v>8004</v>
      </c>
      <c r="C268" s="2">
        <f ca="1">IF(表_网址[[#This Row],[次要关键词]]="",10,MATCH(表_网址[[#This Row],[次要关键词]],序列_次要关键词,0)+10)</f>
        <v>30</v>
      </c>
      <c r="D268">
        <f>IF(表_网址[[#This Row],[重点关键词]]="",10,MATCH(表_网址[[#This Row],[重点关键词]],序列_重点关键词,0)+10)</f>
        <v>10</v>
      </c>
      <c r="E268" s="2">
        <f>IF(AND(表_网址[[#This Row],[首要关键词]]=K267,表_网址[[#This Row],[次要关键词]]=L267,表_网址[[#This Row],[重点关键词]]=M267),E267+1,IF(表_网址[[#This Row],[重点关键词]]="",100,101))</f>
        <v>100</v>
      </c>
      <c r="F268" t="s">
        <v>447</v>
      </c>
      <c r="G268" t="s">
        <v>448</v>
      </c>
      <c r="H268" t="s">
        <v>29</v>
      </c>
      <c r="I268" t="s">
        <v>449</v>
      </c>
      <c r="J268" t="s">
        <v>1898</v>
      </c>
      <c r="K268" t="s">
        <v>279</v>
      </c>
      <c r="L268" t="s">
        <v>450</v>
      </c>
      <c r="N268" t="s">
        <v>1848</v>
      </c>
    </row>
    <row r="269" spans="1:17" x14ac:dyDescent="0.2">
      <c r="A269" t="str">
        <f ca="1">表_网址[[#This Row],[1级]]&amp;"-"&amp;表_网址[[#This Row],[2级]]&amp;"-"&amp;表_网址[[#This Row],[3级]]&amp;"-"&amp;表_网址[[#This Row],[级内]]</f>
        <v>8004-31-10-100</v>
      </c>
      <c r="B269" s="2">
        <f ca="1">MATCH(表_网址[[#This Row],[版层分类]],序列_版层分类,0)*1000+MATCH(表_网址[[#This Row],[首要关键词]],序列_首要关键词,0)</f>
        <v>8004</v>
      </c>
      <c r="C269" s="2">
        <f ca="1">IF(表_网址[[#This Row],[次要关键词]]="",10,MATCH(表_网址[[#This Row],[次要关键词]],序列_次要关键词,0)+10)</f>
        <v>31</v>
      </c>
      <c r="D269">
        <f>IF(表_网址[[#This Row],[重点关键词]]="",10,MATCH(表_网址[[#This Row],[重点关键词]],序列_重点关键词,0)+10)</f>
        <v>10</v>
      </c>
      <c r="E269" s="2">
        <f>IF(AND(表_网址[[#This Row],[首要关键词]]=K268,表_网址[[#This Row],[次要关键词]]=L268,表_网址[[#This Row],[重点关键词]]=M268),E268+1,IF(表_网址[[#This Row],[重点关键词]]="",100,101))</f>
        <v>100</v>
      </c>
      <c r="F269" t="s">
        <v>451</v>
      </c>
      <c r="G269" t="s">
        <v>452</v>
      </c>
      <c r="H269" t="s">
        <v>29</v>
      </c>
      <c r="I269" t="s">
        <v>453</v>
      </c>
      <c r="J269" t="s">
        <v>1898</v>
      </c>
      <c r="K269" t="s">
        <v>279</v>
      </c>
      <c r="L269" t="s">
        <v>454</v>
      </c>
      <c r="N269" t="s">
        <v>1848</v>
      </c>
    </row>
    <row r="270" spans="1:17" x14ac:dyDescent="0.2">
      <c r="A270" t="str">
        <f ca="1">表_网址[[#This Row],[1级]]&amp;"-"&amp;表_网址[[#This Row],[2级]]&amp;"-"&amp;表_网址[[#This Row],[3级]]&amp;"-"&amp;表_网址[[#This Row],[级内]]</f>
        <v>8004-32-10-100</v>
      </c>
      <c r="B270" s="2">
        <f ca="1">MATCH(表_网址[[#This Row],[版层分类]],序列_版层分类,0)*1000+MATCH(表_网址[[#This Row],[首要关键词]],序列_首要关键词,0)</f>
        <v>8004</v>
      </c>
      <c r="C270" s="2">
        <f ca="1">IF(表_网址[[#This Row],[次要关键词]]="",10,MATCH(表_网址[[#This Row],[次要关键词]],序列_次要关键词,0)+10)</f>
        <v>32</v>
      </c>
      <c r="D270">
        <f>IF(表_网址[[#This Row],[重点关键词]]="",10,MATCH(表_网址[[#This Row],[重点关键词]],序列_重点关键词,0)+10)</f>
        <v>10</v>
      </c>
      <c r="E270" s="2">
        <f>IF(AND(表_网址[[#This Row],[首要关键词]]=K269,表_网址[[#This Row],[次要关键词]]=L269,表_网址[[#This Row],[重点关键词]]=M269),E269+1,IF(表_网址[[#This Row],[重点关键词]]="",100,101))</f>
        <v>100</v>
      </c>
      <c r="F270" t="s">
        <v>455</v>
      </c>
      <c r="G270" t="s">
        <v>456</v>
      </c>
      <c r="H270" t="s">
        <v>29</v>
      </c>
      <c r="I270" t="s">
        <v>457</v>
      </c>
      <c r="J270" t="s">
        <v>1898</v>
      </c>
      <c r="K270" t="s">
        <v>279</v>
      </c>
      <c r="L270" t="s">
        <v>458</v>
      </c>
      <c r="N270" t="s">
        <v>1848</v>
      </c>
    </row>
    <row r="271" spans="1:17" x14ac:dyDescent="0.2">
      <c r="A271" t="str">
        <f ca="1">表_网址[[#This Row],[1级]]&amp;"-"&amp;表_网址[[#This Row],[2级]]&amp;"-"&amp;表_网址[[#This Row],[3级]]&amp;"-"&amp;表_网址[[#This Row],[级内]]</f>
        <v>8004-33-10-100</v>
      </c>
      <c r="B271" s="2">
        <f ca="1">MATCH(表_网址[[#This Row],[版层分类]],序列_版层分类,0)*1000+MATCH(表_网址[[#This Row],[首要关键词]],序列_首要关键词,0)</f>
        <v>8004</v>
      </c>
      <c r="C271" s="2">
        <f ca="1">IF(表_网址[[#This Row],[次要关键词]]="",10,MATCH(表_网址[[#This Row],[次要关键词]],序列_次要关键词,0)+10)</f>
        <v>33</v>
      </c>
      <c r="D271">
        <f>IF(表_网址[[#This Row],[重点关键词]]="",10,MATCH(表_网址[[#This Row],[重点关键词]],序列_重点关键词,0)+10)</f>
        <v>10</v>
      </c>
      <c r="E271" s="2">
        <f>IF(AND(表_网址[[#This Row],[首要关键词]]=K270,表_网址[[#This Row],[次要关键词]]=L270,表_网址[[#This Row],[重点关键词]]=M270),E270+1,IF(表_网址[[#This Row],[重点关键词]]="",100,101))</f>
        <v>100</v>
      </c>
      <c r="F271" t="s">
        <v>459</v>
      </c>
      <c r="G271" t="s">
        <v>460</v>
      </c>
      <c r="H271" t="s">
        <v>29</v>
      </c>
      <c r="I271" t="s">
        <v>461</v>
      </c>
      <c r="J271" t="s">
        <v>1898</v>
      </c>
      <c r="K271" t="s">
        <v>279</v>
      </c>
      <c r="L271" t="s">
        <v>462</v>
      </c>
      <c r="N271" t="s">
        <v>1848</v>
      </c>
    </row>
    <row r="272" spans="1:17" x14ac:dyDescent="0.2">
      <c r="A272" t="str">
        <f ca="1">表_网址[[#This Row],[1级]]&amp;"-"&amp;表_网址[[#This Row],[2级]]&amp;"-"&amp;表_网址[[#This Row],[3级]]&amp;"-"&amp;表_网址[[#This Row],[级内]]</f>
        <v>8004-34-10-100</v>
      </c>
      <c r="B272" s="2">
        <f ca="1">MATCH(表_网址[[#This Row],[版层分类]],序列_版层分类,0)*1000+MATCH(表_网址[[#This Row],[首要关键词]],序列_首要关键词,0)</f>
        <v>8004</v>
      </c>
      <c r="C272" s="2">
        <f ca="1">IF(表_网址[[#This Row],[次要关键词]]="",10,MATCH(表_网址[[#This Row],[次要关键词]],序列_次要关键词,0)+10)</f>
        <v>34</v>
      </c>
      <c r="D272">
        <f>IF(表_网址[[#This Row],[重点关键词]]="",10,MATCH(表_网址[[#This Row],[重点关键词]],序列_重点关键词,0)+10)</f>
        <v>10</v>
      </c>
      <c r="E272" s="2">
        <f>IF(AND(表_网址[[#This Row],[首要关键词]]=K271,表_网址[[#This Row],[次要关键词]]=L271,表_网址[[#This Row],[重点关键词]]=M271),E271+1,IF(表_网址[[#This Row],[重点关键词]]="",100,101))</f>
        <v>100</v>
      </c>
      <c r="F272" t="s">
        <v>463</v>
      </c>
      <c r="G272" t="s">
        <v>464</v>
      </c>
      <c r="H272" t="s">
        <v>29</v>
      </c>
      <c r="I272" t="s">
        <v>465</v>
      </c>
      <c r="J272" t="s">
        <v>1898</v>
      </c>
      <c r="K272" t="s">
        <v>279</v>
      </c>
      <c r="L272" t="s">
        <v>466</v>
      </c>
      <c r="N272" t="s">
        <v>1848</v>
      </c>
    </row>
    <row r="273" spans="1:17" x14ac:dyDescent="0.2">
      <c r="A273" t="str">
        <f ca="1">表_网址[[#This Row],[1级]]&amp;"-"&amp;表_网址[[#This Row],[2级]]&amp;"-"&amp;表_网址[[#This Row],[3级]]&amp;"-"&amp;表_网址[[#This Row],[级内]]</f>
        <v>8004-35-10-100</v>
      </c>
      <c r="B273" s="2">
        <f ca="1">MATCH(表_网址[[#This Row],[版层分类]],序列_版层分类,0)*1000+MATCH(表_网址[[#This Row],[首要关键词]],序列_首要关键词,0)</f>
        <v>8004</v>
      </c>
      <c r="C273" s="2">
        <f ca="1">IF(表_网址[[#This Row],[次要关键词]]="",10,MATCH(表_网址[[#This Row],[次要关键词]],序列_次要关键词,0)+10)</f>
        <v>35</v>
      </c>
      <c r="D273">
        <f>IF(表_网址[[#This Row],[重点关键词]]="",10,MATCH(表_网址[[#This Row],[重点关键词]],序列_重点关键词,0)+10)</f>
        <v>10</v>
      </c>
      <c r="E273" s="2">
        <f>IF(AND(表_网址[[#This Row],[首要关键词]]=K272,表_网址[[#This Row],[次要关键词]]=L272,表_网址[[#This Row],[重点关键词]]=M272),E272+1,IF(表_网址[[#This Row],[重点关键词]]="",100,101))</f>
        <v>100</v>
      </c>
      <c r="F273" t="s">
        <v>467</v>
      </c>
      <c r="G273" t="s">
        <v>468</v>
      </c>
      <c r="H273" t="s">
        <v>29</v>
      </c>
      <c r="I273" t="s">
        <v>469</v>
      </c>
      <c r="J273" t="s">
        <v>1898</v>
      </c>
      <c r="K273" t="s">
        <v>279</v>
      </c>
      <c r="L273" t="s">
        <v>470</v>
      </c>
      <c r="N273" t="s">
        <v>1848</v>
      </c>
    </row>
    <row r="274" spans="1:17" x14ac:dyDescent="0.2">
      <c r="A274" t="str">
        <f ca="1">表_网址[[#This Row],[1级]]&amp;"-"&amp;表_网址[[#This Row],[2级]]&amp;"-"&amp;表_网址[[#This Row],[3级]]&amp;"-"&amp;表_网址[[#This Row],[级内]]</f>
        <v>8004-36-10-100</v>
      </c>
      <c r="B274" s="2">
        <f ca="1">MATCH(表_网址[[#This Row],[版层分类]],序列_版层分类,0)*1000+MATCH(表_网址[[#This Row],[首要关键词]],序列_首要关键词,0)</f>
        <v>8004</v>
      </c>
      <c r="C274" s="2">
        <f ca="1">IF(表_网址[[#This Row],[次要关键词]]="",10,MATCH(表_网址[[#This Row],[次要关键词]],序列_次要关键词,0)+10)</f>
        <v>36</v>
      </c>
      <c r="D274">
        <f>IF(表_网址[[#This Row],[重点关键词]]="",10,MATCH(表_网址[[#This Row],[重点关键词]],序列_重点关键词,0)+10)</f>
        <v>10</v>
      </c>
      <c r="E274" s="2">
        <f>IF(AND(表_网址[[#This Row],[首要关键词]]=K273,表_网址[[#This Row],[次要关键词]]=L273,表_网址[[#This Row],[重点关键词]]=M273),E273+1,IF(表_网址[[#This Row],[重点关键词]]="",100,101))</f>
        <v>100</v>
      </c>
      <c r="F274" t="s">
        <v>471</v>
      </c>
      <c r="G274" t="s">
        <v>472</v>
      </c>
      <c r="H274" t="s">
        <v>29</v>
      </c>
      <c r="I274" t="s">
        <v>473</v>
      </c>
      <c r="J274" t="s">
        <v>1898</v>
      </c>
      <c r="K274" t="s">
        <v>279</v>
      </c>
      <c r="L274" t="s">
        <v>474</v>
      </c>
      <c r="N274" t="s">
        <v>1848</v>
      </c>
    </row>
    <row r="275" spans="1:17" x14ac:dyDescent="0.2">
      <c r="A275" t="str">
        <f ca="1">表_网址[[#This Row],[1级]]&amp;"-"&amp;表_网址[[#This Row],[2级]]&amp;"-"&amp;表_网址[[#This Row],[3级]]&amp;"-"&amp;表_网址[[#This Row],[级内]]</f>
        <v>8004-37-10-100</v>
      </c>
      <c r="B275" s="2">
        <f ca="1">MATCH(表_网址[[#This Row],[版层分类]],序列_版层分类,0)*1000+MATCH(表_网址[[#This Row],[首要关键词]],序列_首要关键词,0)</f>
        <v>8004</v>
      </c>
      <c r="C275" s="2">
        <f ca="1">IF(表_网址[[#This Row],[次要关键词]]="",10,MATCH(表_网址[[#This Row],[次要关键词]],序列_次要关键词,0)+10)</f>
        <v>37</v>
      </c>
      <c r="D275">
        <f>IF(表_网址[[#This Row],[重点关键词]]="",10,MATCH(表_网址[[#This Row],[重点关键词]],序列_重点关键词,0)+10)</f>
        <v>10</v>
      </c>
      <c r="E275" s="2">
        <f>IF(AND(表_网址[[#This Row],[首要关键词]]=K274,表_网址[[#This Row],[次要关键词]]=L274,表_网址[[#This Row],[重点关键词]]=M274),E274+1,IF(表_网址[[#This Row],[重点关键词]]="",100,101))</f>
        <v>100</v>
      </c>
      <c r="F275" t="s">
        <v>475</v>
      </c>
      <c r="G275" t="s">
        <v>476</v>
      </c>
      <c r="H275" t="s">
        <v>29</v>
      </c>
      <c r="I275" t="s">
        <v>477</v>
      </c>
      <c r="J275" t="s">
        <v>1898</v>
      </c>
      <c r="K275" t="s">
        <v>279</v>
      </c>
      <c r="L275" t="s">
        <v>478</v>
      </c>
      <c r="N275" t="s">
        <v>1848</v>
      </c>
    </row>
    <row r="276" spans="1:17" x14ac:dyDescent="0.2">
      <c r="A276" t="str">
        <f ca="1">表_网址[[#This Row],[1级]]&amp;"-"&amp;表_网址[[#This Row],[2级]]&amp;"-"&amp;表_网址[[#This Row],[3级]]&amp;"-"&amp;表_网址[[#This Row],[级内]]</f>
        <v>8004-38-10-100</v>
      </c>
      <c r="B276" s="2">
        <f ca="1">MATCH(表_网址[[#This Row],[版层分类]],序列_版层分类,0)*1000+MATCH(表_网址[[#This Row],[首要关键词]],序列_首要关键词,0)</f>
        <v>8004</v>
      </c>
      <c r="C276" s="2">
        <f ca="1">IF(表_网址[[#This Row],[次要关键词]]="",10,MATCH(表_网址[[#This Row],[次要关键词]],序列_次要关键词,0)+10)</f>
        <v>38</v>
      </c>
      <c r="D276">
        <f>IF(表_网址[[#This Row],[重点关键词]]="",10,MATCH(表_网址[[#This Row],[重点关键词]],序列_重点关键词,0)+10)</f>
        <v>10</v>
      </c>
      <c r="E276" s="2">
        <f>IF(AND(表_网址[[#This Row],[首要关键词]]=K275,表_网址[[#This Row],[次要关键词]]=L275,表_网址[[#This Row],[重点关键词]]=M275),E275+1,IF(表_网址[[#This Row],[重点关键词]]="",100,101))</f>
        <v>100</v>
      </c>
      <c r="F276" t="s">
        <v>479</v>
      </c>
      <c r="G276" t="s">
        <v>480</v>
      </c>
      <c r="H276" t="s">
        <v>29</v>
      </c>
      <c r="I276" t="s">
        <v>481</v>
      </c>
      <c r="J276" t="s">
        <v>1898</v>
      </c>
      <c r="K276" t="s">
        <v>279</v>
      </c>
      <c r="L276" t="s">
        <v>482</v>
      </c>
      <c r="N276" t="s">
        <v>1848</v>
      </c>
      <c r="Q276">
        <v>32</v>
      </c>
    </row>
    <row r="277" spans="1:17" x14ac:dyDescent="0.2">
      <c r="A277" t="str">
        <f ca="1">表_网址[[#This Row],[1级]]&amp;"-"&amp;表_网址[[#This Row],[2级]]&amp;"-"&amp;表_网址[[#This Row],[3级]]&amp;"-"&amp;表_网址[[#This Row],[级内]]</f>
        <v>8004-39-10-100</v>
      </c>
      <c r="B277" s="2">
        <f ca="1">MATCH(表_网址[[#This Row],[版层分类]],序列_版层分类,0)*1000+MATCH(表_网址[[#This Row],[首要关键词]],序列_首要关键词,0)</f>
        <v>8004</v>
      </c>
      <c r="C277" s="2">
        <f ca="1">IF(表_网址[[#This Row],[次要关键词]]="",10,MATCH(表_网址[[#This Row],[次要关键词]],序列_次要关键词,0)+10)</f>
        <v>39</v>
      </c>
      <c r="D277">
        <f>IF(表_网址[[#This Row],[重点关键词]]="",10,MATCH(表_网址[[#This Row],[重点关键词]],序列_重点关键词,0)+10)</f>
        <v>10</v>
      </c>
      <c r="E277" s="2">
        <f>IF(AND(表_网址[[#This Row],[首要关键词]]=K276,表_网址[[#This Row],[次要关键词]]=L276,表_网址[[#This Row],[重点关键词]]=M276),E276+1,IF(表_网址[[#This Row],[重点关键词]]="",100,101))</f>
        <v>100</v>
      </c>
      <c r="F277" t="s">
        <v>483</v>
      </c>
      <c r="G277" t="s">
        <v>484</v>
      </c>
      <c r="H277" t="s">
        <v>29</v>
      </c>
      <c r="I277" t="s">
        <v>485</v>
      </c>
      <c r="J277" t="s">
        <v>1898</v>
      </c>
      <c r="K277" t="s">
        <v>279</v>
      </c>
      <c r="L277" t="s">
        <v>486</v>
      </c>
      <c r="N277" t="s">
        <v>1848</v>
      </c>
    </row>
    <row r="278" spans="1:17" x14ac:dyDescent="0.2">
      <c r="A278" t="str">
        <f ca="1">表_网址[[#This Row],[1级]]&amp;"-"&amp;表_网址[[#This Row],[2级]]&amp;"-"&amp;表_网址[[#This Row],[3级]]&amp;"-"&amp;表_网址[[#This Row],[级内]]</f>
        <v>8004-40-10-100</v>
      </c>
      <c r="B278" s="2">
        <f ca="1">MATCH(表_网址[[#This Row],[版层分类]],序列_版层分类,0)*1000+MATCH(表_网址[[#This Row],[首要关键词]],序列_首要关键词,0)</f>
        <v>8004</v>
      </c>
      <c r="C278" s="2">
        <f ca="1">IF(表_网址[[#This Row],[次要关键词]]="",10,MATCH(表_网址[[#This Row],[次要关键词]],序列_次要关键词,0)+10)</f>
        <v>40</v>
      </c>
      <c r="D278">
        <f>IF(表_网址[[#This Row],[重点关键词]]="",10,MATCH(表_网址[[#This Row],[重点关键词]],序列_重点关键词,0)+10)</f>
        <v>10</v>
      </c>
      <c r="E278" s="2">
        <f>IF(AND(表_网址[[#This Row],[首要关键词]]=K277,表_网址[[#This Row],[次要关键词]]=L277,表_网址[[#This Row],[重点关键词]]=M277),E277+1,IF(表_网址[[#This Row],[重点关键词]]="",100,101))</f>
        <v>100</v>
      </c>
      <c r="F278" t="s">
        <v>487</v>
      </c>
      <c r="G278" t="s">
        <v>488</v>
      </c>
      <c r="H278" t="s">
        <v>29</v>
      </c>
      <c r="I278" t="s">
        <v>489</v>
      </c>
      <c r="J278" t="s">
        <v>1898</v>
      </c>
      <c r="K278" t="s">
        <v>279</v>
      </c>
      <c r="L278" t="s">
        <v>490</v>
      </c>
      <c r="N278" t="s">
        <v>1848</v>
      </c>
    </row>
    <row r="279" spans="1:17" x14ac:dyDescent="0.2">
      <c r="A279" t="str">
        <f ca="1">表_网址[[#This Row],[1级]]&amp;"-"&amp;表_网址[[#This Row],[2级]]&amp;"-"&amp;表_网址[[#This Row],[3级]]&amp;"-"&amp;表_网址[[#This Row],[级内]]</f>
        <v>8004-41-10-100</v>
      </c>
      <c r="B279" s="2">
        <f ca="1">MATCH(表_网址[[#This Row],[版层分类]],序列_版层分类,0)*1000+MATCH(表_网址[[#This Row],[首要关键词]],序列_首要关键词,0)</f>
        <v>8004</v>
      </c>
      <c r="C279" s="2">
        <f ca="1">IF(表_网址[[#This Row],[次要关键词]]="",10,MATCH(表_网址[[#This Row],[次要关键词]],序列_次要关键词,0)+10)</f>
        <v>41</v>
      </c>
      <c r="D279">
        <f>IF(表_网址[[#This Row],[重点关键词]]="",10,MATCH(表_网址[[#This Row],[重点关键词]],序列_重点关键词,0)+10)</f>
        <v>10</v>
      </c>
      <c r="E279" s="2">
        <f>IF(AND(表_网址[[#This Row],[首要关键词]]=K278,表_网址[[#This Row],[次要关键词]]=L278,表_网址[[#This Row],[重点关键词]]=M278),E278+1,IF(表_网址[[#This Row],[重点关键词]]="",100,101))</f>
        <v>100</v>
      </c>
      <c r="F279" t="s">
        <v>491</v>
      </c>
      <c r="G279" t="s">
        <v>492</v>
      </c>
      <c r="H279" t="s">
        <v>29</v>
      </c>
      <c r="I279" t="s">
        <v>493</v>
      </c>
      <c r="J279" t="s">
        <v>1898</v>
      </c>
      <c r="K279" t="s">
        <v>279</v>
      </c>
      <c r="L279" t="s">
        <v>494</v>
      </c>
      <c r="N279" t="s">
        <v>1848</v>
      </c>
      <c r="Q279">
        <v>32</v>
      </c>
    </row>
    <row r="280" spans="1:17" x14ac:dyDescent="0.2">
      <c r="A280" t="str">
        <f ca="1">表_网址[[#This Row],[1级]]&amp;"-"&amp;表_网址[[#This Row],[2级]]&amp;"-"&amp;表_网址[[#This Row],[3级]]&amp;"-"&amp;表_网址[[#This Row],[级内]]</f>
        <v>8005-10-10-100</v>
      </c>
      <c r="B280" s="2">
        <f ca="1">MATCH(表_网址[[#This Row],[版层分类]],序列_版层分类,0)*1000+MATCH(表_网址[[#This Row],[首要关键词]],序列_首要关键词,0)</f>
        <v>8005</v>
      </c>
      <c r="C280" s="2">
        <f>IF(表_网址[[#This Row],[次要关键词]]="",10,MATCH(表_网址[[#This Row],[次要关键词]],序列_次要关键词,0)+10)</f>
        <v>10</v>
      </c>
      <c r="D280">
        <f>IF(表_网址[[#This Row],[重点关键词]]="",10,MATCH(表_网址[[#This Row],[重点关键词]],序列_重点关键词,0)+10)</f>
        <v>10</v>
      </c>
      <c r="E280" s="2">
        <f>IF(AND(表_网址[[#This Row],[首要关键词]]=K279,表_网址[[#This Row],[次要关键词]]=L279,表_网址[[#This Row],[重点关键词]]=M279),E279+1,IF(表_网址[[#This Row],[重点关键词]]="",100,101))</f>
        <v>100</v>
      </c>
      <c r="F280" t="s">
        <v>29</v>
      </c>
      <c r="J280" t="s">
        <v>1898</v>
      </c>
      <c r="K280" t="s">
        <v>1637</v>
      </c>
    </row>
    <row r="281" spans="1:17" x14ac:dyDescent="0.2">
      <c r="A281" t="str">
        <f ca="1">表_网址[[#This Row],[1级]]&amp;"-"&amp;表_网址[[#This Row],[2级]]&amp;"-"&amp;表_网址[[#This Row],[3级]]&amp;"-"&amp;表_网址[[#This Row],[级内]]</f>
        <v>8005-11-10-100</v>
      </c>
      <c r="B281" s="2">
        <f ca="1">MATCH(表_网址[[#This Row],[版层分类]],序列_版层分类,0)*1000+MATCH(表_网址[[#This Row],[首要关键词]],序列_首要关键词,0)</f>
        <v>8005</v>
      </c>
      <c r="C281" s="2">
        <f ca="1">IF(表_网址[[#This Row],[次要关键词]]="",10,MATCH(表_网址[[#This Row],[次要关键词]],序列_次要关键词,0)+10)</f>
        <v>11</v>
      </c>
      <c r="D281">
        <f>IF(表_网址[[#This Row],[重点关键词]]="",10,MATCH(表_网址[[#This Row],[重点关键词]],序列_重点关键词,0)+10)</f>
        <v>10</v>
      </c>
      <c r="E281" s="2">
        <f>IF(AND(表_网址[[#This Row],[首要关键词]]=K280,表_网址[[#This Row],[次要关键词]]=L280,表_网址[[#This Row],[重点关键词]]=M280),E280+1,IF(表_网址[[#This Row],[重点关键词]]="",100,101))</f>
        <v>100</v>
      </c>
      <c r="F281" t="s">
        <v>1656</v>
      </c>
      <c r="G281" t="s">
        <v>1657</v>
      </c>
      <c r="H281" t="s">
        <v>1658</v>
      </c>
      <c r="J281" t="s">
        <v>1898</v>
      </c>
      <c r="K281" t="s">
        <v>1637</v>
      </c>
      <c r="L281" t="s">
        <v>1658</v>
      </c>
      <c r="N281" t="s">
        <v>1848</v>
      </c>
    </row>
    <row r="282" spans="1:17" x14ac:dyDescent="0.2">
      <c r="A282" t="str">
        <f ca="1">表_网址[[#This Row],[1级]]&amp;"-"&amp;表_网址[[#This Row],[2级]]&amp;"-"&amp;表_网址[[#This Row],[3级]]&amp;"-"&amp;表_网址[[#This Row],[级内]]</f>
        <v>8005-12-10-100</v>
      </c>
      <c r="B282" s="2">
        <f ca="1">MATCH(表_网址[[#This Row],[版层分类]],序列_版层分类,0)*1000+MATCH(表_网址[[#This Row],[首要关键词]],序列_首要关键词,0)</f>
        <v>8005</v>
      </c>
      <c r="C282" s="2">
        <f ca="1">IF(表_网址[[#This Row],[次要关键词]]="",10,MATCH(表_网址[[#This Row],[次要关键词]],序列_次要关键词,0)+10)</f>
        <v>12</v>
      </c>
      <c r="D282">
        <f>IF(表_网址[[#This Row],[重点关键词]]="",10,MATCH(表_网址[[#This Row],[重点关键词]],序列_重点关键词,0)+10)</f>
        <v>10</v>
      </c>
      <c r="E282" s="2">
        <f>IF(AND(表_网址[[#This Row],[首要关键词]]=K281,表_网址[[#This Row],[次要关键词]]=L281,表_网址[[#This Row],[重点关键词]]=M281),E281+1,IF(表_网址[[#This Row],[重点关键词]]="",100,101))</f>
        <v>100</v>
      </c>
      <c r="F282" t="s">
        <v>1647</v>
      </c>
      <c r="G282" t="s">
        <v>1648</v>
      </c>
      <c r="H282" t="s">
        <v>1649</v>
      </c>
      <c r="J282" t="s">
        <v>1898</v>
      </c>
      <c r="K282" t="s">
        <v>1637</v>
      </c>
      <c r="L282" t="s">
        <v>1649</v>
      </c>
      <c r="N282" t="s">
        <v>1848</v>
      </c>
    </row>
    <row r="283" spans="1:17" x14ac:dyDescent="0.2">
      <c r="A283" t="str">
        <f ca="1">表_网址[[#This Row],[1级]]&amp;"-"&amp;表_网址[[#This Row],[2级]]&amp;"-"&amp;表_网址[[#This Row],[3级]]&amp;"-"&amp;表_网址[[#This Row],[级内]]</f>
        <v>8005-13-10-100</v>
      </c>
      <c r="B283" s="2">
        <f ca="1">MATCH(表_网址[[#This Row],[版层分类]],序列_版层分类,0)*1000+MATCH(表_网址[[#This Row],[首要关键词]],序列_首要关键词,0)</f>
        <v>8005</v>
      </c>
      <c r="C283" s="2">
        <f ca="1">IF(表_网址[[#This Row],[次要关键词]]="",10,MATCH(表_网址[[#This Row],[次要关键词]],序列_次要关键词,0)+10)</f>
        <v>13</v>
      </c>
      <c r="D283">
        <f>IF(表_网址[[#This Row],[重点关键词]]="",10,MATCH(表_网址[[#This Row],[重点关键词]],序列_重点关键词,0)+10)</f>
        <v>10</v>
      </c>
      <c r="E283" s="2">
        <f>IF(AND(表_网址[[#This Row],[首要关键词]]=K282,表_网址[[#This Row],[次要关键词]]=L282,表_网址[[#This Row],[重点关键词]]=M282),E282+1,IF(表_网址[[#This Row],[重点关键词]]="",100,101))</f>
        <v>100</v>
      </c>
      <c r="F283" t="s">
        <v>1653</v>
      </c>
      <c r="G283" t="s">
        <v>1654</v>
      </c>
      <c r="H283" t="s">
        <v>1655</v>
      </c>
      <c r="J283" t="s">
        <v>1898</v>
      </c>
      <c r="K283" t="s">
        <v>1637</v>
      </c>
      <c r="L283" t="s">
        <v>1655</v>
      </c>
      <c r="N283" t="s">
        <v>1848</v>
      </c>
    </row>
    <row r="284" spans="1:17" x14ac:dyDescent="0.2">
      <c r="A284" t="str">
        <f ca="1">表_网址[[#This Row],[1级]]&amp;"-"&amp;表_网址[[#This Row],[2级]]&amp;"-"&amp;表_网址[[#This Row],[3级]]&amp;"-"&amp;表_网址[[#This Row],[级内]]</f>
        <v>8005-14-10-100</v>
      </c>
      <c r="B284" s="2">
        <f ca="1">MATCH(表_网址[[#This Row],[版层分类]],序列_版层分类,0)*1000+MATCH(表_网址[[#This Row],[首要关键词]],序列_首要关键词,0)</f>
        <v>8005</v>
      </c>
      <c r="C284" s="2">
        <f ca="1">IF(表_网址[[#This Row],[次要关键词]]="",10,MATCH(表_网址[[#This Row],[次要关键词]],序列_次要关键词,0)+10)</f>
        <v>14</v>
      </c>
      <c r="D284">
        <f>IF(表_网址[[#This Row],[重点关键词]]="",10,MATCH(表_网址[[#This Row],[重点关键词]],序列_重点关键词,0)+10)</f>
        <v>10</v>
      </c>
      <c r="E284" s="2">
        <f>IF(AND(表_网址[[#This Row],[首要关键词]]=K283,表_网址[[#This Row],[次要关键词]]=L283,表_网址[[#This Row],[重点关键词]]=M283),E283+1,IF(表_网址[[#This Row],[重点关键词]]="",100,101))</f>
        <v>100</v>
      </c>
      <c r="F284" t="s">
        <v>1650</v>
      </c>
      <c r="G284" t="s">
        <v>1651</v>
      </c>
      <c r="H284" t="s">
        <v>1652</v>
      </c>
      <c r="J284" t="s">
        <v>1898</v>
      </c>
      <c r="K284" t="s">
        <v>1637</v>
      </c>
      <c r="L284" t="s">
        <v>1652</v>
      </c>
      <c r="N284" t="s">
        <v>1848</v>
      </c>
    </row>
    <row r="285" spans="1:17" x14ac:dyDescent="0.2">
      <c r="A285" t="str">
        <f ca="1">表_网址[[#This Row],[1级]]&amp;"-"&amp;表_网址[[#This Row],[2级]]&amp;"-"&amp;表_网址[[#This Row],[3级]]&amp;"-"&amp;表_网址[[#This Row],[级内]]</f>
        <v>8005-15-10-100</v>
      </c>
      <c r="B285" s="2">
        <f ca="1">MATCH(表_网址[[#This Row],[版层分类]],序列_版层分类,0)*1000+MATCH(表_网址[[#This Row],[首要关键词]],序列_首要关键词,0)</f>
        <v>8005</v>
      </c>
      <c r="C285" s="2">
        <f ca="1">IF(表_网址[[#This Row],[次要关键词]]="",10,MATCH(表_网址[[#This Row],[次要关键词]],序列_次要关键词,0)+10)</f>
        <v>15</v>
      </c>
      <c r="D285">
        <f>IF(表_网址[[#This Row],[重点关键词]]="",10,MATCH(表_网址[[#This Row],[重点关键词]],序列_重点关键词,0)+10)</f>
        <v>10</v>
      </c>
      <c r="E285" s="2">
        <f>IF(AND(表_网址[[#This Row],[首要关键词]]=K284,表_网址[[#This Row],[次要关键词]]=L284,表_网址[[#This Row],[重点关键词]]=M284),E284+1,IF(表_网址[[#This Row],[重点关键词]]="",100,101))</f>
        <v>100</v>
      </c>
      <c r="F285" t="s">
        <v>1644</v>
      </c>
      <c r="G285" t="s">
        <v>1645</v>
      </c>
      <c r="H285" t="s">
        <v>1646</v>
      </c>
      <c r="J285" t="s">
        <v>1898</v>
      </c>
      <c r="K285" t="s">
        <v>1637</v>
      </c>
      <c r="L285" t="s">
        <v>1646</v>
      </c>
      <c r="N285" t="s">
        <v>1848</v>
      </c>
    </row>
    <row r="286" spans="1:17" x14ac:dyDescent="0.2">
      <c r="A286" t="str">
        <f ca="1">表_网址[[#This Row],[1级]]&amp;"-"&amp;表_网址[[#This Row],[2级]]&amp;"-"&amp;表_网址[[#This Row],[3级]]&amp;"-"&amp;表_网址[[#This Row],[级内]]</f>
        <v>8005-16-10-100</v>
      </c>
      <c r="B286" s="2">
        <f ca="1">MATCH(表_网址[[#This Row],[版层分类]],序列_版层分类,0)*1000+MATCH(表_网址[[#This Row],[首要关键词]],序列_首要关键词,0)</f>
        <v>8005</v>
      </c>
      <c r="C286" s="2">
        <f ca="1">IF(表_网址[[#This Row],[次要关键词]]="",10,MATCH(表_网址[[#This Row],[次要关键词]],序列_次要关键词,0)+10)</f>
        <v>16</v>
      </c>
      <c r="D286">
        <f>IF(表_网址[[#This Row],[重点关键词]]="",10,MATCH(表_网址[[#This Row],[重点关键词]],序列_重点关键词,0)+10)</f>
        <v>10</v>
      </c>
      <c r="E286" s="2">
        <f>IF(AND(表_网址[[#This Row],[首要关键词]]=K285,表_网址[[#This Row],[次要关键词]]=L285,表_网址[[#This Row],[重点关键词]]=M285),E285+1,IF(表_网址[[#This Row],[重点关键词]]="",100,101))</f>
        <v>100</v>
      </c>
      <c r="F286" t="s">
        <v>1638</v>
      </c>
      <c r="G286" t="s">
        <v>1639</v>
      </c>
      <c r="H286" t="s">
        <v>1858</v>
      </c>
      <c r="J286" t="s">
        <v>1898</v>
      </c>
      <c r="K286" t="s">
        <v>1637</v>
      </c>
      <c r="L286" t="s">
        <v>1640</v>
      </c>
      <c r="N286" t="s">
        <v>1848</v>
      </c>
    </row>
    <row r="287" spans="1:17" x14ac:dyDescent="0.2">
      <c r="A287" t="str">
        <f ca="1">表_网址[[#This Row],[1级]]&amp;"-"&amp;表_网址[[#This Row],[2级]]&amp;"-"&amp;表_网址[[#This Row],[3级]]&amp;"-"&amp;表_网址[[#This Row],[级内]]</f>
        <v>8005-17-10-100</v>
      </c>
      <c r="B287" s="2">
        <f ca="1">MATCH(表_网址[[#This Row],[版层分类]],序列_版层分类,0)*1000+MATCH(表_网址[[#This Row],[首要关键词]],序列_首要关键词,0)</f>
        <v>8005</v>
      </c>
      <c r="C287" s="2">
        <f ca="1">IF(表_网址[[#This Row],[次要关键词]]="",10,MATCH(表_网址[[#This Row],[次要关键词]],序列_次要关键词,0)+10)</f>
        <v>17</v>
      </c>
      <c r="D287">
        <f>IF(表_网址[[#This Row],[重点关键词]]="",10,MATCH(表_网址[[#This Row],[重点关键词]],序列_重点关键词,0)+10)</f>
        <v>10</v>
      </c>
      <c r="E287" s="2">
        <f>IF(AND(表_网址[[#This Row],[首要关键词]]=K286,表_网址[[#This Row],[次要关键词]]=L286,表_网址[[#This Row],[重点关键词]]=M286),E286+1,IF(表_网址[[#This Row],[重点关键词]]="",100,101))</f>
        <v>100</v>
      </c>
      <c r="F287" t="s">
        <v>1659</v>
      </c>
      <c r="G287" t="s">
        <v>1660</v>
      </c>
      <c r="H287" t="s">
        <v>1858</v>
      </c>
      <c r="J287" t="s">
        <v>1898</v>
      </c>
      <c r="K287" t="s">
        <v>1637</v>
      </c>
      <c r="L287" t="s">
        <v>1659</v>
      </c>
      <c r="N287" t="s">
        <v>1848</v>
      </c>
    </row>
    <row r="288" spans="1:17" x14ac:dyDescent="0.2">
      <c r="A288" t="str">
        <f ca="1">表_网址[[#This Row],[1级]]&amp;"-"&amp;表_网址[[#This Row],[2级]]&amp;"-"&amp;表_网址[[#This Row],[3级]]&amp;"-"&amp;表_网址[[#This Row],[级内]]</f>
        <v>8005-18-10-100</v>
      </c>
      <c r="B288" s="2">
        <f ca="1">MATCH(表_网址[[#This Row],[版层分类]],序列_版层分类,0)*1000+MATCH(表_网址[[#This Row],[首要关键词]],序列_首要关键词,0)</f>
        <v>8005</v>
      </c>
      <c r="C288" s="2">
        <f ca="1">IF(表_网址[[#This Row],[次要关键词]]="",10,MATCH(表_网址[[#This Row],[次要关键词]],序列_次要关键词,0)+10)</f>
        <v>18</v>
      </c>
      <c r="D288">
        <f>IF(表_网址[[#This Row],[重点关键词]]="",10,MATCH(表_网址[[#This Row],[重点关键词]],序列_重点关键词,0)+10)</f>
        <v>10</v>
      </c>
      <c r="E288" s="2">
        <f>IF(AND(表_网址[[#This Row],[首要关键词]]=K287,表_网址[[#This Row],[次要关键词]]=L287,表_网址[[#This Row],[重点关键词]]=M287),E287+1,IF(表_网址[[#This Row],[重点关键词]]="",100,101))</f>
        <v>100</v>
      </c>
      <c r="F288" t="s">
        <v>1641</v>
      </c>
      <c r="G288" t="s">
        <v>1642</v>
      </c>
      <c r="H288" t="s">
        <v>1643</v>
      </c>
      <c r="J288" t="s">
        <v>1898</v>
      </c>
      <c r="K288" t="s">
        <v>1637</v>
      </c>
      <c r="L288" t="s">
        <v>1643</v>
      </c>
      <c r="N288" t="s">
        <v>1848</v>
      </c>
    </row>
    <row r="289" spans="1:19" x14ac:dyDescent="0.2">
      <c r="A289" t="str">
        <f ca="1">表_网址[[#This Row],[1级]]&amp;"-"&amp;表_网址[[#This Row],[2级]]&amp;"-"&amp;表_网址[[#This Row],[3级]]&amp;"-"&amp;表_网址[[#This Row],[级内]]</f>
        <v>8006-10-10-100</v>
      </c>
      <c r="B289" s="2">
        <f ca="1">MATCH(表_网址[[#This Row],[版层分类]],序列_版层分类,0)*1000+MATCH(表_网址[[#This Row],[首要关键词]],序列_首要关键词,0)</f>
        <v>8006</v>
      </c>
      <c r="C289" s="2">
        <f>IF(表_网址[[#This Row],[次要关键词]]="",10,MATCH(表_网址[[#This Row],[次要关键词]],序列_次要关键词,0)+10)</f>
        <v>10</v>
      </c>
      <c r="D289">
        <f>IF(表_网址[[#This Row],[重点关键词]]="",10,MATCH(表_网址[[#This Row],[重点关键词]],序列_重点关键词,0)+10)</f>
        <v>10</v>
      </c>
      <c r="E289" s="2">
        <f>IF(AND(表_网址[[#This Row],[首要关键词]]=K288,表_网址[[#This Row],[次要关键词]]=L288,表_网址[[#This Row],[重点关键词]]=M288),E288+1,IF(表_网址[[#This Row],[重点关键词]]="",100,101))</f>
        <v>100</v>
      </c>
      <c r="F289" t="s">
        <v>495</v>
      </c>
      <c r="G289" t="s">
        <v>496</v>
      </c>
      <c r="H289" t="s">
        <v>29</v>
      </c>
      <c r="I289" t="s">
        <v>497</v>
      </c>
      <c r="J289" t="s">
        <v>1898</v>
      </c>
      <c r="K289" t="s">
        <v>1849</v>
      </c>
      <c r="N289" t="s">
        <v>1848</v>
      </c>
      <c r="O289" t="s">
        <v>1166</v>
      </c>
      <c r="Q289">
        <v>64</v>
      </c>
    </row>
    <row r="290" spans="1:19" x14ac:dyDescent="0.2">
      <c r="A290" t="str">
        <f ca="1">表_网址[[#This Row],[1级]]&amp;"-"&amp;表_网址[[#This Row],[2级]]&amp;"-"&amp;表_网址[[#This Row],[3级]]&amp;"-"&amp;表_网址[[#This Row],[级内]]</f>
        <v>8006-11-10-100</v>
      </c>
      <c r="B290" s="2">
        <f ca="1">MATCH(表_网址[[#This Row],[版层分类]],序列_版层分类,0)*1000+MATCH(表_网址[[#This Row],[首要关键词]],序列_首要关键词,0)</f>
        <v>8006</v>
      </c>
      <c r="C290" s="2">
        <f ca="1">IF(表_网址[[#This Row],[次要关键词]]="",10,MATCH(表_网址[[#This Row],[次要关键词]],序列_次要关键词,0)+10)</f>
        <v>11</v>
      </c>
      <c r="D290">
        <f>IF(表_网址[[#This Row],[重点关键词]]="",10,MATCH(表_网址[[#This Row],[重点关键词]],序列_重点关键词,0)+10)</f>
        <v>10</v>
      </c>
      <c r="E290" s="2">
        <f>IF(AND(表_网址[[#This Row],[首要关键词]]=K289,表_网址[[#This Row],[次要关键词]]=L289,表_网址[[#This Row],[重点关键词]]=M289),E289+1,IF(表_网址[[#This Row],[重点关键词]]="",100,101))</f>
        <v>100</v>
      </c>
      <c r="F290" t="s">
        <v>499</v>
      </c>
      <c r="G290" t="s">
        <v>500</v>
      </c>
      <c r="H290" t="s">
        <v>29</v>
      </c>
      <c r="I290" t="s">
        <v>501</v>
      </c>
      <c r="J290" t="s">
        <v>1898</v>
      </c>
      <c r="K290" t="s">
        <v>1849</v>
      </c>
      <c r="L290" t="s">
        <v>1792</v>
      </c>
      <c r="N290" t="s">
        <v>1848</v>
      </c>
      <c r="O290" t="s">
        <v>1166</v>
      </c>
      <c r="Q290">
        <v>32</v>
      </c>
    </row>
    <row r="291" spans="1:19" x14ac:dyDescent="0.2">
      <c r="A291" t="str">
        <f ca="1">表_网址[[#This Row],[1级]]&amp;"-"&amp;表_网址[[#This Row],[2级]]&amp;"-"&amp;表_网址[[#This Row],[3级]]&amp;"-"&amp;表_网址[[#This Row],[级内]]</f>
        <v>8006-11-11-101</v>
      </c>
      <c r="B291" s="2">
        <f ca="1">MATCH(表_网址[[#This Row],[版层分类]],序列_版层分类,0)*1000+MATCH(表_网址[[#This Row],[首要关键词]],序列_首要关键词,0)</f>
        <v>8006</v>
      </c>
      <c r="C291" s="2">
        <f ca="1">IF(表_网址[[#This Row],[次要关键词]]="",10,MATCH(表_网址[[#This Row],[次要关键词]],序列_次要关键词,0)+10)</f>
        <v>11</v>
      </c>
      <c r="D291">
        <f ca="1">IF(表_网址[[#This Row],[重点关键词]]="",10,MATCH(表_网址[[#This Row],[重点关键词]],序列_重点关键词,0)+10)</f>
        <v>11</v>
      </c>
      <c r="E291" s="2">
        <f>IF(AND(表_网址[[#This Row],[首要关键词]]=K290,表_网址[[#This Row],[次要关键词]]=L290,表_网址[[#This Row],[重点关键词]]=M290),E290+1,IF(表_网址[[#This Row],[重点关键词]]="",100,101))</f>
        <v>101</v>
      </c>
      <c r="F291" t="s">
        <v>507</v>
      </c>
      <c r="G291" t="s">
        <v>508</v>
      </c>
      <c r="H291" t="s">
        <v>29</v>
      </c>
      <c r="I291" t="s">
        <v>509</v>
      </c>
      <c r="J291" t="s">
        <v>1898</v>
      </c>
      <c r="K291" t="s">
        <v>1849</v>
      </c>
      <c r="L291" t="s">
        <v>1792</v>
      </c>
      <c r="M291" t="s">
        <v>502</v>
      </c>
      <c r="N291" t="s">
        <v>1848</v>
      </c>
      <c r="Q291">
        <v>16</v>
      </c>
      <c r="R291" t="s">
        <v>1826</v>
      </c>
      <c r="S291" t="s">
        <v>1830</v>
      </c>
    </row>
    <row r="292" spans="1:19" x14ac:dyDescent="0.2">
      <c r="A292" t="str">
        <f ca="1">表_网址[[#This Row],[1级]]&amp;"-"&amp;表_网址[[#This Row],[2级]]&amp;"-"&amp;表_网址[[#This Row],[3级]]&amp;"-"&amp;表_网址[[#This Row],[级内]]</f>
        <v>8006-11-11-102</v>
      </c>
      <c r="B292" s="2">
        <f ca="1">MATCH(表_网址[[#This Row],[版层分类]],序列_版层分类,0)*1000+MATCH(表_网址[[#This Row],[首要关键词]],序列_首要关键词,0)</f>
        <v>8006</v>
      </c>
      <c r="C292" s="2">
        <f ca="1">IF(表_网址[[#This Row],[次要关键词]]="",10,MATCH(表_网址[[#This Row],[次要关键词]],序列_次要关键词,0)+10)</f>
        <v>11</v>
      </c>
      <c r="D292">
        <f ca="1">IF(表_网址[[#This Row],[重点关键词]]="",10,MATCH(表_网址[[#This Row],[重点关键词]],序列_重点关键词,0)+10)</f>
        <v>11</v>
      </c>
      <c r="E292" s="2">
        <f>IF(AND(表_网址[[#This Row],[首要关键词]]=K291,表_网址[[#This Row],[次要关键词]]=L291,表_网址[[#This Row],[重点关键词]]=M291),E291+1,IF(表_网址[[#This Row],[重点关键词]]="",100,101))</f>
        <v>102</v>
      </c>
      <c r="F292" t="s">
        <v>503</v>
      </c>
      <c r="G292" t="s">
        <v>504</v>
      </c>
      <c r="H292" t="s">
        <v>29</v>
      </c>
      <c r="I292" t="s">
        <v>505</v>
      </c>
      <c r="J292" t="s">
        <v>1898</v>
      </c>
      <c r="K292" t="s">
        <v>1849</v>
      </c>
      <c r="L292" t="s">
        <v>1792</v>
      </c>
      <c r="M292" t="s">
        <v>502</v>
      </c>
      <c r="N292" t="s">
        <v>1848</v>
      </c>
      <c r="Q292">
        <v>16</v>
      </c>
      <c r="R292" t="s">
        <v>1826</v>
      </c>
      <c r="S292" t="s">
        <v>1830</v>
      </c>
    </row>
    <row r="293" spans="1:19" x14ac:dyDescent="0.2">
      <c r="A293" t="str">
        <f ca="1">表_网址[[#This Row],[1级]]&amp;"-"&amp;表_网址[[#This Row],[2级]]&amp;"-"&amp;表_网址[[#This Row],[3级]]&amp;"-"&amp;表_网址[[#This Row],[级内]]</f>
        <v>8006-11-11-103</v>
      </c>
      <c r="B293" s="2">
        <f ca="1">MATCH(表_网址[[#This Row],[版层分类]],序列_版层分类,0)*1000+MATCH(表_网址[[#This Row],[首要关键词]],序列_首要关键词,0)</f>
        <v>8006</v>
      </c>
      <c r="C293" s="2">
        <f ca="1">IF(表_网址[[#This Row],[次要关键词]]="",10,MATCH(表_网址[[#This Row],[次要关键词]],序列_次要关键词,0)+10)</f>
        <v>11</v>
      </c>
      <c r="D293">
        <f ca="1">IF(表_网址[[#This Row],[重点关键词]]="",10,MATCH(表_网址[[#This Row],[重点关键词]],序列_重点关键词,0)+10)</f>
        <v>11</v>
      </c>
      <c r="E293" s="2">
        <f>IF(AND(表_网址[[#This Row],[首要关键词]]=K292,表_网址[[#This Row],[次要关键词]]=L292,表_网址[[#This Row],[重点关键词]]=M292),E292+1,IF(表_网址[[#This Row],[重点关键词]]="",100,101))</f>
        <v>103</v>
      </c>
      <c r="F293" t="s">
        <v>536</v>
      </c>
      <c r="G293" t="s">
        <v>537</v>
      </c>
      <c r="H293" t="s">
        <v>29</v>
      </c>
      <c r="I293" t="s">
        <v>538</v>
      </c>
      <c r="J293" t="s">
        <v>1898</v>
      </c>
      <c r="K293" t="s">
        <v>1849</v>
      </c>
      <c r="L293" t="s">
        <v>1792</v>
      </c>
      <c r="M293" t="s">
        <v>502</v>
      </c>
      <c r="N293" t="s">
        <v>1848</v>
      </c>
      <c r="Q293">
        <v>16</v>
      </c>
      <c r="R293" t="s">
        <v>1826</v>
      </c>
      <c r="S293" t="s">
        <v>1830</v>
      </c>
    </row>
    <row r="294" spans="1:19" x14ac:dyDescent="0.2">
      <c r="A294" t="str">
        <f ca="1">表_网址[[#This Row],[1级]]&amp;"-"&amp;表_网址[[#This Row],[2级]]&amp;"-"&amp;表_网址[[#This Row],[3级]]&amp;"-"&amp;表_网址[[#This Row],[级内]]</f>
        <v>8006-11-11-104</v>
      </c>
      <c r="B294" s="2">
        <f ca="1">MATCH(表_网址[[#This Row],[版层分类]],序列_版层分类,0)*1000+MATCH(表_网址[[#This Row],[首要关键词]],序列_首要关键词,0)</f>
        <v>8006</v>
      </c>
      <c r="C294" s="2">
        <f ca="1">IF(表_网址[[#This Row],[次要关键词]]="",10,MATCH(表_网址[[#This Row],[次要关键词]],序列_次要关键词,0)+10)</f>
        <v>11</v>
      </c>
      <c r="D294">
        <f ca="1">IF(表_网址[[#This Row],[重点关键词]]="",10,MATCH(表_网址[[#This Row],[重点关键词]],序列_重点关键词,0)+10)</f>
        <v>11</v>
      </c>
      <c r="E294" s="2">
        <f>IF(AND(表_网址[[#This Row],[首要关键词]]=K293,表_网址[[#This Row],[次要关键词]]=L293,表_网址[[#This Row],[重点关键词]]=M293),E293+1,IF(表_网址[[#This Row],[重点关键词]]="",100,101))</f>
        <v>104</v>
      </c>
      <c r="F294" t="s">
        <v>1798</v>
      </c>
      <c r="G294" s="8" t="s">
        <v>1797</v>
      </c>
      <c r="H294" t="s">
        <v>1799</v>
      </c>
      <c r="J294" t="s">
        <v>1898</v>
      </c>
      <c r="K294" t="s">
        <v>1849</v>
      </c>
      <c r="L294" t="s">
        <v>1792</v>
      </c>
      <c r="M294" t="s">
        <v>502</v>
      </c>
      <c r="N294" t="s">
        <v>1848</v>
      </c>
    </row>
    <row r="295" spans="1:19" x14ac:dyDescent="0.2">
      <c r="A295" t="str">
        <f ca="1">表_网址[[#This Row],[1级]]&amp;"-"&amp;表_网址[[#This Row],[2级]]&amp;"-"&amp;表_网址[[#This Row],[3级]]&amp;"-"&amp;表_网址[[#This Row],[级内]]</f>
        <v>8006-11-11-105</v>
      </c>
      <c r="B295" s="2">
        <f ca="1">MATCH(表_网址[[#This Row],[版层分类]],序列_版层分类,0)*1000+MATCH(表_网址[[#This Row],[首要关键词]],序列_首要关键词,0)</f>
        <v>8006</v>
      </c>
      <c r="C295" s="2">
        <f ca="1">IF(表_网址[[#This Row],[次要关键词]]="",10,MATCH(表_网址[[#This Row],[次要关键词]],序列_次要关键词,0)+10)</f>
        <v>11</v>
      </c>
      <c r="D295">
        <f ca="1">IF(表_网址[[#This Row],[重点关键词]]="",10,MATCH(表_网址[[#This Row],[重点关键词]],序列_重点关键词,0)+10)</f>
        <v>11</v>
      </c>
      <c r="E295" s="2">
        <f>IF(AND(表_网址[[#This Row],[首要关键词]]=K294,表_网址[[#This Row],[次要关键词]]=L294,表_网址[[#This Row],[重点关键词]]=M294),E294+1,IF(表_网址[[#This Row],[重点关键词]]="",100,101))</f>
        <v>105</v>
      </c>
      <c r="F295" t="s">
        <v>495</v>
      </c>
      <c r="G295" t="s">
        <v>496</v>
      </c>
      <c r="H295" t="s">
        <v>29</v>
      </c>
      <c r="I295" t="s">
        <v>497</v>
      </c>
      <c r="J295" t="s">
        <v>1898</v>
      </c>
      <c r="K295" t="s">
        <v>1849</v>
      </c>
      <c r="L295" t="s">
        <v>1792</v>
      </c>
      <c r="M295" t="s">
        <v>502</v>
      </c>
      <c r="N295" t="s">
        <v>1848</v>
      </c>
      <c r="O295" t="s">
        <v>1166</v>
      </c>
      <c r="Q295">
        <v>64</v>
      </c>
      <c r="R295" t="s">
        <v>1826</v>
      </c>
      <c r="S295" t="s">
        <v>1830</v>
      </c>
    </row>
    <row r="296" spans="1:19" x14ac:dyDescent="0.2">
      <c r="A296" t="str">
        <f ca="1">表_网址[[#This Row],[1级]]&amp;"-"&amp;表_网址[[#This Row],[2级]]&amp;"-"&amp;表_网址[[#This Row],[3级]]&amp;"-"&amp;表_网址[[#This Row],[级内]]</f>
        <v>8006-11-11-106</v>
      </c>
      <c r="B296" s="2">
        <f ca="1">MATCH(表_网址[[#This Row],[版层分类]],序列_版层分类,0)*1000+MATCH(表_网址[[#This Row],[首要关键词]],序列_首要关键词,0)</f>
        <v>8006</v>
      </c>
      <c r="C296" s="2">
        <f ca="1">IF(表_网址[[#This Row],[次要关键词]]="",10,MATCH(表_网址[[#This Row],[次要关键词]],序列_次要关键词,0)+10)</f>
        <v>11</v>
      </c>
      <c r="D296">
        <f ca="1">IF(表_网址[[#This Row],[重点关键词]]="",10,MATCH(表_网址[[#This Row],[重点关键词]],序列_重点关键词,0)+10)</f>
        <v>11</v>
      </c>
      <c r="E296" s="2">
        <f>IF(AND(表_网址[[#This Row],[首要关键词]]=K295,表_网址[[#This Row],[次要关键词]]=L295,表_网址[[#This Row],[重点关键词]]=M295),E295+1,IF(表_网址[[#This Row],[重点关键词]]="",100,101))</f>
        <v>106</v>
      </c>
      <c r="F296" t="s">
        <v>516</v>
      </c>
      <c r="G296" t="s">
        <v>517</v>
      </c>
      <c r="H296" t="s">
        <v>29</v>
      </c>
      <c r="I296" t="s">
        <v>518</v>
      </c>
      <c r="J296" t="s">
        <v>1898</v>
      </c>
      <c r="K296" t="s">
        <v>1849</v>
      </c>
      <c r="L296" t="s">
        <v>1792</v>
      </c>
      <c r="M296" t="s">
        <v>502</v>
      </c>
      <c r="N296" t="s">
        <v>1848</v>
      </c>
      <c r="Q296">
        <v>16</v>
      </c>
      <c r="R296" t="s">
        <v>1826</v>
      </c>
      <c r="S296" t="s">
        <v>1830</v>
      </c>
    </row>
    <row r="297" spans="1:19" x14ac:dyDescent="0.2">
      <c r="A297" t="str">
        <f ca="1">表_网址[[#This Row],[1级]]&amp;"-"&amp;表_网址[[#This Row],[2级]]&amp;"-"&amp;表_网址[[#This Row],[3级]]&amp;"-"&amp;表_网址[[#This Row],[级内]]</f>
        <v>8006-11-11-107</v>
      </c>
      <c r="B297" s="2">
        <f ca="1">MATCH(表_网址[[#This Row],[版层分类]],序列_版层分类,0)*1000+MATCH(表_网址[[#This Row],[首要关键词]],序列_首要关键词,0)</f>
        <v>8006</v>
      </c>
      <c r="C297" s="2">
        <f ca="1">IF(表_网址[[#This Row],[次要关键词]]="",10,MATCH(表_网址[[#This Row],[次要关键词]],序列_次要关键词,0)+10)</f>
        <v>11</v>
      </c>
      <c r="D297">
        <f ca="1">IF(表_网址[[#This Row],[重点关键词]]="",10,MATCH(表_网址[[#This Row],[重点关键词]],序列_重点关键词,0)+10)</f>
        <v>11</v>
      </c>
      <c r="E297" s="2">
        <f>IF(AND(表_网址[[#This Row],[首要关键词]]=K296,表_网址[[#This Row],[次要关键词]]=L296,表_网址[[#This Row],[重点关键词]]=M296),E296+1,IF(表_网址[[#This Row],[重点关键词]]="",100,101))</f>
        <v>107</v>
      </c>
      <c r="F297" t="s">
        <v>499</v>
      </c>
      <c r="G297" t="s">
        <v>500</v>
      </c>
      <c r="H297" t="s">
        <v>29</v>
      </c>
      <c r="I297" t="s">
        <v>501</v>
      </c>
      <c r="J297" t="s">
        <v>1898</v>
      </c>
      <c r="K297" t="s">
        <v>1849</v>
      </c>
      <c r="L297" t="s">
        <v>1792</v>
      </c>
      <c r="M297" t="s">
        <v>502</v>
      </c>
      <c r="N297" t="s">
        <v>1848</v>
      </c>
      <c r="O297" t="s">
        <v>1166</v>
      </c>
      <c r="Q297">
        <v>32</v>
      </c>
      <c r="R297" t="s">
        <v>1826</v>
      </c>
      <c r="S297" t="s">
        <v>1830</v>
      </c>
    </row>
    <row r="298" spans="1:19" x14ac:dyDescent="0.2">
      <c r="A298" t="str">
        <f ca="1">表_网址[[#This Row],[1级]]&amp;"-"&amp;表_网址[[#This Row],[2级]]&amp;"-"&amp;表_网址[[#This Row],[3级]]&amp;"-"&amp;表_网址[[#This Row],[级内]]</f>
        <v>8006-11-11-108</v>
      </c>
      <c r="B298" s="2">
        <f ca="1">MATCH(表_网址[[#This Row],[版层分类]],序列_版层分类,0)*1000+MATCH(表_网址[[#This Row],[首要关键词]],序列_首要关键词,0)</f>
        <v>8006</v>
      </c>
      <c r="C298" s="2">
        <f ca="1">IF(表_网址[[#This Row],[次要关键词]]="",10,MATCH(表_网址[[#This Row],[次要关键词]],序列_次要关键词,0)+10)</f>
        <v>11</v>
      </c>
      <c r="D298">
        <f ca="1">IF(表_网址[[#This Row],[重点关键词]]="",10,MATCH(表_网址[[#This Row],[重点关键词]],序列_重点关键词,0)+10)</f>
        <v>11</v>
      </c>
      <c r="E298" s="2">
        <f>IF(AND(表_网址[[#This Row],[首要关键词]]=K297,表_网址[[#This Row],[次要关键词]]=L297,表_网址[[#This Row],[重点关键词]]=M297),E297+1,IF(表_网址[[#This Row],[重点关键词]]="",100,101))</f>
        <v>108</v>
      </c>
      <c r="F298" t="s">
        <v>515</v>
      </c>
      <c r="G298" t="s">
        <v>197</v>
      </c>
      <c r="H298" t="s">
        <v>29</v>
      </c>
      <c r="I298" t="s">
        <v>198</v>
      </c>
      <c r="J298" t="s">
        <v>1898</v>
      </c>
      <c r="K298" t="s">
        <v>1849</v>
      </c>
      <c r="L298" t="s">
        <v>1792</v>
      </c>
      <c r="M298" t="s">
        <v>502</v>
      </c>
      <c r="N298" t="s">
        <v>1848</v>
      </c>
      <c r="O298" t="s">
        <v>1166</v>
      </c>
      <c r="Q298">
        <v>16</v>
      </c>
      <c r="R298" t="s">
        <v>1826</v>
      </c>
      <c r="S298" t="s">
        <v>1830</v>
      </c>
    </row>
    <row r="299" spans="1:19" x14ac:dyDescent="0.2">
      <c r="A299" t="str">
        <f ca="1">表_网址[[#This Row],[1级]]&amp;"-"&amp;表_网址[[#This Row],[2级]]&amp;"-"&amp;表_网址[[#This Row],[3级]]&amp;"-"&amp;表_网址[[#This Row],[级内]]</f>
        <v>8006-11-11-109</v>
      </c>
      <c r="B299" s="2">
        <f ca="1">MATCH(表_网址[[#This Row],[版层分类]],序列_版层分类,0)*1000+MATCH(表_网址[[#This Row],[首要关键词]],序列_首要关键词,0)</f>
        <v>8006</v>
      </c>
      <c r="C299" s="2">
        <f ca="1">IF(表_网址[[#This Row],[次要关键词]]="",10,MATCH(表_网址[[#This Row],[次要关键词]],序列_次要关键词,0)+10)</f>
        <v>11</v>
      </c>
      <c r="D299">
        <f ca="1">IF(表_网址[[#This Row],[重点关键词]]="",10,MATCH(表_网址[[#This Row],[重点关键词]],序列_重点关键词,0)+10)</f>
        <v>11</v>
      </c>
      <c r="E299" s="2">
        <f>IF(AND(表_网址[[#This Row],[首要关键词]]=K298,表_网址[[#This Row],[次要关键词]]=L298,表_网址[[#This Row],[重点关键词]]=M298),E298+1,IF(表_网址[[#This Row],[重点关键词]]="",100,101))</f>
        <v>109</v>
      </c>
      <c r="F299" t="s">
        <v>512</v>
      </c>
      <c r="G299" t="s">
        <v>513</v>
      </c>
      <c r="H299" t="s">
        <v>29</v>
      </c>
      <c r="I299" t="s">
        <v>514</v>
      </c>
      <c r="J299" t="s">
        <v>1898</v>
      </c>
      <c r="K299" t="s">
        <v>1849</v>
      </c>
      <c r="L299" t="s">
        <v>1792</v>
      </c>
      <c r="M299" t="s">
        <v>502</v>
      </c>
      <c r="N299" t="s">
        <v>1848</v>
      </c>
      <c r="O299" t="s">
        <v>1166</v>
      </c>
      <c r="Q299">
        <v>16</v>
      </c>
      <c r="R299" t="s">
        <v>1826</v>
      </c>
      <c r="S299" t="s">
        <v>1830</v>
      </c>
    </row>
    <row r="300" spans="1:19" x14ac:dyDescent="0.2">
      <c r="A300" t="str">
        <f ca="1">表_网址[[#This Row],[1级]]&amp;"-"&amp;表_网址[[#This Row],[2级]]&amp;"-"&amp;表_网址[[#This Row],[3级]]&amp;"-"&amp;表_网址[[#This Row],[级内]]</f>
        <v>8006-11-11-110</v>
      </c>
      <c r="B300" s="2">
        <f ca="1">MATCH(表_网址[[#This Row],[版层分类]],序列_版层分类,0)*1000+MATCH(表_网址[[#This Row],[首要关键词]],序列_首要关键词,0)</f>
        <v>8006</v>
      </c>
      <c r="C300" s="2">
        <f ca="1">IF(表_网址[[#This Row],[次要关键词]]="",10,MATCH(表_网址[[#This Row],[次要关键词]],序列_次要关键词,0)+10)</f>
        <v>11</v>
      </c>
      <c r="D300">
        <f ca="1">IF(表_网址[[#This Row],[重点关键词]]="",10,MATCH(表_网址[[#This Row],[重点关键词]],序列_重点关键词,0)+10)</f>
        <v>11</v>
      </c>
      <c r="E300" s="2">
        <f>IF(AND(表_网址[[#This Row],[首要关键词]]=K299,表_网址[[#This Row],[次要关键词]]=L299,表_网址[[#This Row],[重点关键词]]=M299),E299+1,IF(表_网址[[#This Row],[重点关键词]]="",100,101))</f>
        <v>110</v>
      </c>
      <c r="F300" t="s">
        <v>522</v>
      </c>
      <c r="G300" s="8" t="s">
        <v>1800</v>
      </c>
      <c r="H300" t="s">
        <v>29</v>
      </c>
      <c r="I300" t="s">
        <v>523</v>
      </c>
      <c r="J300" t="s">
        <v>1898</v>
      </c>
      <c r="K300" t="s">
        <v>1849</v>
      </c>
      <c r="L300" t="s">
        <v>1792</v>
      </c>
      <c r="M300" t="s">
        <v>502</v>
      </c>
      <c r="N300" t="s">
        <v>1848</v>
      </c>
      <c r="Q300">
        <v>16</v>
      </c>
      <c r="R300" t="s">
        <v>1826</v>
      </c>
      <c r="S300" t="s">
        <v>1830</v>
      </c>
    </row>
    <row r="301" spans="1:19" x14ac:dyDescent="0.2">
      <c r="A301" t="str">
        <f ca="1">表_网址[[#This Row],[1级]]&amp;"-"&amp;表_网址[[#This Row],[2级]]&amp;"-"&amp;表_网址[[#This Row],[3级]]&amp;"-"&amp;表_网址[[#This Row],[级内]]</f>
        <v>8006-11-11-111</v>
      </c>
      <c r="B301" s="2">
        <f ca="1">MATCH(表_网址[[#This Row],[版层分类]],序列_版层分类,0)*1000+MATCH(表_网址[[#This Row],[首要关键词]],序列_首要关键词,0)</f>
        <v>8006</v>
      </c>
      <c r="C301" s="2">
        <f ca="1">IF(表_网址[[#This Row],[次要关键词]]="",10,MATCH(表_网址[[#This Row],[次要关键词]],序列_次要关键词,0)+10)</f>
        <v>11</v>
      </c>
      <c r="D301">
        <f ca="1">IF(表_网址[[#This Row],[重点关键词]]="",10,MATCH(表_网址[[#This Row],[重点关键词]],序列_重点关键词,0)+10)</f>
        <v>11</v>
      </c>
      <c r="E301" s="2">
        <f>IF(AND(表_网址[[#This Row],[首要关键词]]=K300,表_网址[[#This Row],[次要关键词]]=L300,表_网址[[#This Row],[重点关键词]]=M300),E300+1,IF(表_网址[[#This Row],[重点关键词]]="",100,101))</f>
        <v>111</v>
      </c>
      <c r="F301" t="s">
        <v>1802</v>
      </c>
      <c r="G301" s="8" t="s">
        <v>1801</v>
      </c>
      <c r="H301" t="s">
        <v>1803</v>
      </c>
      <c r="J301" t="s">
        <v>1898</v>
      </c>
      <c r="K301" t="s">
        <v>1849</v>
      </c>
      <c r="L301" t="s">
        <v>1792</v>
      </c>
      <c r="M301" t="s">
        <v>502</v>
      </c>
      <c r="N301" t="s">
        <v>1848</v>
      </c>
    </row>
    <row r="302" spans="1:19" x14ac:dyDescent="0.2">
      <c r="A302" t="str">
        <f ca="1">表_网址[[#This Row],[1级]]&amp;"-"&amp;表_网址[[#This Row],[2级]]&amp;"-"&amp;表_网址[[#This Row],[3级]]&amp;"-"&amp;表_网址[[#This Row],[级内]]</f>
        <v>8006-11-11-112</v>
      </c>
      <c r="B302" s="2">
        <f ca="1">MATCH(表_网址[[#This Row],[版层分类]],序列_版层分类,0)*1000+MATCH(表_网址[[#This Row],[首要关键词]],序列_首要关键词,0)</f>
        <v>8006</v>
      </c>
      <c r="C302" s="2">
        <f ca="1">IF(表_网址[[#This Row],[次要关键词]]="",10,MATCH(表_网址[[#This Row],[次要关键词]],序列_次要关键词,0)+10)</f>
        <v>11</v>
      </c>
      <c r="D302">
        <f ca="1">IF(表_网址[[#This Row],[重点关键词]]="",10,MATCH(表_网址[[#This Row],[重点关键词]],序列_重点关键词,0)+10)</f>
        <v>11</v>
      </c>
      <c r="E302" s="2">
        <f>IF(AND(表_网址[[#This Row],[首要关键词]]=K301,表_网址[[#This Row],[次要关键词]]=L301,表_网址[[#This Row],[重点关键词]]=M301),E301+1,IF(表_网址[[#This Row],[重点关键词]]="",100,101))</f>
        <v>112</v>
      </c>
      <c r="F302" t="s">
        <v>1805</v>
      </c>
      <c r="G302" s="8" t="s">
        <v>1804</v>
      </c>
      <c r="H302" t="s">
        <v>1858</v>
      </c>
      <c r="J302" t="s">
        <v>1898</v>
      </c>
      <c r="K302" t="s">
        <v>1849</v>
      </c>
      <c r="L302" t="s">
        <v>1792</v>
      </c>
      <c r="M302" t="s">
        <v>502</v>
      </c>
      <c r="N302" t="s">
        <v>1848</v>
      </c>
    </row>
    <row r="303" spans="1:19" x14ac:dyDescent="0.2">
      <c r="A303" t="str">
        <f ca="1">表_网址[[#This Row],[1级]]&amp;"-"&amp;表_网址[[#This Row],[2级]]&amp;"-"&amp;表_网址[[#This Row],[3级]]&amp;"-"&amp;表_网址[[#This Row],[级内]]</f>
        <v>8006-11-11-113</v>
      </c>
      <c r="B303" s="2">
        <f ca="1">MATCH(表_网址[[#This Row],[版层分类]],序列_版层分类,0)*1000+MATCH(表_网址[[#This Row],[首要关键词]],序列_首要关键词,0)</f>
        <v>8006</v>
      </c>
      <c r="C303" s="2">
        <f ca="1">IF(表_网址[[#This Row],[次要关键词]]="",10,MATCH(表_网址[[#This Row],[次要关键词]],序列_次要关键词,0)+10)</f>
        <v>11</v>
      </c>
      <c r="D303">
        <f ca="1">IF(表_网址[[#This Row],[重点关键词]]="",10,MATCH(表_网址[[#This Row],[重点关键词]],序列_重点关键词,0)+10)</f>
        <v>11</v>
      </c>
      <c r="E303" s="2">
        <f>IF(AND(表_网址[[#This Row],[首要关键词]]=K302,表_网址[[#This Row],[次要关键词]]=L302,表_网址[[#This Row],[重点关键词]]=M302),E302+1,IF(表_网址[[#This Row],[重点关键词]]="",100,101))</f>
        <v>113</v>
      </c>
      <c r="F303" t="s">
        <v>530</v>
      </c>
      <c r="G303" t="s">
        <v>531</v>
      </c>
      <c r="H303" t="s">
        <v>1813</v>
      </c>
      <c r="I303" t="s">
        <v>532</v>
      </c>
      <c r="J303" t="s">
        <v>1898</v>
      </c>
      <c r="K303" t="s">
        <v>1849</v>
      </c>
      <c r="L303" t="s">
        <v>1792</v>
      </c>
      <c r="M303" t="s">
        <v>502</v>
      </c>
      <c r="N303" t="s">
        <v>1848</v>
      </c>
      <c r="Q303">
        <v>32</v>
      </c>
      <c r="R303" t="s">
        <v>1826</v>
      </c>
      <c r="S303" t="s">
        <v>1830</v>
      </c>
    </row>
    <row r="304" spans="1:19" x14ac:dyDescent="0.2">
      <c r="A304" t="str">
        <f ca="1">表_网址[[#This Row],[1级]]&amp;"-"&amp;表_网址[[#This Row],[2级]]&amp;"-"&amp;表_网址[[#This Row],[3级]]&amp;"-"&amp;表_网址[[#This Row],[级内]]</f>
        <v>8006-11-11-114</v>
      </c>
      <c r="B304" s="2">
        <f ca="1">MATCH(表_网址[[#This Row],[版层分类]],序列_版层分类,0)*1000+MATCH(表_网址[[#This Row],[首要关键词]],序列_首要关键词,0)</f>
        <v>8006</v>
      </c>
      <c r="C304" s="2">
        <f ca="1">IF(表_网址[[#This Row],[次要关键词]]="",10,MATCH(表_网址[[#This Row],[次要关键词]],序列_次要关键词,0)+10)</f>
        <v>11</v>
      </c>
      <c r="D304">
        <f ca="1">IF(表_网址[[#This Row],[重点关键词]]="",10,MATCH(表_网址[[#This Row],[重点关键词]],序列_重点关键词,0)+10)</f>
        <v>11</v>
      </c>
      <c r="E304" s="2">
        <f>IF(AND(表_网址[[#This Row],[首要关键词]]=K303,表_网址[[#This Row],[次要关键词]]=L303,表_网址[[#This Row],[重点关键词]]=M303),E303+1,IF(表_网址[[#This Row],[重点关键词]]="",100,101))</f>
        <v>114</v>
      </c>
      <c r="F304" t="s">
        <v>533</v>
      </c>
      <c r="G304" t="s">
        <v>534</v>
      </c>
      <c r="H304" t="s">
        <v>1812</v>
      </c>
      <c r="I304" t="s">
        <v>535</v>
      </c>
      <c r="J304" t="s">
        <v>1898</v>
      </c>
      <c r="K304" t="s">
        <v>1849</v>
      </c>
      <c r="L304" t="s">
        <v>1792</v>
      </c>
      <c r="M304" t="s">
        <v>502</v>
      </c>
      <c r="N304" t="s">
        <v>1848</v>
      </c>
      <c r="Q304">
        <v>72</v>
      </c>
      <c r="R304" t="s">
        <v>1826</v>
      </c>
      <c r="S304" t="s">
        <v>1830</v>
      </c>
    </row>
    <row r="305" spans="1:19" x14ac:dyDescent="0.2">
      <c r="A305" t="str">
        <f ca="1">表_网址[[#This Row],[1级]]&amp;"-"&amp;表_网址[[#This Row],[2级]]&amp;"-"&amp;表_网址[[#This Row],[3级]]&amp;"-"&amp;表_网址[[#This Row],[级内]]</f>
        <v>8006-11-11-115</v>
      </c>
      <c r="B305" s="2">
        <f ca="1">MATCH(表_网址[[#This Row],[版层分类]],序列_版层分类,0)*1000+MATCH(表_网址[[#This Row],[首要关键词]],序列_首要关键词,0)</f>
        <v>8006</v>
      </c>
      <c r="C305" s="2">
        <f ca="1">IF(表_网址[[#This Row],[次要关键词]]="",10,MATCH(表_网址[[#This Row],[次要关键词]],序列_次要关键词,0)+10)</f>
        <v>11</v>
      </c>
      <c r="D305">
        <f ca="1">IF(表_网址[[#This Row],[重点关键词]]="",10,MATCH(表_网址[[#This Row],[重点关键词]],序列_重点关键词,0)+10)</f>
        <v>11</v>
      </c>
      <c r="E305" s="2">
        <f>IF(AND(表_网址[[#This Row],[首要关键词]]=K304,表_网址[[#This Row],[次要关键词]]=L304,表_网址[[#This Row],[重点关键词]]=M304),E304+1,IF(表_网址[[#This Row],[重点关键词]]="",100,101))</f>
        <v>115</v>
      </c>
      <c r="F305" t="s">
        <v>1808</v>
      </c>
      <c r="G305" s="8" t="s">
        <v>1807</v>
      </c>
      <c r="H305" t="s">
        <v>1806</v>
      </c>
      <c r="J305" t="s">
        <v>1898</v>
      </c>
      <c r="K305" t="s">
        <v>1849</v>
      </c>
      <c r="L305" t="s">
        <v>1792</v>
      </c>
      <c r="M305" t="s">
        <v>502</v>
      </c>
      <c r="N305" t="s">
        <v>1848</v>
      </c>
    </row>
    <row r="306" spans="1:19" x14ac:dyDescent="0.2">
      <c r="A306" t="str">
        <f ca="1">表_网址[[#This Row],[1级]]&amp;"-"&amp;表_网址[[#This Row],[2级]]&amp;"-"&amp;表_网址[[#This Row],[3级]]&amp;"-"&amp;表_网址[[#This Row],[级内]]</f>
        <v>8006-11-11-116</v>
      </c>
      <c r="B306" s="2">
        <f ca="1">MATCH(表_网址[[#This Row],[版层分类]],序列_版层分类,0)*1000+MATCH(表_网址[[#This Row],[首要关键词]],序列_首要关键词,0)</f>
        <v>8006</v>
      </c>
      <c r="C306" s="2">
        <f ca="1">IF(表_网址[[#This Row],[次要关键词]]="",10,MATCH(表_网址[[#This Row],[次要关键词]],序列_次要关键词,0)+10)</f>
        <v>11</v>
      </c>
      <c r="D306">
        <f ca="1">IF(表_网址[[#This Row],[重点关键词]]="",10,MATCH(表_网址[[#This Row],[重点关键词]],序列_重点关键词,0)+10)</f>
        <v>11</v>
      </c>
      <c r="E306" s="2">
        <f>IF(AND(表_网址[[#This Row],[首要关键词]]=K305,表_网址[[#This Row],[次要关键词]]=L305,表_网址[[#This Row],[重点关键词]]=M305),E305+1,IF(表_网址[[#This Row],[重点关键词]]="",100,101))</f>
        <v>116</v>
      </c>
      <c r="F306" t="s">
        <v>1810</v>
      </c>
      <c r="G306" s="8" t="s">
        <v>1809</v>
      </c>
      <c r="H306" t="s">
        <v>1811</v>
      </c>
      <c r="J306" t="s">
        <v>1898</v>
      </c>
      <c r="K306" t="s">
        <v>1849</v>
      </c>
      <c r="L306" t="s">
        <v>1792</v>
      </c>
      <c r="M306" t="s">
        <v>502</v>
      </c>
      <c r="N306" t="s">
        <v>1848</v>
      </c>
    </row>
    <row r="307" spans="1:19" x14ac:dyDescent="0.2">
      <c r="A307" t="str">
        <f ca="1">表_网址[[#This Row],[1级]]&amp;"-"&amp;表_网址[[#This Row],[2级]]&amp;"-"&amp;表_网址[[#This Row],[3级]]&amp;"-"&amp;表_网址[[#This Row],[级内]]</f>
        <v>8006-11-11-117</v>
      </c>
      <c r="B307" s="2">
        <f ca="1">MATCH(表_网址[[#This Row],[版层分类]],序列_版层分类,0)*1000+MATCH(表_网址[[#This Row],[首要关键词]],序列_首要关键词,0)</f>
        <v>8006</v>
      </c>
      <c r="C307" s="2">
        <f ca="1">IF(表_网址[[#This Row],[次要关键词]]="",10,MATCH(表_网址[[#This Row],[次要关键词]],序列_次要关键词,0)+10)</f>
        <v>11</v>
      </c>
      <c r="D307">
        <f ca="1">IF(表_网址[[#This Row],[重点关键词]]="",10,MATCH(表_网址[[#This Row],[重点关键词]],序列_重点关键词,0)+10)</f>
        <v>11</v>
      </c>
      <c r="E307" s="2">
        <f>IF(AND(表_网址[[#This Row],[首要关键词]]=K306,表_网址[[#This Row],[次要关键词]]=L306,表_网址[[#This Row],[重点关键词]]=M306),E306+1,IF(表_网址[[#This Row],[重点关键词]]="",100,101))</f>
        <v>117</v>
      </c>
      <c r="F307" t="s">
        <v>1815</v>
      </c>
      <c r="G307" s="8" t="s">
        <v>1814</v>
      </c>
      <c r="H307" t="s">
        <v>1816</v>
      </c>
      <c r="J307" t="s">
        <v>1898</v>
      </c>
      <c r="K307" t="s">
        <v>1849</v>
      </c>
      <c r="L307" t="s">
        <v>1792</v>
      </c>
      <c r="M307" t="s">
        <v>502</v>
      </c>
      <c r="N307" t="s">
        <v>1848</v>
      </c>
    </row>
    <row r="308" spans="1:19" x14ac:dyDescent="0.2">
      <c r="A308" t="str">
        <f ca="1">表_网址[[#This Row],[1级]]&amp;"-"&amp;表_网址[[#This Row],[2级]]&amp;"-"&amp;表_网址[[#This Row],[3级]]&amp;"-"&amp;表_网址[[#This Row],[级内]]</f>
        <v>8006-11-11-118</v>
      </c>
      <c r="B308" s="2">
        <f ca="1">MATCH(表_网址[[#This Row],[版层分类]],序列_版层分类,0)*1000+MATCH(表_网址[[#This Row],[首要关键词]],序列_首要关键词,0)</f>
        <v>8006</v>
      </c>
      <c r="C308" s="2">
        <f ca="1">IF(表_网址[[#This Row],[次要关键词]]="",10,MATCH(表_网址[[#This Row],[次要关键词]],序列_次要关键词,0)+10)</f>
        <v>11</v>
      </c>
      <c r="D308">
        <f ca="1">IF(表_网址[[#This Row],[重点关键词]]="",10,MATCH(表_网址[[#This Row],[重点关键词]],序列_重点关键词,0)+10)</f>
        <v>11</v>
      </c>
      <c r="E308" s="2">
        <f>IF(AND(表_网址[[#This Row],[首要关键词]]=K307,表_网址[[#This Row],[次要关键词]]=L307,表_网址[[#This Row],[重点关键词]]=M307),E307+1,IF(表_网址[[#This Row],[重点关键词]]="",100,101))</f>
        <v>118</v>
      </c>
      <c r="F308" t="s">
        <v>519</v>
      </c>
      <c r="G308" t="s">
        <v>520</v>
      </c>
      <c r="H308" t="s">
        <v>1817</v>
      </c>
      <c r="I308" t="s">
        <v>521</v>
      </c>
      <c r="J308" t="s">
        <v>1898</v>
      </c>
      <c r="K308" t="s">
        <v>1849</v>
      </c>
      <c r="L308" t="s">
        <v>1792</v>
      </c>
      <c r="M308" t="s">
        <v>502</v>
      </c>
      <c r="N308" t="s">
        <v>1848</v>
      </c>
      <c r="R308" t="s">
        <v>1826</v>
      </c>
      <c r="S308" t="s">
        <v>1830</v>
      </c>
    </row>
    <row r="309" spans="1:19" x14ac:dyDescent="0.2">
      <c r="A309" t="str">
        <f ca="1">表_网址[[#This Row],[1级]]&amp;"-"&amp;表_网址[[#This Row],[2级]]&amp;"-"&amp;表_网址[[#This Row],[3级]]&amp;"-"&amp;表_网址[[#This Row],[级内]]</f>
        <v>8006-11-12-101</v>
      </c>
      <c r="B309" s="2">
        <f ca="1">MATCH(表_网址[[#This Row],[版层分类]],序列_版层分类,0)*1000+MATCH(表_网址[[#This Row],[首要关键词]],序列_首要关键词,0)</f>
        <v>8006</v>
      </c>
      <c r="C309" s="2">
        <f ca="1">IF(表_网址[[#This Row],[次要关键词]]="",10,MATCH(表_网址[[#This Row],[次要关键词]],序列_次要关键词,0)+10)</f>
        <v>11</v>
      </c>
      <c r="D309">
        <f ca="1">IF(表_网址[[#This Row],[重点关键词]]="",10,MATCH(表_网址[[#This Row],[重点关键词]],序列_重点关键词,0)+10)</f>
        <v>12</v>
      </c>
      <c r="E309" s="2">
        <f>IF(AND(表_网址[[#This Row],[首要关键词]]=K308,表_网址[[#This Row],[次要关键词]]=L308,表_网址[[#This Row],[重点关键词]]=M308),E308+1,IF(表_网址[[#This Row],[重点关键词]]="",100,101))</f>
        <v>101</v>
      </c>
      <c r="F309" t="s">
        <v>510</v>
      </c>
      <c r="G309" s="8" t="s">
        <v>1796</v>
      </c>
      <c r="H309" t="s">
        <v>29</v>
      </c>
      <c r="I309" t="s">
        <v>511</v>
      </c>
      <c r="J309" t="s">
        <v>1898</v>
      </c>
      <c r="K309" t="s">
        <v>1849</v>
      </c>
      <c r="L309" t="s">
        <v>1792</v>
      </c>
      <c r="M309" t="s">
        <v>730</v>
      </c>
      <c r="N309" t="s">
        <v>1848</v>
      </c>
      <c r="Q309">
        <v>32</v>
      </c>
      <c r="R309" t="s">
        <v>1826</v>
      </c>
      <c r="S309" t="s">
        <v>1830</v>
      </c>
    </row>
    <row r="310" spans="1:19" x14ac:dyDescent="0.2">
      <c r="A310" t="str">
        <f ca="1">表_网址[[#This Row],[1级]]&amp;"-"&amp;表_网址[[#This Row],[2级]]&amp;"-"&amp;表_网址[[#This Row],[3级]]&amp;"-"&amp;表_网址[[#This Row],[级内]]</f>
        <v>8006-11-12-102</v>
      </c>
      <c r="B310" s="2">
        <f ca="1">MATCH(表_网址[[#This Row],[版层分类]],序列_版层分类,0)*1000+MATCH(表_网址[[#This Row],[首要关键词]],序列_首要关键词,0)</f>
        <v>8006</v>
      </c>
      <c r="C310" s="2">
        <f ca="1">IF(表_网址[[#This Row],[次要关键词]]="",10,MATCH(表_网址[[#This Row],[次要关键词]],序列_次要关键词,0)+10)</f>
        <v>11</v>
      </c>
      <c r="D310">
        <f ca="1">IF(表_网址[[#This Row],[重点关键词]]="",10,MATCH(表_网址[[#This Row],[重点关键词]],序列_重点关键词,0)+10)</f>
        <v>12</v>
      </c>
      <c r="E310" s="2">
        <f>IF(AND(表_网址[[#This Row],[首要关键词]]=K309,表_网址[[#This Row],[次要关键词]]=L309,表_网址[[#This Row],[重点关键词]]=M309),E309+1,IF(表_网址[[#This Row],[重点关键词]]="",100,101))</f>
        <v>102</v>
      </c>
      <c r="F310" t="s">
        <v>527</v>
      </c>
      <c r="G310" t="s">
        <v>528</v>
      </c>
      <c r="H310" t="s">
        <v>29</v>
      </c>
      <c r="I310" t="s">
        <v>529</v>
      </c>
      <c r="J310" t="s">
        <v>1898</v>
      </c>
      <c r="K310" t="s">
        <v>1849</v>
      </c>
      <c r="L310" t="s">
        <v>1792</v>
      </c>
      <c r="M310" t="s">
        <v>730</v>
      </c>
      <c r="N310" t="s">
        <v>1848</v>
      </c>
      <c r="Q310">
        <v>32</v>
      </c>
      <c r="R310" t="s">
        <v>1826</v>
      </c>
      <c r="S310" t="s">
        <v>1830</v>
      </c>
    </row>
    <row r="311" spans="1:19" x14ac:dyDescent="0.2">
      <c r="A311" t="str">
        <f ca="1">表_网址[[#This Row],[1级]]&amp;"-"&amp;表_网址[[#This Row],[2级]]&amp;"-"&amp;表_网址[[#This Row],[3级]]&amp;"-"&amp;表_网址[[#This Row],[级内]]</f>
        <v>8006-11-12-103</v>
      </c>
      <c r="B311" s="2">
        <f ca="1">MATCH(表_网址[[#This Row],[版层分类]],序列_版层分类,0)*1000+MATCH(表_网址[[#This Row],[首要关键词]],序列_首要关键词,0)</f>
        <v>8006</v>
      </c>
      <c r="C311" s="2">
        <f ca="1">IF(表_网址[[#This Row],[次要关键词]]="",10,MATCH(表_网址[[#This Row],[次要关键词]],序列_次要关键词,0)+10)</f>
        <v>11</v>
      </c>
      <c r="D311">
        <f ca="1">IF(表_网址[[#This Row],[重点关键词]]="",10,MATCH(表_网址[[#This Row],[重点关键词]],序列_重点关键词,0)+10)</f>
        <v>12</v>
      </c>
      <c r="E311" s="2">
        <f>IF(AND(表_网址[[#This Row],[首要关键词]]=K310,表_网址[[#This Row],[次要关键词]]=L310,表_网址[[#This Row],[重点关键词]]=M310),E310+1,IF(表_网址[[#This Row],[重点关键词]]="",100,101))</f>
        <v>103</v>
      </c>
      <c r="F311" t="s">
        <v>524</v>
      </c>
      <c r="G311" t="s">
        <v>525</v>
      </c>
      <c r="H311" t="s">
        <v>29</v>
      </c>
      <c r="I311" t="s">
        <v>526</v>
      </c>
      <c r="J311" t="s">
        <v>1898</v>
      </c>
      <c r="K311" t="s">
        <v>1849</v>
      </c>
      <c r="L311" t="s">
        <v>1792</v>
      </c>
      <c r="M311" t="s">
        <v>730</v>
      </c>
      <c r="N311" t="s">
        <v>1848</v>
      </c>
      <c r="O311" t="s">
        <v>1166</v>
      </c>
      <c r="Q311">
        <v>16</v>
      </c>
      <c r="R311" t="s">
        <v>1826</v>
      </c>
      <c r="S311" t="s">
        <v>1830</v>
      </c>
    </row>
    <row r="312" spans="1:19" x14ac:dyDescent="0.2">
      <c r="A312" t="str">
        <f ca="1">表_网址[[#This Row],[1级]]&amp;"-"&amp;表_网址[[#This Row],[2级]]&amp;"-"&amp;表_网址[[#This Row],[3级]]&amp;"-"&amp;表_网址[[#This Row],[级内]]</f>
        <v>8006-11-12-104</v>
      </c>
      <c r="B312" s="2">
        <f ca="1">MATCH(表_网址[[#This Row],[版层分类]],序列_版层分类,0)*1000+MATCH(表_网址[[#This Row],[首要关键词]],序列_首要关键词,0)</f>
        <v>8006</v>
      </c>
      <c r="C312" s="2">
        <f ca="1">IF(表_网址[[#This Row],[次要关键词]]="",10,MATCH(表_网址[[#This Row],[次要关键词]],序列_次要关键词,0)+10)</f>
        <v>11</v>
      </c>
      <c r="D312">
        <f ca="1">IF(表_网址[[#This Row],[重点关键词]]="",10,MATCH(表_网址[[#This Row],[重点关键词]],序列_重点关键词,0)+10)</f>
        <v>12</v>
      </c>
      <c r="E312" s="2">
        <f>IF(AND(表_网址[[#This Row],[首要关键词]]=K311,表_网址[[#This Row],[次要关键词]]=L311,表_网址[[#This Row],[重点关键词]]=M311),E311+1,IF(表_网址[[#This Row],[重点关键词]]="",100,101))</f>
        <v>104</v>
      </c>
      <c r="F312" t="s">
        <v>1292</v>
      </c>
      <c r="G312" t="s">
        <v>1293</v>
      </c>
      <c r="H312" t="s">
        <v>29</v>
      </c>
      <c r="J312" t="s">
        <v>1898</v>
      </c>
      <c r="K312" t="s">
        <v>1849</v>
      </c>
      <c r="L312" t="s">
        <v>1792</v>
      </c>
      <c r="M312" t="s">
        <v>730</v>
      </c>
      <c r="N312" t="s">
        <v>1848</v>
      </c>
      <c r="R312" t="s">
        <v>1826</v>
      </c>
      <c r="S312" t="s">
        <v>1830</v>
      </c>
    </row>
  </sheetData>
  <phoneticPr fontId="1" type="noConversion"/>
  <dataValidations count="11">
    <dataValidation type="list" allowBlank="1" showInputMessage="1" showErrorMessage="1" sqref="S2:S312" xr:uid="{936CFEEE-B7DA-4CB5-89CE-97E974818017}">
      <formula1>"经营性,非经营性"</formula1>
    </dataValidation>
    <dataValidation type="list" allowBlank="1" showInputMessage="1" showErrorMessage="1" sqref="R2:R312" xr:uid="{9CB02D78-2A8B-477B-A97A-4BD0CDA715F1}">
      <formula1>"已备案,未备案,境外"</formula1>
    </dataValidation>
    <dataValidation type="list" allowBlank="1" showInputMessage="1" showErrorMessage="1" sqref="N2:N312" xr:uid="{3C03C474-AA57-4050-B3EB-7ACCB46FE6D1}">
      <formula1>"可访"</formula1>
    </dataValidation>
    <dataValidation type="list" allowBlank="1" showInputMessage="1" showErrorMessage="1" sqref="O2:O312" xr:uid="{8114E85E-24DD-4561-900E-EBF18588853A}">
      <formula1>"图标"</formula1>
    </dataValidation>
    <dataValidation type="list" allowBlank="1" showInputMessage="1" showErrorMessage="1" sqref="J1:J1048576" xr:uid="{F7604728-8681-4016-8477-FA22853F6EF5}">
      <formula1>序列_版层分类</formula1>
    </dataValidation>
    <dataValidation type="list" allowBlank="1" showInputMessage="1" showErrorMessage="1" sqref="K1:K1048576" xr:uid="{8B4FEED1-47D4-44E7-B2AF-1339EFD9DCCF}">
      <formula1>序列_首要关键词</formula1>
    </dataValidation>
    <dataValidation type="list" allowBlank="1" showInputMessage="1" showErrorMessage="1" sqref="L1:L1048576" xr:uid="{C21FBE3F-96D4-4271-B983-16494B059366}">
      <formula1>序列_次要关键词</formula1>
    </dataValidation>
    <dataValidation type="list" allowBlank="1" showInputMessage="1" showErrorMessage="1" sqref="M1:M1048576" xr:uid="{C941BB13-B284-44B4-99EB-365F812E7BAD}">
      <formula1>序列_重点关键词</formula1>
    </dataValidation>
    <dataValidation type="custom" allowBlank="1" showInputMessage="1" showErrorMessage="1" sqref="A1:A14 A25:A1048134" xr:uid="{3153A67B-0DB5-40A7-860A-DDC47EBEF132}">
      <formula1>COUNTIF(A:A,A2)=1</formula1>
    </dataValidation>
    <dataValidation type="custom" allowBlank="1" showInputMessage="1" showErrorMessage="1" sqref="A15:A24" xr:uid="{2CF7B725-F5C4-4B6B-ADB0-6B906118ADD0}">
      <formula1>COUNTIF(A:A,A17)=1</formula1>
    </dataValidation>
    <dataValidation type="custom" allowBlank="1" showInputMessage="1" showErrorMessage="1" sqref="A1048135:A1048576" xr:uid="{6E8FC695-CB43-4574-9707-2CA57B19650A}">
      <formula1>COUNTIF(A:A,A1)=1</formula1>
    </dataValidation>
  </dataValidations>
  <hyperlinks>
    <hyperlink ref="G309" r:id="rId1" xr:uid="{6EA9EB08-BDD0-40FB-B529-E4BA57E3D031}"/>
    <hyperlink ref="G294" r:id="rId2" xr:uid="{6AA56F1C-1E92-431C-A874-E362B7CDE7CD}"/>
    <hyperlink ref="G300" r:id="rId3" xr:uid="{F0C3A01E-F806-4969-BA66-5B4A431F025E}"/>
    <hyperlink ref="G301" r:id="rId4" xr:uid="{2D6AD552-0AFA-453D-A8CB-B21381B89351}"/>
    <hyperlink ref="G302" r:id="rId5" xr:uid="{651CB156-F2A5-4CDB-AA0D-C4BA76003A90}"/>
    <hyperlink ref="G305" r:id="rId6" xr:uid="{B5F03C04-D108-4685-811A-26FC4D3B1117}"/>
    <hyperlink ref="G306" r:id="rId7" xr:uid="{3A735CFB-CEB4-4F0E-942D-75F1E5480A1C}"/>
    <hyperlink ref="G307" r:id="rId8" xr:uid="{FBC3F20D-6ADB-4362-B242-5E4E01A8EE58}"/>
    <hyperlink ref="G130" r:id="rId9" xr:uid="{7F4F9D89-02B4-44A5-BD14-04C3BC6C1E82}"/>
    <hyperlink ref="I130" r:id="rId10" xr:uid="{0BD460CE-3392-41BB-8799-878975AA33D0}"/>
    <hyperlink ref="G139" r:id="rId11" xr:uid="{3122205D-11FB-4E36-95EF-4F9896792101}"/>
    <hyperlink ref="G24" r:id="rId12" xr:uid="{605ECE7A-5A33-4E6D-B65A-AB43E3268754}"/>
    <hyperlink ref="I24" r:id="rId13" xr:uid="{2D54EA29-94D1-40BD-A9E3-C2797243D3CE}"/>
    <hyperlink ref="G26" r:id="rId14" xr:uid="{45313324-470E-4DF4-92C7-69375A7220FC}"/>
    <hyperlink ref="I26" r:id="rId15" xr:uid="{57F4ABAF-9F97-4CF7-9E1E-53C2AB5377CA}"/>
    <hyperlink ref="G25" r:id="rId16" xr:uid="{B3405E60-9E93-4719-8367-A485219F3F00}"/>
    <hyperlink ref="I25" r:id="rId17" xr:uid="{6A2AB1F5-588E-420D-8CD8-595C19A592F9}"/>
    <hyperlink ref="G19" r:id="rId18" xr:uid="{DA2568AF-5698-4DED-8525-32937CCA4CC8}"/>
    <hyperlink ref="G127" r:id="rId19" xr:uid="{20C311B8-B599-4CFD-8C72-65C3BA69AC9C}"/>
    <hyperlink ref="G128" r:id="rId20" xr:uid="{D75D79A1-AF58-4834-A3B2-CF33EB443F12}"/>
    <hyperlink ref="I128" r:id="rId21" xr:uid="{E140AE31-FDD5-4E24-A4FD-CD1E059984FF}"/>
    <hyperlink ref="G129" r:id="rId22" xr:uid="{F7A3C48E-CC3A-45D2-AD4D-8D85EF266632}"/>
    <hyperlink ref="I129" r:id="rId23" xr:uid="{8DCB575B-3358-40A0-B385-7F60C8638EDC}"/>
  </hyperlinks>
  <pageMargins left="0.7" right="0.7" top="0.75" bottom="0.75" header="0.3" footer="0.3"/>
  <pageSetup paperSize="9" orientation="portrait" horizontalDpi="300" verticalDpi="300" r:id="rId24"/>
  <tableParts count="1">
    <tablePart r:id="rId2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320E-D4AD-4814-8FEB-A66BA5A9DA7C}">
  <sheetPr codeName="Sheet2"/>
  <dimension ref="A1:M38"/>
  <sheetViews>
    <sheetView topLeftCell="A4" workbookViewId="0">
      <selection activeCell="M15" sqref="M8:M15"/>
    </sheetView>
  </sheetViews>
  <sheetFormatPr defaultRowHeight="14.25" x14ac:dyDescent="0.2"/>
  <sheetData>
    <row r="1" spans="1:13" x14ac:dyDescent="0.2">
      <c r="A1" t="e">
        <f>表_网址[[#This Row],[1级]]&amp;"-"&amp;表_网址[[#This Row],[2级]]&amp;"-"&amp;表_网址[[#This Row],[3级]]&amp;"-"&amp;表_网址[[#This Row],[级内]]</f>
        <v>#VALUE!</v>
      </c>
      <c r="B1" s="2" t="e">
        <f ca="1">MATCH(表_网址[[#This Row],[版层分类]],序列_版层分类,0)*1000+MATCH(表_网址[[#This Row],[首要关键词]],序列_首要关键词,0)</f>
        <v>#VALUE!</v>
      </c>
      <c r="C1" s="2" t="e">
        <f>IF(表_网址[[#This Row],[次要关键词]]="",10,MATCH(表_网址[[#This Row],[次要关键词]],序列_次要关键词,0)+10)</f>
        <v>#VALUE!</v>
      </c>
      <c r="D1" t="e">
        <f>IF(表_网址[[#This Row],[重点关键词]]="",10,MATCH(表_网址[[#This Row],[重点关键词]],序列_重点关键词,0)+10)</f>
        <v>#VALUE!</v>
      </c>
      <c r="E1" s="2" t="e">
        <f>IF(AND(表_网址[[#This Row],[首要关键词]]=#REF!,表_网址[[#This Row],[次要关键词]]=#REF!,表_网址[[#This Row],[重点关键词]]=#REF!),#REF!+1,IF(表_网址[[#This Row],[重点关键词]]="",100,101))</f>
        <v>#VALUE!</v>
      </c>
      <c r="J1" t="s">
        <v>23</v>
      </c>
      <c r="K1" t="s">
        <v>1686</v>
      </c>
      <c r="L1" t="s">
        <v>283</v>
      </c>
    </row>
    <row r="2" spans="1:13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J2" t="s">
        <v>23</v>
      </c>
      <c r="K2" t="s">
        <v>1686</v>
      </c>
      <c r="L2" t="s">
        <v>287</v>
      </c>
    </row>
    <row r="3" spans="1:13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J3" t="s">
        <v>23</v>
      </c>
      <c r="K3" t="s">
        <v>1686</v>
      </c>
      <c r="L3" t="s">
        <v>291</v>
      </c>
    </row>
    <row r="4" spans="1:13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100</v>
      </c>
      <c r="J4" t="s">
        <v>23</v>
      </c>
      <c r="K4" t="s">
        <v>1686</v>
      </c>
      <c r="L4" t="s">
        <v>295</v>
      </c>
    </row>
    <row r="5" spans="1:13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J5" t="s">
        <v>23</v>
      </c>
      <c r="K5" t="s">
        <v>1686</v>
      </c>
      <c r="L5" t="s">
        <v>299</v>
      </c>
    </row>
    <row r="6" spans="1:13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J6" t="s">
        <v>23</v>
      </c>
      <c r="K6" t="s">
        <v>1686</v>
      </c>
      <c r="L6" t="s">
        <v>303</v>
      </c>
    </row>
    <row r="7" spans="1:13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J7" t="s">
        <v>23</v>
      </c>
      <c r="K7" t="s">
        <v>1686</v>
      </c>
      <c r="L7" t="s">
        <v>307</v>
      </c>
    </row>
    <row r="8" spans="1:13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1732</v>
      </c>
      <c r="G8" s="8" t="s">
        <v>1710</v>
      </c>
      <c r="J8" t="s">
        <v>23</v>
      </c>
      <c r="K8" t="s">
        <v>1686</v>
      </c>
      <c r="L8" t="s">
        <v>311</v>
      </c>
    </row>
    <row r="9" spans="1:13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1733</v>
      </c>
      <c r="G9" s="8" t="s">
        <v>1725</v>
      </c>
      <c r="J9" t="s">
        <v>23</v>
      </c>
      <c r="K9" t="s">
        <v>1686</v>
      </c>
      <c r="L9" t="s">
        <v>311</v>
      </c>
      <c r="M9" t="s">
        <v>1711</v>
      </c>
    </row>
    <row r="10" spans="1:13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 s="2">
        <f ca="1">MATCH(表_网址[[#This Row],[版层分类]],序列_版层分类,0)*1000+MATCH(表_网址[[#This Row],[首要关键词]],序列_首要关键词,0)</f>
        <v>1002</v>
      </c>
      <c r="C10" s="2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1734</v>
      </c>
      <c r="G10" s="8" t="s">
        <v>1726</v>
      </c>
      <c r="J10" t="s">
        <v>23</v>
      </c>
      <c r="K10" t="s">
        <v>1686</v>
      </c>
      <c r="L10" t="s">
        <v>311</v>
      </c>
      <c r="M10" t="s">
        <v>1713</v>
      </c>
    </row>
    <row r="11" spans="1:13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 s="2">
        <f ca="1">MATCH(表_网址[[#This Row],[版层分类]],序列_版层分类,0)*1000+MATCH(表_网址[[#This Row],[首要关键词]],序列_首要关键词,0)</f>
        <v>1002</v>
      </c>
      <c r="C11" s="2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1735</v>
      </c>
      <c r="G11" s="8" t="s">
        <v>1727</v>
      </c>
      <c r="J11" t="s">
        <v>23</v>
      </c>
      <c r="K11" t="s">
        <v>1686</v>
      </c>
      <c r="L11" t="s">
        <v>311</v>
      </c>
      <c r="M11" t="s">
        <v>1714</v>
      </c>
    </row>
    <row r="12" spans="1:13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 s="2">
        <f ca="1">MATCH(表_网址[[#This Row],[版层分类]],序列_版层分类,0)*1000+MATCH(表_网址[[#This Row],[首要关键词]],序列_首要关键词,0)</f>
        <v>1002</v>
      </c>
      <c r="C12" s="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Row],[首要关键词]]=K8,表_网址[[#This Row],[次要关键词]]=L8,表_网址[[#This Row],[重点关键词]]=M8),E8+1,IF(表_网址[[#This Row],[重点关键词]]="",100,101))</f>
        <v>100</v>
      </c>
      <c r="F12" t="s">
        <v>1736</v>
      </c>
      <c r="G12" s="8" t="s">
        <v>1728</v>
      </c>
      <c r="J12" t="s">
        <v>23</v>
      </c>
      <c r="K12" t="s">
        <v>1686</v>
      </c>
      <c r="L12" t="s">
        <v>311</v>
      </c>
      <c r="M12" t="s">
        <v>1716</v>
      </c>
    </row>
    <row r="13" spans="1:13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 s="2">
        <f ca="1">MATCH(表_网址[[#This Row],[版层分类]],序列_版层分类,0)*1000+MATCH(表_网址[[#This Row],[首要关键词]],序列_首要关键词,0)</f>
        <v>1002</v>
      </c>
      <c r="C13" s="2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Row],[首要关键词]]=K8,表_网址[[#This Row],[次要关键词]]=L8,表_网址[[#This Row],[重点关键词]]=M8),E8+1,IF(表_网址[[#This Row],[重点关键词]]="",100,101))</f>
        <v>100</v>
      </c>
      <c r="F13" t="s">
        <v>1737</v>
      </c>
      <c r="G13" s="8" t="s">
        <v>1729</v>
      </c>
      <c r="J13" t="s">
        <v>23</v>
      </c>
      <c r="K13" t="s">
        <v>1686</v>
      </c>
      <c r="L13" t="s">
        <v>311</v>
      </c>
      <c r="M13" t="s">
        <v>1718</v>
      </c>
    </row>
    <row r="14" spans="1:13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 s="2">
        <f ca="1">MATCH(表_网址[[#This Row],[版层分类]],序列_版层分类,0)*1000+MATCH(表_网址[[#This Row],[首要关键词]],序列_首要关键词,0)</f>
        <v>1002</v>
      </c>
      <c r="C14" s="2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Row],[首要关键词]]=K8,表_网址[[#This Row],[次要关键词]]=L8,表_网址[[#This Row],[重点关键词]]=M8),E8+1,IF(表_网址[[#This Row],[重点关键词]]="",100,101))</f>
        <v>100</v>
      </c>
      <c r="F14" t="s">
        <v>1738</v>
      </c>
      <c r="G14" s="8" t="s">
        <v>1730</v>
      </c>
      <c r="J14" t="s">
        <v>23</v>
      </c>
      <c r="K14" t="s">
        <v>1686</v>
      </c>
      <c r="L14" t="s">
        <v>311</v>
      </c>
      <c r="M14" t="s">
        <v>1720</v>
      </c>
    </row>
    <row r="15" spans="1:13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 s="2">
        <f ca="1">MATCH(表_网址[[#This Row],[版层分类]],序列_版层分类,0)*1000+MATCH(表_网址[[#This Row],[首要关键词]],序列_首要关键词,0)</f>
        <v>1002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Row],[首要关键词]]=K8,表_网址[[#This Row],[次要关键词]]=L8,表_网址[[#This Row],[重点关键词]]=M8),E8+1,IF(表_网址[[#This Row],[重点关键词]]="",100,101))</f>
        <v>100</v>
      </c>
      <c r="F15" t="s">
        <v>1739</v>
      </c>
      <c r="G15" s="8" t="s">
        <v>1731</v>
      </c>
      <c r="J15" t="s">
        <v>23</v>
      </c>
      <c r="K15" t="s">
        <v>1686</v>
      </c>
      <c r="L15" t="s">
        <v>311</v>
      </c>
      <c r="M15" t="s">
        <v>1722</v>
      </c>
    </row>
    <row r="16" spans="1:13" x14ac:dyDescent="0.2">
      <c r="A16" t="str">
        <f ca="1">表_网址[[#This Row],[1级]]&amp;"-"&amp;表_网址[[#This Row],[2级]]&amp;"-"&amp;表_网址[[#This Row],[3级]]&amp;"-"&amp;表_网址[[#This Row],[级内]]</f>
        <v>1002-13-10-100</v>
      </c>
      <c r="B16" s="2">
        <f ca="1">MATCH(表_网址[[#This Row],[版层分类]],序列_版层分类,0)*1000+MATCH(表_网址[[#This Row],[首要关键词]],序列_首要关键词,0)</f>
        <v>1002</v>
      </c>
      <c r="C16" s="2">
        <f ca="1">IF(表_网址[[#This Row],[次要关键词]]="",10,MATCH(表_网址[[#This Row],[次要关键词]],序列_次要关键词,0)+10)</f>
        <v>13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Row],[首要关键词]]=K8,表_网址[[#This Row],[次要关键词]]=L8,表_网址[[#This Row],[重点关键词]]=M8),E8+1,IF(表_网址[[#This Row],[重点关键词]]="",100,101))</f>
        <v>100</v>
      </c>
      <c r="J16" t="s">
        <v>23</v>
      </c>
      <c r="K16" t="s">
        <v>1686</v>
      </c>
      <c r="L16" t="s">
        <v>315</v>
      </c>
    </row>
    <row r="17" spans="1:12" x14ac:dyDescent="0.2">
      <c r="A17" t="str">
        <f ca="1">表_网址[[#This Row],[1级]]&amp;"-"&amp;表_网址[[#This Row],[2级]]&amp;"-"&amp;表_网址[[#This Row],[3级]]&amp;"-"&amp;表_网址[[#This Row],[级内]]</f>
        <v>1002-13-11-101</v>
      </c>
      <c r="B17" s="2">
        <f ca="1">MATCH(表_网址[[#This Row],[版层分类]],序列_版层分类,0)*1000+MATCH(表_网址[[#This Row],[首要关键词]],序列_首要关键词,0)</f>
        <v>1002</v>
      </c>
      <c r="C17" s="2">
        <f ca="1">IF(表_网址[[#This Row],[次要关键词]]="",10,MATCH(表_网址[[#This Row],[次要关键词]],序列_次要关键词,0)+10)</f>
        <v>13</v>
      </c>
      <c r="D17">
        <f ca="1">IF(表_网址[[#This Row],[重点关键词]]="",10,MATCH(表_网址[[#This Row],[重点关键词]],序列_重点关键词,0)+10)</f>
        <v>11</v>
      </c>
      <c r="E17" s="2">
        <f>IF(AND(表_网址[[#This Row],[首要关键词]]=K16,表_网址[[#This Row],[次要关键词]]=L16,表_网址[[#This Row],[重点关键词]]=M16),E16+1,IF(表_网址[[#This Row],[重点关键词]]="",100,101))</f>
        <v>101</v>
      </c>
      <c r="J17" t="s">
        <v>23</v>
      </c>
      <c r="K17" t="s">
        <v>1686</v>
      </c>
      <c r="L17" t="s">
        <v>319</v>
      </c>
    </row>
    <row r="18" spans="1:12" x14ac:dyDescent="0.2">
      <c r="A18" t="str">
        <f ca="1">表_网址[[#This Row],[1级]]&amp;"-"&amp;表_网址[[#This Row],[2级]]&amp;"-"&amp;表_网址[[#This Row],[3级]]&amp;"-"&amp;表_网址[[#This Row],[级内]]</f>
        <v>1002-13-12-101</v>
      </c>
      <c r="B18" s="2">
        <f ca="1">MATCH(表_网址[[#This Row],[版层分类]],序列_版层分类,0)*1000+MATCH(表_网址[[#This Row],[首要关键词]],序列_首要关键词,0)</f>
        <v>1002</v>
      </c>
      <c r="C18" s="2">
        <f ca="1">IF(表_网址[[#This Row],[次要关键词]]="",10,MATCH(表_网址[[#This Row],[次要关键词]],序列_次要关键词,0)+10)</f>
        <v>13</v>
      </c>
      <c r="D18">
        <f ca="1">IF(表_网址[[#This Row],[重点关键词]]="",10,MATCH(表_网址[[#This Row],[重点关键词]],序列_重点关键词,0)+10)</f>
        <v>12</v>
      </c>
      <c r="E18" s="2">
        <f>IF(AND(表_网址[[#This Row],[首要关键词]]=K17,表_网址[[#This Row],[次要关键词]]=L17,表_网址[[#This Row],[重点关键词]]=M17),E17+1,IF(表_网址[[#This Row],[重点关键词]]="",100,101))</f>
        <v>101</v>
      </c>
      <c r="J18" t="s">
        <v>23</v>
      </c>
      <c r="K18" t="s">
        <v>1686</v>
      </c>
      <c r="L18" t="s">
        <v>323</v>
      </c>
    </row>
    <row r="19" spans="1:12" x14ac:dyDescent="0.2">
      <c r="A19" t="str">
        <f ca="1">表_网址[[#This Row],[1级]]&amp;"-"&amp;表_网址[[#This Row],[2级]]&amp;"-"&amp;表_网址[[#This Row],[3级]]&amp;"-"&amp;表_网址[[#This Row],[级内]]</f>
        <v>1002-13-13-101</v>
      </c>
      <c r="B19" s="2">
        <f ca="1">MATCH(表_网址[[#This Row],[版层分类]],序列_版层分类,0)*1000+MATCH(表_网址[[#This Row],[首要关键词]],序列_首要关键词,0)</f>
        <v>1002</v>
      </c>
      <c r="C19" s="2">
        <f ca="1">IF(表_网址[[#This Row],[次要关键词]]="",10,MATCH(表_网址[[#This Row],[次要关键词]],序列_次要关键词,0)+10)</f>
        <v>13</v>
      </c>
      <c r="D19">
        <f ca="1">IF(表_网址[[#This Row],[重点关键词]]="",10,MATCH(表_网址[[#This Row],[重点关键词]],序列_重点关键词,0)+10)</f>
        <v>13</v>
      </c>
      <c r="E19" s="2">
        <f>IF(AND(表_网址[[#This Row],[首要关键词]]=K18,表_网址[[#This Row],[次要关键词]]=L18,表_网址[[#This Row],[重点关键词]]=M18),E18+1,IF(表_网址[[#This Row],[重点关键词]]="",100,101))</f>
        <v>101</v>
      </c>
      <c r="J19" t="s">
        <v>23</v>
      </c>
      <c r="K19" t="s">
        <v>1686</v>
      </c>
      <c r="L19" t="s">
        <v>327</v>
      </c>
    </row>
    <row r="20" spans="1:12" x14ac:dyDescent="0.2">
      <c r="A20" t="str">
        <f ca="1">表_网址[[#This Row],[1级]]&amp;"-"&amp;表_网址[[#This Row],[2级]]&amp;"-"&amp;表_网址[[#This Row],[3级]]&amp;"-"&amp;表_网址[[#This Row],[级内]]</f>
        <v>1002-13-14-101</v>
      </c>
      <c r="B20" s="2">
        <f ca="1">MATCH(表_网址[[#This Row],[版层分类]],序列_版层分类,0)*1000+MATCH(表_网址[[#This Row],[首要关键词]],序列_首要关键词,0)</f>
        <v>1002</v>
      </c>
      <c r="C20" s="2">
        <f ca="1">IF(表_网址[[#This Row],[次要关键词]]="",10,MATCH(表_网址[[#This Row],[次要关键词]],序列_次要关键词,0)+10)</f>
        <v>13</v>
      </c>
      <c r="D20">
        <f ca="1">IF(表_网址[[#This Row],[重点关键词]]="",10,MATCH(表_网址[[#This Row],[重点关键词]],序列_重点关键词,0)+10)</f>
        <v>14</v>
      </c>
      <c r="E20" s="2">
        <f>IF(AND(表_网址[[#This Row],[首要关键词]]=K19,表_网址[[#This Row],[次要关键词]]=L19,表_网址[[#This Row],[重点关键词]]=M19),E19+1,IF(表_网址[[#This Row],[重点关键词]]="",100,101))</f>
        <v>101</v>
      </c>
      <c r="J20" t="s">
        <v>23</v>
      </c>
      <c r="K20" t="s">
        <v>1686</v>
      </c>
      <c r="L20" t="s">
        <v>331</v>
      </c>
    </row>
    <row r="21" spans="1:12" x14ac:dyDescent="0.2">
      <c r="A21" t="str">
        <f ca="1">表_网址[[#This Row],[1级]]&amp;"-"&amp;表_网址[[#This Row],[2级]]&amp;"-"&amp;表_网址[[#This Row],[3级]]&amp;"-"&amp;表_网址[[#This Row],[级内]]</f>
        <v>1002-14-10-100</v>
      </c>
      <c r="B21" s="2">
        <f ca="1">MATCH(表_网址[[#This Row],[版层分类]],序列_版层分类,0)*1000+MATCH(表_网址[[#This Row],[首要关键词]],序列_首要关键词,0)</f>
        <v>1002</v>
      </c>
      <c r="C21" s="2">
        <f ca="1">IF(表_网址[[#This Row],[次要关键词]]="",10,MATCH(表_网址[[#This Row],[次要关键词]],序列_次要关键词,0)+10)</f>
        <v>14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J21" t="s">
        <v>23</v>
      </c>
      <c r="K21" t="s">
        <v>1686</v>
      </c>
      <c r="L21" t="s">
        <v>418</v>
      </c>
    </row>
    <row r="22" spans="1:12" x14ac:dyDescent="0.2">
      <c r="A22" t="str">
        <f ca="1">表_网址[[#This Row],[1级]]&amp;"-"&amp;表_网址[[#This Row],[2级]]&amp;"-"&amp;表_网址[[#This Row],[3级]]&amp;"-"&amp;表_网址[[#This Row],[级内]]</f>
        <v>1002-14-11-101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14</v>
      </c>
      <c r="D22">
        <f ca="1">IF(表_网址[[#This Row],[重点关键词]]="",10,MATCH(表_网址[[#This Row],[重点关键词]],序列_重点关键词,0)+10)</f>
        <v>11</v>
      </c>
      <c r="E22" s="2">
        <f>IF(AND(表_网址[[#This Row],[首要关键词]]=K21,表_网址[[#This Row],[次要关键词]]=L21,表_网址[[#This Row],[重点关键词]]=M21),E21+1,IF(表_网址[[#This Row],[重点关键词]]="",100,101))</f>
        <v>101</v>
      </c>
      <c r="J22" t="s">
        <v>23</v>
      </c>
      <c r="K22" t="s">
        <v>1686</v>
      </c>
      <c r="L22" t="s">
        <v>422</v>
      </c>
    </row>
    <row r="23" spans="1:12" x14ac:dyDescent="0.2">
      <c r="A23" t="str">
        <f ca="1">表_网址[[#This Row],[1级]]&amp;"-"&amp;表_网址[[#This Row],[2级]]&amp;"-"&amp;表_网址[[#This Row],[3级]]&amp;"-"&amp;表_网址[[#This Row],[级内]]</f>
        <v>1002-15-10-100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15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100</v>
      </c>
      <c r="J23" t="s">
        <v>23</v>
      </c>
      <c r="K23" t="s">
        <v>1686</v>
      </c>
      <c r="L23" t="s">
        <v>426</v>
      </c>
    </row>
    <row r="24" spans="1:12" x14ac:dyDescent="0.2">
      <c r="A24" t="str">
        <f ca="1">表_网址[[#This Row],[1级]]&amp;"-"&amp;表_网址[[#This Row],[2级]]&amp;"-"&amp;表_网址[[#This Row],[3级]]&amp;"-"&amp;表_网址[[#This Row],[级内]]</f>
        <v>1002-16-10-100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100</v>
      </c>
      <c r="J24" t="s">
        <v>23</v>
      </c>
      <c r="K24" t="s">
        <v>1686</v>
      </c>
      <c r="L24" t="s">
        <v>430</v>
      </c>
    </row>
    <row r="25" spans="1:12" x14ac:dyDescent="0.2">
      <c r="A25" t="str">
        <f ca="1">表_网址[[#This Row],[1级]]&amp;"-"&amp;表_网址[[#This Row],[2级]]&amp;"-"&amp;表_网址[[#This Row],[3级]]&amp;"-"&amp;表_网址[[#This Row],[级内]]</f>
        <v>1002-16-10-101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100</v>
      </c>
      <c r="J25" t="s">
        <v>23</v>
      </c>
      <c r="K25" t="s">
        <v>1686</v>
      </c>
      <c r="L25" t="s">
        <v>434</v>
      </c>
    </row>
    <row r="26" spans="1:12" x14ac:dyDescent="0.2">
      <c r="A26" t="str">
        <f ca="1">表_网址[[#This Row],[1级]]&amp;"-"&amp;表_网址[[#This Row],[2级]]&amp;"-"&amp;表_网址[[#This Row],[3级]]&amp;"-"&amp;表_网址[[#This Row],[级内]]</f>
        <v>1002-16-10-102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100</v>
      </c>
      <c r="J26" t="s">
        <v>23</v>
      </c>
      <c r="K26" t="s">
        <v>1686</v>
      </c>
      <c r="L26" t="s">
        <v>442</v>
      </c>
    </row>
    <row r="27" spans="1:12" x14ac:dyDescent="0.2">
      <c r="A27" t="str">
        <f ca="1">表_网址[[#This Row],[1级]]&amp;"-"&amp;表_网址[[#This Row],[2级]]&amp;"-"&amp;表_网址[[#This Row],[3级]]&amp;"-"&amp;表_网址[[#This Row],[级内]]</f>
        <v>1002-18-10-100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18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100</v>
      </c>
      <c r="J27" t="s">
        <v>23</v>
      </c>
      <c r="K27" t="s">
        <v>1686</v>
      </c>
      <c r="L27" t="s">
        <v>450</v>
      </c>
    </row>
    <row r="28" spans="1:12" x14ac:dyDescent="0.2">
      <c r="A28" t="str">
        <f ca="1">表_网址[[#This Row],[1级]]&amp;"-"&amp;表_网址[[#This Row],[2级]]&amp;"-"&amp;表_网址[[#This Row],[3级]]&amp;"-"&amp;表_网址[[#This Row],[级内]]</f>
        <v>1002-18-10-101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18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100</v>
      </c>
      <c r="J28" t="s">
        <v>23</v>
      </c>
      <c r="K28" t="s">
        <v>1686</v>
      </c>
      <c r="L28" t="s">
        <v>454</v>
      </c>
    </row>
    <row r="29" spans="1:12" x14ac:dyDescent="0.2">
      <c r="A29" t="str">
        <f ca="1">表_网址[[#This Row],[1级]]&amp;"-"&amp;表_网址[[#This Row],[2级]]&amp;"-"&amp;表_网址[[#This Row],[3级]]&amp;"-"&amp;表_网址[[#This Row],[级内]]</f>
        <v>1002-18-10-102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18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100</v>
      </c>
      <c r="J29" t="s">
        <v>23</v>
      </c>
      <c r="K29" t="s">
        <v>1686</v>
      </c>
      <c r="L29" t="s">
        <v>458</v>
      </c>
    </row>
    <row r="30" spans="1:12" x14ac:dyDescent="0.2">
      <c r="A30" t="str">
        <f ca="1">表_网址[[#This Row],[1级]]&amp;"-"&amp;表_网址[[#This Row],[2级]]&amp;"-"&amp;表_网址[[#This Row],[3级]]&amp;"-"&amp;表_网址[[#This Row],[级内]]</f>
        <v>1002-18-10-103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18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100</v>
      </c>
      <c r="J30" t="s">
        <v>23</v>
      </c>
      <c r="K30" t="s">
        <v>1686</v>
      </c>
      <c r="L30" t="s">
        <v>462</v>
      </c>
    </row>
    <row r="31" spans="1:12" x14ac:dyDescent="0.2">
      <c r="A31" t="str">
        <f ca="1">表_网址[[#This Row],[1级]]&amp;"-"&amp;表_网址[[#This Row],[2级]]&amp;"-"&amp;表_网址[[#This Row],[3级]]&amp;"-"&amp;表_网址[[#This Row],[级内]]</f>
        <v>1002-18-10-104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18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100</v>
      </c>
      <c r="J31" t="s">
        <v>23</v>
      </c>
      <c r="K31" t="s">
        <v>1686</v>
      </c>
      <c r="L31" t="s">
        <v>466</v>
      </c>
    </row>
    <row r="32" spans="1:12" x14ac:dyDescent="0.2">
      <c r="A32" t="str">
        <f ca="1">表_网址[[#This Row],[1级]]&amp;"-"&amp;表_网址[[#This Row],[2级]]&amp;"-"&amp;表_网址[[#This Row],[3级]]&amp;"-"&amp;表_网址[[#This Row],[级内]]</f>
        <v>1002-18-10-105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18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100</v>
      </c>
      <c r="J32" t="s">
        <v>23</v>
      </c>
      <c r="K32" t="s">
        <v>1686</v>
      </c>
      <c r="L32" t="s">
        <v>470</v>
      </c>
    </row>
    <row r="33" spans="1:12" x14ac:dyDescent="0.2">
      <c r="A33" t="str">
        <f ca="1">表_网址[[#This Row],[1级]]&amp;"-"&amp;表_网址[[#This Row],[2级]]&amp;"-"&amp;表_网址[[#This Row],[3级]]&amp;"-"&amp;表_网址[[#This Row],[级内]]</f>
        <v>1002-18-10-106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18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100</v>
      </c>
      <c r="J33" t="s">
        <v>23</v>
      </c>
      <c r="K33" t="s">
        <v>1686</v>
      </c>
      <c r="L33" t="s">
        <v>474</v>
      </c>
    </row>
    <row r="34" spans="1:12" x14ac:dyDescent="0.2">
      <c r="A34" t="str">
        <f ca="1">表_网址[[#This Row],[1级]]&amp;"-"&amp;表_网址[[#This Row],[2级]]&amp;"-"&amp;表_网址[[#This Row],[3级]]&amp;"-"&amp;表_网址[[#This Row],[级内]]</f>
        <v>1002-18-10-107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18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100</v>
      </c>
      <c r="J34" t="s">
        <v>23</v>
      </c>
      <c r="K34" t="s">
        <v>1686</v>
      </c>
      <c r="L34" t="s">
        <v>478</v>
      </c>
    </row>
    <row r="35" spans="1:12" x14ac:dyDescent="0.2">
      <c r="A35" t="str">
        <f ca="1">表_网址[[#This Row],[1级]]&amp;"-"&amp;表_网址[[#This Row],[2级]]&amp;"-"&amp;表_网址[[#This Row],[3级]]&amp;"-"&amp;表_网址[[#This Row],[级内]]</f>
        <v>1002-18-10-108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18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100</v>
      </c>
      <c r="J35" t="s">
        <v>23</v>
      </c>
      <c r="K35" t="s">
        <v>1686</v>
      </c>
      <c r="L35" t="s">
        <v>482</v>
      </c>
    </row>
    <row r="36" spans="1:12" x14ac:dyDescent="0.2">
      <c r="A36" t="str">
        <f ca="1">表_网址[[#This Row],[1级]]&amp;"-"&amp;表_网址[[#This Row],[2级]]&amp;"-"&amp;表_网址[[#This Row],[3级]]&amp;"-"&amp;表_网址[[#This Row],[级内]]</f>
        <v>1002-18-10-109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18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100</v>
      </c>
      <c r="J36" t="s">
        <v>23</v>
      </c>
      <c r="K36" t="s">
        <v>1686</v>
      </c>
      <c r="L36" t="s">
        <v>486</v>
      </c>
    </row>
    <row r="37" spans="1:12" x14ac:dyDescent="0.2">
      <c r="A37" t="str">
        <f ca="1">表_网址[[#This Row],[1级]]&amp;"-"&amp;表_网址[[#This Row],[2级]]&amp;"-"&amp;表_网址[[#This Row],[3级]]&amp;"-"&amp;表_网址[[#This Row],[级内]]</f>
        <v>1002-18-10-110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18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100</v>
      </c>
      <c r="J37" t="s">
        <v>23</v>
      </c>
      <c r="K37" t="s">
        <v>1686</v>
      </c>
      <c r="L37" t="s">
        <v>490</v>
      </c>
    </row>
    <row r="38" spans="1:12" x14ac:dyDescent="0.2">
      <c r="A38" t="str">
        <f ca="1">表_网址[[#This Row],[1级]]&amp;"-"&amp;表_网址[[#This Row],[2级]]&amp;"-"&amp;表_网址[[#This Row],[3级]]&amp;"-"&amp;表_网址[[#This Row],[级内]]</f>
        <v>1002-18-10-111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18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100</v>
      </c>
      <c r="J38" t="s">
        <v>23</v>
      </c>
      <c r="K38" t="s">
        <v>1686</v>
      </c>
      <c r="L38" t="s">
        <v>494</v>
      </c>
    </row>
  </sheetData>
  <phoneticPr fontId="1" type="noConversion"/>
  <dataValidations count="10">
    <dataValidation type="custom" allowBlank="1" showInputMessage="1" showErrorMessage="1" sqref="A15" xr:uid="{F0A035D1-EB22-42BA-B718-64BBDE238E41}">
      <formula1>COUNTIF(A:A,A17)=1</formula1>
    </dataValidation>
    <dataValidation type="custom" allowBlank="1" showInputMessage="1" showErrorMessage="1" sqref="A14" xr:uid="{86B587C1-FD1F-421D-A1AE-2DAD8246CAC9}">
      <formula1>COUNTIF(A:A,A17)=1</formula1>
    </dataValidation>
    <dataValidation type="custom" allowBlank="1" showInputMessage="1" showErrorMessage="1" sqref="A13" xr:uid="{96EE8400-79C3-4D9B-B4CE-6772CD389E56}">
      <formula1>COUNTIF(A:A,A17)=1</formula1>
    </dataValidation>
    <dataValidation type="custom" allowBlank="1" showInputMessage="1" showErrorMessage="1" sqref="A12" xr:uid="{502C5477-FE6C-4F4B-996C-BF651D45F49E}">
      <formula1>COUNTIF(A:A,A17)=1</formula1>
    </dataValidation>
    <dataValidation type="custom" allowBlank="1" showInputMessage="1" showErrorMessage="1" sqref="A8:A11" xr:uid="{913E0ED7-3DBC-470C-8E4D-73BC8AAD4BD0}">
      <formula1>COUNTIF(A:A,A16)=1</formula1>
    </dataValidation>
    <dataValidation type="custom" allowBlank="1" showInputMessage="1" showErrorMessage="1" sqref="A1:A7 A16:A38" xr:uid="{C3853533-5207-4350-836C-B28D9CEAA16B}">
      <formula1>COUNTIF(A:A,A2)=1</formula1>
    </dataValidation>
    <dataValidation type="list" allowBlank="1" showInputMessage="1" showErrorMessage="1" sqref="M1:M38" xr:uid="{46A98F68-E813-4D29-9783-CF43AADC829B}">
      <formula1>序列_重点关键词</formula1>
    </dataValidation>
    <dataValidation type="list" allowBlank="1" showInputMessage="1" showErrorMessage="1" sqref="L1:L38" xr:uid="{19750A61-A437-4252-8213-67F5B208F4AC}">
      <formula1>序列_次要关键词</formula1>
    </dataValidation>
    <dataValidation type="list" allowBlank="1" showInputMessage="1" showErrorMessage="1" sqref="K1:K38" xr:uid="{150D5521-186F-409D-8C89-E6FB39B2D558}">
      <formula1>序列_首要关键词</formula1>
    </dataValidation>
    <dataValidation type="list" allowBlank="1" showInputMessage="1" showErrorMessage="1" sqref="J1:J38" xr:uid="{74D72E2B-0CCC-405E-BDC4-011F51973F6A}">
      <formula1>序列_版层分类</formula1>
    </dataValidation>
  </dataValidations>
  <hyperlinks>
    <hyperlink ref="G8" r:id="rId1" xr:uid="{8F4DD4E2-5AF7-4E82-B44C-C938F2C6AEFA}"/>
    <hyperlink ref="G10" r:id="rId2" xr:uid="{275427CD-851F-460C-A722-64BD57CB2FB1}"/>
    <hyperlink ref="G11" r:id="rId3" xr:uid="{B3DC367A-0A13-47F8-BD59-C8C7CE5C6325}"/>
    <hyperlink ref="G12" r:id="rId4" xr:uid="{FEE1F977-451F-4B51-81FC-99EA55D70158}"/>
    <hyperlink ref="G13" r:id="rId5" xr:uid="{FC752377-D231-4751-9C49-F5194FFA4EDC}"/>
    <hyperlink ref="G14" r:id="rId6" xr:uid="{A6A844D0-44B3-445C-A5FC-BA216F4CA8F9}"/>
    <hyperlink ref="G15" r:id="rId7" xr:uid="{D2B1DA7F-715A-489B-A1A3-3B5A238CCE24}"/>
  </hyperlinks>
  <pageMargins left="0.7" right="0.7" top="0.75" bottom="0.75" header="0.3" footer="0.3"/>
  <pageSetup paperSize="9" orientation="portrait" horizontalDpi="300" verticalDpi="300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0CB3-0281-44B9-9B13-0642E01E3ECE}">
  <sheetPr codeName="Sheet3"/>
  <dimension ref="A1:AB10"/>
  <sheetViews>
    <sheetView workbookViewId="0">
      <selection activeCell="C9" sqref="C9"/>
    </sheetView>
  </sheetViews>
  <sheetFormatPr defaultRowHeight="14.25" x14ac:dyDescent="0.2"/>
  <cols>
    <col min="1" max="2" width="7.25" bestFit="1" customWidth="1"/>
    <col min="3" max="4" width="11" bestFit="1" customWidth="1"/>
    <col min="5" max="5" width="12.125" bestFit="1" customWidth="1"/>
    <col min="7" max="7" width="7.125" bestFit="1" customWidth="1"/>
    <col min="9" max="10" width="6.375" bestFit="1" customWidth="1"/>
    <col min="12" max="12" width="6.375" bestFit="1" customWidth="1"/>
    <col min="13" max="14" width="7.375" bestFit="1" customWidth="1"/>
    <col min="15" max="16" width="11" bestFit="1" customWidth="1"/>
    <col min="17" max="28" width="7.375" bestFit="1" customWidth="1"/>
  </cols>
  <sheetData>
    <row r="1" spans="1:28" x14ac:dyDescent="0.2">
      <c r="A1" t="s">
        <v>0</v>
      </c>
      <c r="B1" t="s">
        <v>1690</v>
      </c>
      <c r="C1" t="s">
        <v>1691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  <c r="X1" t="s">
        <v>1681</v>
      </c>
      <c r="Y1" t="s">
        <v>1682</v>
      </c>
      <c r="Z1" t="s">
        <v>1683</v>
      </c>
      <c r="AA1" t="s">
        <v>1684</v>
      </c>
      <c r="AB1" t="s">
        <v>1685</v>
      </c>
    </row>
    <row r="2" spans="1:28" x14ac:dyDescent="0.2">
      <c r="A2">
        <v>1</v>
      </c>
      <c r="B2" s="2">
        <f>COUNTIF(表_版层分类[[#This Row],[列1]:[列25]],"&lt;&gt;")</f>
        <v>3</v>
      </c>
      <c r="C2" t="s">
        <v>1708</v>
      </c>
      <c r="D2" t="s">
        <v>542</v>
      </c>
      <c r="E2" t="s">
        <v>573</v>
      </c>
      <c r="F2" t="s">
        <v>594</v>
      </c>
    </row>
    <row r="3" spans="1:28" x14ac:dyDescent="0.2">
      <c r="A3">
        <v>2</v>
      </c>
      <c r="B3" s="2">
        <f>COUNTIF(表_版层分类[[#This Row],[列1]:[列25]],"&lt;&gt;")</f>
        <v>5</v>
      </c>
      <c r="C3" t="s">
        <v>1741</v>
      </c>
      <c r="D3" t="s">
        <v>1764</v>
      </c>
      <c r="E3" t="s">
        <v>604</v>
      </c>
      <c r="F3" t="s">
        <v>614</v>
      </c>
      <c r="G3" t="s">
        <v>645</v>
      </c>
      <c r="H3" t="s">
        <v>1759</v>
      </c>
    </row>
    <row r="4" spans="1:28" x14ac:dyDescent="0.2">
      <c r="A4">
        <v>10</v>
      </c>
      <c r="B4" s="2">
        <f>COUNTIF(表_版层分类[[#This Row],[列1]:[列25]],"&lt;&gt;")</f>
        <v>5</v>
      </c>
      <c r="C4" t="s">
        <v>1773</v>
      </c>
      <c r="D4" t="s">
        <v>1789</v>
      </c>
      <c r="E4" t="s">
        <v>1774</v>
      </c>
      <c r="F4" t="s">
        <v>1117</v>
      </c>
      <c r="G4" t="s">
        <v>1791</v>
      </c>
      <c r="H4" t="s">
        <v>1759</v>
      </c>
    </row>
    <row r="5" spans="1:28" x14ac:dyDescent="0.2">
      <c r="A5">
        <v>20</v>
      </c>
      <c r="B5" s="2">
        <f>COUNTIF(表_版层分类[[#This Row],[列1]:[列25]],"&lt;&gt;")</f>
        <v>6</v>
      </c>
      <c r="C5" t="s">
        <v>1772</v>
      </c>
      <c r="D5" t="s">
        <v>882</v>
      </c>
      <c r="E5" t="s">
        <v>995</v>
      </c>
      <c r="F5" t="s">
        <v>1001</v>
      </c>
      <c r="G5" t="s">
        <v>1021</v>
      </c>
      <c r="H5" t="s">
        <v>1029</v>
      </c>
      <c r="I5" t="s">
        <v>1759</v>
      </c>
    </row>
    <row r="6" spans="1:28" x14ac:dyDescent="0.2">
      <c r="A6">
        <v>100</v>
      </c>
      <c r="B6" s="2">
        <f>COUNTIF(表_版层分类[[#This Row],[列1]:[列25]],"&lt;&gt;")</f>
        <v>5</v>
      </c>
      <c r="C6" t="s">
        <v>1743</v>
      </c>
      <c r="D6" t="s">
        <v>1745</v>
      </c>
      <c r="E6" t="s">
        <v>1747</v>
      </c>
      <c r="F6" t="s">
        <v>1749</v>
      </c>
      <c r="G6" t="s">
        <v>1750</v>
      </c>
      <c r="H6" t="s">
        <v>1759</v>
      </c>
    </row>
    <row r="7" spans="1:28" x14ac:dyDescent="0.2">
      <c r="A7">
        <v>900</v>
      </c>
      <c r="B7">
        <f>COUNTIF(表_版层分类[[#This Row],[列1]:[列25]],"&lt;&gt;")</f>
        <v>9</v>
      </c>
      <c r="C7" t="s">
        <v>1703</v>
      </c>
      <c r="D7" t="s">
        <v>1083</v>
      </c>
      <c r="E7" t="s">
        <v>552</v>
      </c>
      <c r="F7" t="s">
        <v>1173</v>
      </c>
      <c r="G7" t="s">
        <v>1189</v>
      </c>
      <c r="H7" t="s">
        <v>1196</v>
      </c>
      <c r="I7" t="s">
        <v>1222</v>
      </c>
      <c r="J7" t="s">
        <v>1226</v>
      </c>
      <c r="K7" t="s">
        <v>1253</v>
      </c>
      <c r="L7" t="s">
        <v>569</v>
      </c>
    </row>
    <row r="8" spans="1:28" x14ac:dyDescent="0.2">
      <c r="A8">
        <v>998</v>
      </c>
      <c r="B8">
        <f>COUNTIF(表_版层分类[[#This Row],[列1]:[列25]],"&lt;&gt;")</f>
        <v>6</v>
      </c>
      <c r="C8" t="s">
        <v>1688</v>
      </c>
      <c r="D8" t="s">
        <v>1043</v>
      </c>
      <c r="E8" t="s">
        <v>1062</v>
      </c>
      <c r="F8" t="s">
        <v>591</v>
      </c>
      <c r="G8" t="s">
        <v>1768</v>
      </c>
      <c r="H8" t="s">
        <v>1770</v>
      </c>
      <c r="I8" t="s">
        <v>1891</v>
      </c>
    </row>
    <row r="9" spans="1:28" x14ac:dyDescent="0.2">
      <c r="A9">
        <v>999</v>
      </c>
      <c r="B9">
        <f>COUNTIF(表_版层分类[[#This Row],[列1]:[列25]],"&lt;&gt;")</f>
        <v>6</v>
      </c>
      <c r="C9" t="s">
        <v>1899</v>
      </c>
      <c r="D9" t="s">
        <v>1686</v>
      </c>
      <c r="E9" t="s">
        <v>1687</v>
      </c>
      <c r="F9" t="s">
        <v>24</v>
      </c>
      <c r="G9" t="s">
        <v>279</v>
      </c>
      <c r="H9" t="s">
        <v>1637</v>
      </c>
      <c r="I9" t="s">
        <v>498</v>
      </c>
    </row>
    <row r="10" spans="1:28" x14ac:dyDescent="0.2">
      <c r="A10">
        <v>1000</v>
      </c>
      <c r="B10">
        <f>COUNTIF(表_版层分类[[#This Row],[列1]:[列25]],"&lt;&gt;")</f>
        <v>2</v>
      </c>
      <c r="C10" t="s">
        <v>506</v>
      </c>
      <c r="D10" t="s">
        <v>1705</v>
      </c>
      <c r="E10" t="s">
        <v>1706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F45D-6119-4A75-B859-AEADB6114108}">
  <sheetPr codeName="Sheet4"/>
  <dimension ref="A1:AH35"/>
  <sheetViews>
    <sheetView workbookViewId="0">
      <selection activeCell="D38" sqref="D38"/>
    </sheetView>
  </sheetViews>
  <sheetFormatPr defaultRowHeight="14.25" x14ac:dyDescent="0.2"/>
  <cols>
    <col min="1" max="2" width="7.25" bestFit="1" customWidth="1"/>
    <col min="3" max="4" width="13" bestFit="1" customWidth="1"/>
    <col min="5" max="5" width="15.125" bestFit="1" customWidth="1"/>
    <col min="6" max="7" width="13" bestFit="1" customWidth="1"/>
    <col min="8" max="8" width="15.125" bestFit="1" customWidth="1"/>
    <col min="9" max="9" width="19.25" bestFit="1" customWidth="1"/>
    <col min="10" max="10" width="15.125" bestFit="1" customWidth="1"/>
    <col min="11" max="11" width="11" bestFit="1" customWidth="1"/>
    <col min="12" max="12" width="17.25" bestFit="1" customWidth="1"/>
    <col min="13" max="13" width="27.625" bestFit="1" customWidth="1"/>
    <col min="14" max="14" width="11" bestFit="1" customWidth="1"/>
    <col min="15" max="15" width="19.25" bestFit="1" customWidth="1"/>
    <col min="16" max="17" width="13" bestFit="1" customWidth="1"/>
    <col min="18" max="18" width="17.25" bestFit="1" customWidth="1"/>
    <col min="19" max="19" width="15.125" bestFit="1" customWidth="1"/>
    <col min="20" max="20" width="7.375" bestFit="1" customWidth="1"/>
    <col min="22" max="34" width="7.375" bestFit="1" customWidth="1"/>
  </cols>
  <sheetData>
    <row r="1" spans="1:34" x14ac:dyDescent="0.2">
      <c r="A1" t="s">
        <v>1689</v>
      </c>
      <c r="B1" t="s">
        <v>1690</v>
      </c>
      <c r="C1" t="s">
        <v>10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  <c r="X1" t="s">
        <v>1681</v>
      </c>
      <c r="Y1" t="s">
        <v>1682</v>
      </c>
      <c r="Z1" t="s">
        <v>1683</v>
      </c>
      <c r="AA1" t="s">
        <v>1684</v>
      </c>
      <c r="AB1" t="s">
        <v>1685</v>
      </c>
      <c r="AC1" t="s">
        <v>1692</v>
      </c>
      <c r="AD1" t="s">
        <v>1693</v>
      </c>
      <c r="AE1" t="s">
        <v>1694</v>
      </c>
      <c r="AF1" t="s">
        <v>1695</v>
      </c>
      <c r="AG1" t="s">
        <v>1696</v>
      </c>
      <c r="AH1" t="s">
        <v>1697</v>
      </c>
    </row>
    <row r="2" spans="1:34" x14ac:dyDescent="0.2">
      <c r="A2">
        <v>101</v>
      </c>
      <c r="B2">
        <f>COUNTIF(表_首次要关键词[[#This Row],[列1]:[列31]],"&lt;&gt;")</f>
        <v>1</v>
      </c>
      <c r="C2" t="s">
        <v>24</v>
      </c>
      <c r="D2" t="s">
        <v>26</v>
      </c>
    </row>
    <row r="3" spans="1:34" x14ac:dyDescent="0.2">
      <c r="A3">
        <v>102</v>
      </c>
      <c r="B3">
        <f>COUNTIF(表_首次要关键词[[#This Row],[列1]:[列31]],"&lt;&gt;")</f>
        <v>31</v>
      </c>
      <c r="C3" t="s">
        <v>279</v>
      </c>
      <c r="D3" t="s">
        <v>283</v>
      </c>
      <c r="E3" t="s">
        <v>287</v>
      </c>
      <c r="F3" t="s">
        <v>291</v>
      </c>
      <c r="G3" t="s">
        <v>295</v>
      </c>
      <c r="H3" t="s">
        <v>299</v>
      </c>
      <c r="I3" t="s">
        <v>303</v>
      </c>
      <c r="J3" t="s">
        <v>307</v>
      </c>
      <c r="K3" t="s">
        <v>311</v>
      </c>
      <c r="L3" t="s">
        <v>315</v>
      </c>
      <c r="M3" t="s">
        <v>319</v>
      </c>
      <c r="N3" t="s">
        <v>323</v>
      </c>
      <c r="O3" t="s">
        <v>327</v>
      </c>
      <c r="P3" t="s">
        <v>331</v>
      </c>
      <c r="Q3" t="s">
        <v>418</v>
      </c>
      <c r="R3" t="s">
        <v>422</v>
      </c>
      <c r="S3" t="s">
        <v>426</v>
      </c>
      <c r="T3" t="s">
        <v>430</v>
      </c>
      <c r="U3" t="s">
        <v>434</v>
      </c>
      <c r="V3" t="s">
        <v>442</v>
      </c>
      <c r="W3" t="s">
        <v>450</v>
      </c>
      <c r="X3" t="s">
        <v>454</v>
      </c>
      <c r="Y3" t="s">
        <v>458</v>
      </c>
      <c r="Z3" t="s">
        <v>462</v>
      </c>
      <c r="AA3" t="s">
        <v>466</v>
      </c>
      <c r="AB3" t="s">
        <v>470</v>
      </c>
      <c r="AC3" t="s">
        <v>474</v>
      </c>
      <c r="AD3" t="s">
        <v>478</v>
      </c>
      <c r="AE3" t="s">
        <v>482</v>
      </c>
      <c r="AF3" t="s">
        <v>486</v>
      </c>
      <c r="AG3" t="s">
        <v>490</v>
      </c>
      <c r="AH3" t="s">
        <v>494</v>
      </c>
    </row>
    <row r="4" spans="1:34" x14ac:dyDescent="0.2">
      <c r="A4">
        <v>112</v>
      </c>
      <c r="B4">
        <f>COUNTIF(表_首次要关键词[[#This Row],[列1]:[列31]],"&lt;&gt;")</f>
        <v>2</v>
      </c>
      <c r="C4" t="s">
        <v>498</v>
      </c>
      <c r="D4" t="s">
        <v>1793</v>
      </c>
      <c r="E4" t="s">
        <v>1759</v>
      </c>
    </row>
    <row r="5" spans="1:34" x14ac:dyDescent="0.2">
      <c r="A5">
        <v>201</v>
      </c>
      <c r="B5">
        <f>COUNTIF(表_首次要关键词[[#This Row],[列1]:[列31]],"&lt;&gt;")</f>
        <v>9</v>
      </c>
      <c r="C5" t="s">
        <v>542</v>
      </c>
      <c r="D5" t="s">
        <v>1764</v>
      </c>
      <c r="E5" t="s">
        <v>1758</v>
      </c>
      <c r="F5" t="s">
        <v>1787</v>
      </c>
      <c r="G5" t="s">
        <v>552</v>
      </c>
      <c r="H5" t="s">
        <v>556</v>
      </c>
      <c r="I5" t="s">
        <v>560</v>
      </c>
      <c r="J5" t="s">
        <v>565</v>
      </c>
      <c r="K5" t="s">
        <v>569</v>
      </c>
      <c r="L5" t="s">
        <v>1759</v>
      </c>
    </row>
    <row r="6" spans="1:34" x14ac:dyDescent="0.2">
      <c r="A6">
        <v>202</v>
      </c>
      <c r="B6">
        <f>COUNTIF(表_首次要关键词[[#This Row],[列1]:[列31]],"&lt;&gt;")</f>
        <v>8</v>
      </c>
      <c r="C6" t="s">
        <v>573</v>
      </c>
      <c r="D6" t="s">
        <v>1754</v>
      </c>
      <c r="E6" t="s">
        <v>1756</v>
      </c>
      <c r="F6" t="s">
        <v>1887</v>
      </c>
      <c r="G6" t="s">
        <v>1876</v>
      </c>
      <c r="H6" t="s">
        <v>1874</v>
      </c>
      <c r="I6" t="s">
        <v>1868</v>
      </c>
      <c r="J6" t="s">
        <v>1866</v>
      </c>
      <c r="K6" t="s">
        <v>1872</v>
      </c>
    </row>
    <row r="7" spans="1:34" x14ac:dyDescent="0.2">
      <c r="A7">
        <v>203</v>
      </c>
      <c r="B7">
        <f>COUNTIF(表_首次要关键词[[#This Row],[列1]:[列31]],"&lt;&gt;")</f>
        <v>0</v>
      </c>
      <c r="C7" t="s">
        <v>594</v>
      </c>
    </row>
    <row r="8" spans="1:34" x14ac:dyDescent="0.2">
      <c r="A8">
        <v>204</v>
      </c>
      <c r="B8">
        <f>COUNTIF(表_首次要关键词[[#This Row],[列1]:[列31]],"&lt;&gt;")</f>
        <v>5</v>
      </c>
      <c r="C8" t="s">
        <v>604</v>
      </c>
      <c r="D8" t="s">
        <v>1758</v>
      </c>
      <c r="E8" t="s">
        <v>1763</v>
      </c>
      <c r="F8" t="s">
        <v>1760</v>
      </c>
      <c r="G8" t="s">
        <v>1762</v>
      </c>
      <c r="H8" t="s">
        <v>1759</v>
      </c>
    </row>
    <row r="9" spans="1:34" x14ac:dyDescent="0.2">
      <c r="A9">
        <v>251</v>
      </c>
      <c r="B9">
        <f>COUNTIF(表_首次要关键词[[#This Row],[列1]:[列31]],"&lt;&gt;")</f>
        <v>6</v>
      </c>
      <c r="C9" t="s">
        <v>614</v>
      </c>
      <c r="D9" t="s">
        <v>1764</v>
      </c>
      <c r="E9" t="s">
        <v>1758</v>
      </c>
      <c r="F9" t="s">
        <v>1766</v>
      </c>
      <c r="G9" t="s">
        <v>1765</v>
      </c>
      <c r="H9" t="s">
        <v>1822</v>
      </c>
      <c r="I9" t="s">
        <v>1703</v>
      </c>
    </row>
    <row r="10" spans="1:34" x14ac:dyDescent="0.2">
      <c r="A10">
        <v>252</v>
      </c>
      <c r="B10">
        <f>COUNTIF(表_首次要关键词[[#This Row],[列1]:[列31]],"&lt;&gt;")</f>
        <v>0</v>
      </c>
      <c r="C10" t="s">
        <v>645</v>
      </c>
    </row>
    <row r="11" spans="1:34" x14ac:dyDescent="0.2">
      <c r="A11">
        <v>253</v>
      </c>
      <c r="B11">
        <f>COUNTIF(表_首次要关键词[[#This Row],[列1]:[列31]],"&lt;&gt;")</f>
        <v>0</v>
      </c>
      <c r="C11" t="s">
        <v>569</v>
      </c>
    </row>
    <row r="12" spans="1:34" x14ac:dyDescent="0.2">
      <c r="A12">
        <v>301</v>
      </c>
      <c r="B12">
        <f>COUNTIF(表_首次要关键词[[#This Row],[列1]:[列31]],"&lt;&gt;")</f>
        <v>5</v>
      </c>
      <c r="C12" t="str">
        <f>版层分类!D6</f>
        <v>银行</v>
      </c>
      <c r="D12" t="s">
        <v>701</v>
      </c>
      <c r="E12" t="s">
        <v>705</v>
      </c>
      <c r="F12" t="s">
        <v>713</v>
      </c>
      <c r="G12" t="s">
        <v>717</v>
      </c>
      <c r="H12" t="s">
        <v>730</v>
      </c>
    </row>
    <row r="13" spans="1:34" x14ac:dyDescent="0.2">
      <c r="A13">
        <v>302</v>
      </c>
      <c r="B13">
        <f>COUNTIF(表_首次要关键词[[#This Row],[列1]:[列31]],"&lt;&gt;")</f>
        <v>0</v>
      </c>
      <c r="C13" t="str">
        <f>版层分类!E4</f>
        <v>翻译</v>
      </c>
    </row>
    <row r="14" spans="1:34" x14ac:dyDescent="0.2">
      <c r="A14">
        <v>303</v>
      </c>
      <c r="B14">
        <f>COUNTIF(表_首次要关键词[[#This Row],[列1]:[列31]],"&lt;&gt;")</f>
        <v>0</v>
      </c>
      <c r="C14" t="str">
        <f>版层分类!F4</f>
        <v>邮箱</v>
      </c>
    </row>
    <row r="15" spans="1:34" x14ac:dyDescent="0.2">
      <c r="A15">
        <v>601</v>
      </c>
      <c r="B15">
        <f>COUNTIF(表_首次要关键词[[#This Row],[列1]:[列31]],"&lt;&gt;")</f>
        <v>18</v>
      </c>
      <c r="C15" t="s">
        <v>882</v>
      </c>
      <c r="D15" t="s">
        <v>1776</v>
      </c>
      <c r="E15" t="s">
        <v>933</v>
      </c>
      <c r="F15" t="s">
        <v>938</v>
      </c>
      <c r="G15" t="s">
        <v>941</v>
      </c>
      <c r="H15" t="s">
        <v>945</v>
      </c>
      <c r="I15" t="s">
        <v>948</v>
      </c>
      <c r="J15" t="s">
        <v>951</v>
      </c>
      <c r="K15" t="s">
        <v>952</v>
      </c>
      <c r="L15" t="s">
        <v>958</v>
      </c>
      <c r="M15" t="s">
        <v>962</v>
      </c>
      <c r="N15" t="s">
        <v>965</v>
      </c>
      <c r="O15" t="s">
        <v>968</v>
      </c>
      <c r="P15" t="s">
        <v>971</v>
      </c>
      <c r="Q15" t="s">
        <v>974</v>
      </c>
      <c r="R15" t="s">
        <v>977</v>
      </c>
      <c r="S15" t="s">
        <v>982</v>
      </c>
      <c r="T15" t="s">
        <v>985</v>
      </c>
      <c r="U15" t="s">
        <v>930</v>
      </c>
    </row>
    <row r="16" spans="1:34" x14ac:dyDescent="0.2">
      <c r="A16">
        <v>602</v>
      </c>
      <c r="B16">
        <f>COUNTIF(表_首次要关键词[[#This Row],[列1]:[列31]],"&lt;&gt;")</f>
        <v>1</v>
      </c>
      <c r="C16" t="s">
        <v>995</v>
      </c>
      <c r="D16" t="s">
        <v>992</v>
      </c>
    </row>
    <row r="17" spans="1:8" x14ac:dyDescent="0.2">
      <c r="A17">
        <v>603</v>
      </c>
      <c r="B17">
        <f>COUNTIF(表_首次要关键词[[#This Row],[列1]:[列31]],"&lt;&gt;")</f>
        <v>0</v>
      </c>
      <c r="C17" t="s">
        <v>1001</v>
      </c>
    </row>
    <row r="18" spans="1:8" x14ac:dyDescent="0.2">
      <c r="A18">
        <v>604</v>
      </c>
      <c r="B18">
        <f>COUNTIF(表_首次要关键词[[#This Row],[列1]:[列31]],"&lt;&gt;")</f>
        <v>0</v>
      </c>
      <c r="C18" t="s">
        <v>1021</v>
      </c>
    </row>
    <row r="19" spans="1:8" x14ac:dyDescent="0.2">
      <c r="A19">
        <v>605</v>
      </c>
      <c r="B19">
        <f>COUNTIF(表_首次要关键词[[#This Row],[列1]:[列31]],"&lt;&gt;")</f>
        <v>3</v>
      </c>
      <c r="C19" t="s">
        <v>1029</v>
      </c>
      <c r="D19" t="s">
        <v>1032</v>
      </c>
      <c r="E19" t="s">
        <v>982</v>
      </c>
      <c r="F19" t="s">
        <v>1039</v>
      </c>
    </row>
    <row r="20" spans="1:8" x14ac:dyDescent="0.2">
      <c r="A20">
        <v>801</v>
      </c>
      <c r="B20">
        <f>COUNTIF(表_首次要关键词[[#This Row],[列1]:[列31]],"&lt;&gt;")</f>
        <v>0</v>
      </c>
      <c r="C20" t="s">
        <v>1043</v>
      </c>
    </row>
    <row r="21" spans="1:8" x14ac:dyDescent="0.2">
      <c r="A21">
        <v>802</v>
      </c>
      <c r="B21">
        <f>COUNTIF(表_首次要关键词[[#This Row],[列1]:[列31]],"&lt;&gt;")</f>
        <v>0</v>
      </c>
      <c r="C21" t="s">
        <v>1062</v>
      </c>
    </row>
    <row r="22" spans="1:8" x14ac:dyDescent="0.2">
      <c r="A22">
        <v>803</v>
      </c>
      <c r="B22">
        <f>COUNTIF(表_首次要关键词[[#This Row],[列1]:[列31]],"&lt;&gt;")</f>
        <v>0</v>
      </c>
      <c r="C22" t="s">
        <v>591</v>
      </c>
    </row>
    <row r="23" spans="1:8" x14ac:dyDescent="0.2">
      <c r="A23">
        <v>900</v>
      </c>
      <c r="B23">
        <f>COUNTIF(表_首次要关键词[[#This Row],[列1]:[列31]],"&lt;&gt;")</f>
        <v>0</v>
      </c>
      <c r="C23" t="s">
        <v>1083</v>
      </c>
    </row>
    <row r="24" spans="1:8" x14ac:dyDescent="0.2">
      <c r="A24">
        <v>901</v>
      </c>
      <c r="B24">
        <f>COUNTIF(表_首次要关键词[[#This Row],[列1]:[列31]],"&lt;&gt;")</f>
        <v>0</v>
      </c>
      <c r="C24" t="s">
        <v>1117</v>
      </c>
    </row>
    <row r="25" spans="1:8" x14ac:dyDescent="0.2">
      <c r="A25">
        <v>902</v>
      </c>
      <c r="B25">
        <f>COUNTIF(表_首次要关键词[[#This Row],[列1]:[列31]],"&lt;&gt;")</f>
        <v>5</v>
      </c>
      <c r="C25" t="s">
        <v>552</v>
      </c>
      <c r="D25" t="s">
        <v>1144</v>
      </c>
      <c r="E25" t="s">
        <v>1162</v>
      </c>
      <c r="F25" t="s">
        <v>1166</v>
      </c>
      <c r="G25" t="s">
        <v>1169</v>
      </c>
      <c r="H25" t="s">
        <v>1819</v>
      </c>
    </row>
    <row r="26" spans="1:8" x14ac:dyDescent="0.2">
      <c r="A26">
        <v>903</v>
      </c>
      <c r="B26">
        <f>COUNTIF(表_首次要关键词[[#This Row],[列1]:[列31]],"&lt;&gt;")</f>
        <v>0</v>
      </c>
      <c r="C26" t="s">
        <v>1173</v>
      </c>
    </row>
    <row r="27" spans="1:8" x14ac:dyDescent="0.2">
      <c r="A27">
        <v>904</v>
      </c>
      <c r="B27">
        <f>COUNTIF(表_首次要关键词[[#This Row],[列1]:[列31]],"&lt;&gt;")</f>
        <v>0</v>
      </c>
      <c r="C27" t="s">
        <v>1189</v>
      </c>
    </row>
    <row r="28" spans="1:8" x14ac:dyDescent="0.2">
      <c r="A28">
        <v>905</v>
      </c>
      <c r="B28">
        <f>COUNTIF(表_首次要关键词[[#This Row],[列1]:[列31]],"&lt;&gt;")</f>
        <v>0</v>
      </c>
      <c r="C28" t="s">
        <v>1196</v>
      </c>
    </row>
    <row r="29" spans="1:8" x14ac:dyDescent="0.2">
      <c r="A29">
        <v>906</v>
      </c>
      <c r="B29">
        <f>COUNTIF(表_首次要关键词[[#This Row],[列1]:[列31]],"&lt;&gt;")</f>
        <v>0</v>
      </c>
      <c r="C29" t="s">
        <v>1222</v>
      </c>
    </row>
    <row r="30" spans="1:8" x14ac:dyDescent="0.2">
      <c r="A30">
        <v>907</v>
      </c>
      <c r="B30">
        <f>COUNTIF(表_首次要关键词[[#This Row],[列1]:[列31]],"&lt;&gt;")</f>
        <v>0</v>
      </c>
      <c r="C30" t="s">
        <v>1226</v>
      </c>
    </row>
    <row r="31" spans="1:8" x14ac:dyDescent="0.2">
      <c r="A31">
        <v>908</v>
      </c>
      <c r="B31">
        <f>COUNTIF(表_首次要关键词[[#This Row],[列1]:[列31]],"&lt;&gt;")</f>
        <v>3</v>
      </c>
      <c r="C31" t="s">
        <v>1253</v>
      </c>
      <c r="D31" t="s">
        <v>1257</v>
      </c>
      <c r="E31" t="s">
        <v>1274</v>
      </c>
      <c r="F31" t="s">
        <v>1278</v>
      </c>
    </row>
    <row r="32" spans="1:8" x14ac:dyDescent="0.2">
      <c r="A32">
        <v>991</v>
      </c>
      <c r="B32">
        <f>COUNTIF(表_首次要关键词[[#This Row],[列1]:[列31]],"&lt;&gt;")</f>
        <v>4</v>
      </c>
      <c r="C32" t="s">
        <v>1279</v>
      </c>
      <c r="D32" t="s">
        <v>1257</v>
      </c>
      <c r="E32" t="s">
        <v>1029</v>
      </c>
      <c r="F32" t="s">
        <v>1524</v>
      </c>
      <c r="G32" t="s">
        <v>1622</v>
      </c>
    </row>
    <row r="33" spans="1:34" x14ac:dyDescent="0.2">
      <c r="A33">
        <v>992</v>
      </c>
      <c r="B33">
        <f>COUNTIF(表_首次要关键词[[#This Row],[列1]:[列31]],"&lt;&gt;")</f>
        <v>8</v>
      </c>
      <c r="C33" t="s">
        <v>1704</v>
      </c>
      <c r="D33" t="s">
        <v>1658</v>
      </c>
      <c r="E33" t="s">
        <v>1649</v>
      </c>
      <c r="F33" t="s">
        <v>1655</v>
      </c>
      <c r="G33" t="s">
        <v>1652</v>
      </c>
      <c r="H33" t="s">
        <v>1646</v>
      </c>
      <c r="I33" t="s">
        <v>1640</v>
      </c>
      <c r="J33" t="s">
        <v>1659</v>
      </c>
      <c r="K33" t="s">
        <v>1643</v>
      </c>
    </row>
    <row r="34" spans="1:34" x14ac:dyDescent="0.2">
      <c r="B34">
        <f>COUNTIF(表_首次要关键词[[#This Row],[列1]:[列31]],"&lt;&gt;")</f>
        <v>31</v>
      </c>
      <c r="C34" t="s">
        <v>1709</v>
      </c>
      <c r="D34" t="s">
        <v>283</v>
      </c>
      <c r="E34" t="s">
        <v>287</v>
      </c>
      <c r="F34" t="s">
        <v>291</v>
      </c>
      <c r="G34" t="s">
        <v>295</v>
      </c>
      <c r="H34" t="s">
        <v>299</v>
      </c>
      <c r="I34" t="s">
        <v>303</v>
      </c>
      <c r="J34" t="s">
        <v>307</v>
      </c>
      <c r="K34" t="s">
        <v>311</v>
      </c>
      <c r="L34" t="s">
        <v>315</v>
      </c>
      <c r="M34" t="s">
        <v>319</v>
      </c>
      <c r="N34" t="s">
        <v>323</v>
      </c>
      <c r="O34" t="s">
        <v>327</v>
      </c>
      <c r="P34" t="s">
        <v>331</v>
      </c>
      <c r="Q34" t="s">
        <v>418</v>
      </c>
      <c r="R34" t="s">
        <v>422</v>
      </c>
      <c r="S34" t="s">
        <v>426</v>
      </c>
      <c r="T34" t="s">
        <v>430</v>
      </c>
      <c r="U34" t="s">
        <v>434</v>
      </c>
      <c r="V34" t="s">
        <v>442</v>
      </c>
      <c r="W34" t="s">
        <v>450</v>
      </c>
      <c r="X34" t="s">
        <v>454</v>
      </c>
      <c r="Y34" t="s">
        <v>458</v>
      </c>
      <c r="Z34" t="s">
        <v>462</v>
      </c>
      <c r="AA34" t="s">
        <v>466</v>
      </c>
      <c r="AB34" t="s">
        <v>470</v>
      </c>
      <c r="AC34" t="s">
        <v>474</v>
      </c>
      <c r="AD34" t="s">
        <v>478</v>
      </c>
      <c r="AE34" t="s">
        <v>482</v>
      </c>
      <c r="AF34" t="s">
        <v>486</v>
      </c>
      <c r="AG34" t="s">
        <v>490</v>
      </c>
      <c r="AH34" t="s">
        <v>494</v>
      </c>
    </row>
    <row r="35" spans="1:34" x14ac:dyDescent="0.2">
      <c r="B35">
        <f>COUNTIF(表_首次要关键词[[#This Row],[列1]:[列31]],"&lt;&gt;")</f>
        <v>0</v>
      </c>
      <c r="C35" t="s">
        <v>1789</v>
      </c>
    </row>
  </sheetData>
  <phoneticPr fontId="1" type="noConversion"/>
  <dataValidations count="1">
    <dataValidation type="list" allowBlank="1" showInputMessage="1" showErrorMessage="1" sqref="D33:S33" xr:uid="{49DC3E5F-F58B-4ACA-A69A-2BA034BF7EEA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A1576-005D-4534-AE8D-49A5B31DF7FA}">
  <sheetPr codeName="Sheet5"/>
  <dimension ref="A1:W159"/>
  <sheetViews>
    <sheetView topLeftCell="A22" workbookViewId="0">
      <selection activeCell="G42" sqref="G42"/>
    </sheetView>
  </sheetViews>
  <sheetFormatPr defaultRowHeight="14.25" x14ac:dyDescent="0.2"/>
  <cols>
    <col min="1" max="2" width="7.25" bestFit="1" customWidth="1"/>
    <col min="3" max="3" width="27.625" bestFit="1" customWidth="1"/>
    <col min="4" max="5" width="13" bestFit="1" customWidth="1"/>
    <col min="8" max="8" width="13" bestFit="1" customWidth="1"/>
    <col min="9" max="9" width="7.125" bestFit="1" customWidth="1"/>
    <col min="11" max="12" width="7.125" bestFit="1" customWidth="1"/>
    <col min="13" max="23" width="7.375" bestFit="1" customWidth="1"/>
  </cols>
  <sheetData>
    <row r="1" spans="1:23" x14ac:dyDescent="0.2">
      <c r="A1" t="s">
        <v>1702</v>
      </c>
      <c r="B1" t="s">
        <v>1690</v>
      </c>
      <c r="C1" t="s">
        <v>1701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</row>
    <row r="2" spans="1:23" s="1" customFormat="1" x14ac:dyDescent="0.2">
      <c r="A2" s="1">
        <v>100</v>
      </c>
      <c r="B2" s="1">
        <f>COUNTIF(表4[[#This Row],[列1]:[列20]],"&lt;&gt;")</f>
        <v>0</v>
      </c>
      <c r="C2" s="1" t="s">
        <v>1698</v>
      </c>
    </row>
    <row r="3" spans="1:23" x14ac:dyDescent="0.2">
      <c r="A3">
        <f t="shared" ref="A3:A35" si="0">A2+1</f>
        <v>101</v>
      </c>
      <c r="B3">
        <f>COUNTIF(表4[[#This Row],[列1]:[列20]],"&lt;&gt;")</f>
        <v>7</v>
      </c>
      <c r="C3" t="s">
        <v>1699</v>
      </c>
      <c r="D3" t="s">
        <v>31</v>
      </c>
      <c r="E3" t="s">
        <v>118</v>
      </c>
      <c r="F3" t="s">
        <v>122</v>
      </c>
      <c r="G3" t="s">
        <v>165</v>
      </c>
      <c r="H3" t="s">
        <v>183</v>
      </c>
      <c r="I3" t="s">
        <v>211</v>
      </c>
      <c r="J3" t="s">
        <v>270</v>
      </c>
    </row>
    <row r="4" spans="1:23" s="1" customFormat="1" x14ac:dyDescent="0.2">
      <c r="A4" s="1">
        <f t="shared" si="0"/>
        <v>102</v>
      </c>
      <c r="B4" s="1">
        <f>COUNTIF(表4[[#This Row],[列1]:[列20]],"&lt;&gt;")</f>
        <v>0</v>
      </c>
      <c r="C4" s="1" t="s">
        <v>1700</v>
      </c>
    </row>
    <row r="5" spans="1:23" x14ac:dyDescent="0.2">
      <c r="A5">
        <f t="shared" si="0"/>
        <v>103</v>
      </c>
      <c r="B5">
        <f>COUNTIF(表4[[#This Row],[列1]:[列20]],"&lt;&gt;")</f>
        <v>0</v>
      </c>
      <c r="C5" t="s">
        <v>283</v>
      </c>
    </row>
    <row r="6" spans="1:23" x14ac:dyDescent="0.2">
      <c r="A6">
        <f t="shared" si="0"/>
        <v>104</v>
      </c>
      <c r="B6">
        <f>COUNTIF(表4[[#This Row],[列1]:[列20]],"&lt;&gt;")</f>
        <v>0</v>
      </c>
      <c r="C6" t="s">
        <v>287</v>
      </c>
    </row>
    <row r="7" spans="1:23" x14ac:dyDescent="0.2">
      <c r="A7">
        <f t="shared" si="0"/>
        <v>105</v>
      </c>
      <c r="B7">
        <f>COUNTIF(表4[[#This Row],[列1]:[列20]],"&lt;&gt;")</f>
        <v>0</v>
      </c>
      <c r="C7" t="s">
        <v>291</v>
      </c>
    </row>
    <row r="8" spans="1:23" x14ac:dyDescent="0.2">
      <c r="A8">
        <f t="shared" si="0"/>
        <v>106</v>
      </c>
      <c r="B8">
        <f>COUNTIF(表4[[#This Row],[列1]:[列20]],"&lt;&gt;")</f>
        <v>0</v>
      </c>
      <c r="C8" t="s">
        <v>295</v>
      </c>
    </row>
    <row r="9" spans="1:23" x14ac:dyDescent="0.2">
      <c r="A9">
        <f t="shared" si="0"/>
        <v>107</v>
      </c>
      <c r="B9">
        <f>COUNTIF(表4[[#This Row],[列1]:[列20]],"&lt;&gt;")</f>
        <v>0</v>
      </c>
      <c r="C9" t="s">
        <v>299</v>
      </c>
    </row>
    <row r="10" spans="1:23" x14ac:dyDescent="0.2">
      <c r="A10">
        <f t="shared" si="0"/>
        <v>108</v>
      </c>
      <c r="B10">
        <f>COUNTIF(表4[[#This Row],[列1]:[列20]],"&lt;&gt;")</f>
        <v>0</v>
      </c>
      <c r="C10" t="s">
        <v>303</v>
      </c>
    </row>
    <row r="11" spans="1:23" x14ac:dyDescent="0.2">
      <c r="A11">
        <f t="shared" si="0"/>
        <v>109</v>
      </c>
      <c r="B11">
        <f>COUNTIF(表4[[#This Row],[列1]:[列20]],"&lt;&gt;")</f>
        <v>0</v>
      </c>
      <c r="C11" t="s">
        <v>307</v>
      </c>
    </row>
    <row r="12" spans="1:23" x14ac:dyDescent="0.2">
      <c r="A12">
        <f t="shared" si="0"/>
        <v>110</v>
      </c>
      <c r="B12">
        <f>COUNTIF(表4[[#This Row],[列1]:[列20]],"&lt;&gt;")</f>
        <v>7</v>
      </c>
      <c r="C12" t="s">
        <v>311</v>
      </c>
      <c r="D12" t="s">
        <v>1712</v>
      </c>
      <c r="E12" t="s">
        <v>1713</v>
      </c>
      <c r="F12" t="s">
        <v>1715</v>
      </c>
      <c r="G12" t="s">
        <v>1717</v>
      </c>
      <c r="H12" t="s">
        <v>1719</v>
      </c>
      <c r="I12" t="s">
        <v>1721</v>
      </c>
      <c r="J12" t="s">
        <v>1723</v>
      </c>
    </row>
    <row r="13" spans="1:23" x14ac:dyDescent="0.2">
      <c r="A13">
        <f t="shared" si="0"/>
        <v>111</v>
      </c>
      <c r="B13">
        <f>COUNTIF(表4[[#This Row],[列1]:[列20]],"&lt;&gt;")</f>
        <v>0</v>
      </c>
      <c r="C13" t="s">
        <v>315</v>
      </c>
    </row>
    <row r="14" spans="1:23" x14ac:dyDescent="0.2">
      <c r="A14">
        <f t="shared" si="0"/>
        <v>112</v>
      </c>
      <c r="B14">
        <f>COUNTIF(表4[[#This Row],[列1]:[列20]],"&lt;&gt;")</f>
        <v>0</v>
      </c>
      <c r="C14" t="s">
        <v>319</v>
      </c>
    </row>
    <row r="15" spans="1:23" x14ac:dyDescent="0.2">
      <c r="A15">
        <f t="shared" si="0"/>
        <v>113</v>
      </c>
      <c r="B15">
        <f>COUNTIF(表4[[#This Row],[列1]:[列20]],"&lt;&gt;")</f>
        <v>0</v>
      </c>
      <c r="C15" t="s">
        <v>323</v>
      </c>
    </row>
    <row r="16" spans="1:23" x14ac:dyDescent="0.2">
      <c r="A16">
        <f t="shared" si="0"/>
        <v>114</v>
      </c>
      <c r="B16">
        <f>COUNTIF(表4[[#This Row],[列1]:[列20]],"&lt;&gt;")</f>
        <v>0</v>
      </c>
      <c r="C16" t="s">
        <v>327</v>
      </c>
    </row>
    <row r="17" spans="1:23" x14ac:dyDescent="0.2">
      <c r="A17">
        <f t="shared" si="0"/>
        <v>115</v>
      </c>
      <c r="B17">
        <f>COUNTIF(表4[[#This Row],[列1]:[列20]],"&lt;&gt;")</f>
        <v>20</v>
      </c>
      <c r="C17" t="s">
        <v>331</v>
      </c>
      <c r="D17" t="s">
        <v>335</v>
      </c>
      <c r="E17" t="s">
        <v>339</v>
      </c>
      <c r="F17" t="s">
        <v>343</v>
      </c>
      <c r="G17" t="s">
        <v>347</v>
      </c>
      <c r="H17" t="s">
        <v>354</v>
      </c>
      <c r="I17" t="s">
        <v>358</v>
      </c>
      <c r="J17" t="s">
        <v>362</v>
      </c>
      <c r="K17" t="s">
        <v>366</v>
      </c>
      <c r="L17" t="s">
        <v>370</v>
      </c>
      <c r="M17" t="s">
        <v>374</v>
      </c>
      <c r="N17" t="s">
        <v>378</v>
      </c>
      <c r="O17" t="s">
        <v>382</v>
      </c>
      <c r="P17" t="s">
        <v>386</v>
      </c>
      <c r="Q17" t="s">
        <v>390</v>
      </c>
      <c r="R17" t="s">
        <v>394</v>
      </c>
      <c r="S17" t="s">
        <v>398</v>
      </c>
      <c r="T17" t="s">
        <v>402</v>
      </c>
      <c r="U17" t="s">
        <v>406</v>
      </c>
      <c r="V17" t="s">
        <v>410</v>
      </c>
      <c r="W17" t="s">
        <v>414</v>
      </c>
    </row>
    <row r="18" spans="1:23" x14ac:dyDescent="0.2">
      <c r="A18">
        <f t="shared" si="0"/>
        <v>116</v>
      </c>
      <c r="B18">
        <f>COUNTIF(表4[[#This Row],[列1]:[列20]],"&lt;&gt;")</f>
        <v>0</v>
      </c>
      <c r="C18" t="s">
        <v>418</v>
      </c>
    </row>
    <row r="19" spans="1:23" x14ac:dyDescent="0.2">
      <c r="A19">
        <f t="shared" si="0"/>
        <v>117</v>
      </c>
      <c r="B19">
        <f>COUNTIF(表4[[#This Row],[列1]:[列20]],"&lt;&gt;")</f>
        <v>0</v>
      </c>
      <c r="C19" t="s">
        <v>422</v>
      </c>
    </row>
    <row r="20" spans="1:23" x14ac:dyDescent="0.2">
      <c r="A20">
        <f t="shared" si="0"/>
        <v>118</v>
      </c>
      <c r="B20">
        <f>COUNTIF(表4[[#This Row],[列1]:[列20]],"&lt;&gt;")</f>
        <v>0</v>
      </c>
      <c r="C20" t="s">
        <v>426</v>
      </c>
    </row>
    <row r="21" spans="1:23" x14ac:dyDescent="0.2">
      <c r="A21">
        <f t="shared" si="0"/>
        <v>119</v>
      </c>
      <c r="B21">
        <f>COUNTIF(表4[[#This Row],[列1]:[列20]],"&lt;&gt;")</f>
        <v>0</v>
      </c>
      <c r="C21" t="s">
        <v>430</v>
      </c>
    </row>
    <row r="22" spans="1:23" x14ac:dyDescent="0.2">
      <c r="A22">
        <f t="shared" si="0"/>
        <v>120</v>
      </c>
      <c r="B22">
        <f>COUNTIF(表4[[#This Row],[列1]:[列20]],"&lt;&gt;")</f>
        <v>1</v>
      </c>
      <c r="C22" t="s">
        <v>434</v>
      </c>
      <c r="D22" t="s">
        <v>438</v>
      </c>
    </row>
    <row r="23" spans="1:23" x14ac:dyDescent="0.2">
      <c r="A23">
        <f t="shared" si="0"/>
        <v>121</v>
      </c>
      <c r="B23">
        <f>COUNTIF(表4[[#This Row],[列1]:[列20]],"&lt;&gt;")</f>
        <v>1</v>
      </c>
      <c r="C23" t="s">
        <v>442</v>
      </c>
      <c r="D23" t="s">
        <v>446</v>
      </c>
    </row>
    <row r="24" spans="1:23" x14ac:dyDescent="0.2">
      <c r="A24">
        <f t="shared" si="0"/>
        <v>122</v>
      </c>
      <c r="B24">
        <f>COUNTIF(表4[[#This Row],[列1]:[列20]],"&lt;&gt;")</f>
        <v>0</v>
      </c>
      <c r="C24" t="s">
        <v>450</v>
      </c>
    </row>
    <row r="25" spans="1:23" x14ac:dyDescent="0.2">
      <c r="A25">
        <f t="shared" si="0"/>
        <v>123</v>
      </c>
      <c r="B25">
        <f>COUNTIF(表4[[#This Row],[列1]:[列20]],"&lt;&gt;")</f>
        <v>0</v>
      </c>
      <c r="C25" t="s">
        <v>454</v>
      </c>
    </row>
    <row r="26" spans="1:23" x14ac:dyDescent="0.2">
      <c r="A26">
        <f t="shared" si="0"/>
        <v>124</v>
      </c>
      <c r="B26">
        <f>COUNTIF(表4[[#This Row],[列1]:[列20]],"&lt;&gt;")</f>
        <v>0</v>
      </c>
      <c r="C26" t="s">
        <v>458</v>
      </c>
    </row>
    <row r="27" spans="1:23" x14ac:dyDescent="0.2">
      <c r="A27">
        <f t="shared" si="0"/>
        <v>125</v>
      </c>
      <c r="B27">
        <f>COUNTIF(表4[[#This Row],[列1]:[列20]],"&lt;&gt;")</f>
        <v>0</v>
      </c>
      <c r="C27" t="s">
        <v>462</v>
      </c>
    </row>
    <row r="28" spans="1:23" x14ac:dyDescent="0.2">
      <c r="A28">
        <f t="shared" si="0"/>
        <v>126</v>
      </c>
      <c r="B28">
        <f>COUNTIF(表4[[#This Row],[列1]:[列20]],"&lt;&gt;")</f>
        <v>0</v>
      </c>
      <c r="C28" t="s">
        <v>466</v>
      </c>
    </row>
    <row r="29" spans="1:23" x14ac:dyDescent="0.2">
      <c r="A29">
        <f t="shared" si="0"/>
        <v>127</v>
      </c>
      <c r="B29">
        <f>COUNTIF(表4[[#This Row],[列1]:[列20]],"&lt;&gt;")</f>
        <v>0</v>
      </c>
      <c r="C29" t="s">
        <v>470</v>
      </c>
    </row>
    <row r="30" spans="1:23" x14ac:dyDescent="0.2">
      <c r="A30">
        <f t="shared" si="0"/>
        <v>128</v>
      </c>
      <c r="B30">
        <f>COUNTIF(表4[[#This Row],[列1]:[列20]],"&lt;&gt;")</f>
        <v>0</v>
      </c>
      <c r="C30" t="s">
        <v>474</v>
      </c>
    </row>
    <row r="31" spans="1:23" x14ac:dyDescent="0.2">
      <c r="A31">
        <f t="shared" si="0"/>
        <v>129</v>
      </c>
      <c r="B31">
        <f>COUNTIF(表4[[#This Row],[列1]:[列20]],"&lt;&gt;")</f>
        <v>0</v>
      </c>
      <c r="C31" t="s">
        <v>478</v>
      </c>
    </row>
    <row r="32" spans="1:23" x14ac:dyDescent="0.2">
      <c r="A32">
        <f t="shared" si="0"/>
        <v>130</v>
      </c>
      <c r="B32">
        <f>COUNTIF(表4[[#This Row],[列1]:[列20]],"&lt;&gt;")</f>
        <v>0</v>
      </c>
      <c r="C32" t="s">
        <v>482</v>
      </c>
    </row>
    <row r="33" spans="1:7" x14ac:dyDescent="0.2">
      <c r="A33">
        <f t="shared" si="0"/>
        <v>131</v>
      </c>
      <c r="B33">
        <f>COUNTIF(表4[[#This Row],[列1]:[列20]],"&lt;&gt;")</f>
        <v>0</v>
      </c>
      <c r="C33" t="s">
        <v>486</v>
      </c>
    </row>
    <row r="34" spans="1:7" x14ac:dyDescent="0.2">
      <c r="A34">
        <f t="shared" si="0"/>
        <v>132</v>
      </c>
      <c r="B34">
        <f>COUNTIF(表4[[#This Row],[列1]:[列20]],"&lt;&gt;")</f>
        <v>0</v>
      </c>
      <c r="C34" t="s">
        <v>490</v>
      </c>
    </row>
    <row r="35" spans="1:7" x14ac:dyDescent="0.2">
      <c r="A35">
        <f t="shared" si="0"/>
        <v>133</v>
      </c>
      <c r="B35">
        <f>COUNTIF(表4[[#This Row],[列1]:[列20]],"&lt;&gt;")</f>
        <v>0</v>
      </c>
      <c r="C35" t="s">
        <v>494</v>
      </c>
    </row>
    <row r="36" spans="1:7" s="1" customFormat="1" x14ac:dyDescent="0.2">
      <c r="A36" s="3">
        <f>A35+1</f>
        <v>134</v>
      </c>
      <c r="B36" s="3">
        <f>COUNTIF(表4[[#This Row],[列1]:[列20]],"&lt;&gt;")</f>
        <v>0</v>
      </c>
      <c r="C36" s="1" t="s">
        <v>498</v>
      </c>
    </row>
    <row r="37" spans="1:7" x14ac:dyDescent="0.2">
      <c r="A37" s="2">
        <f>A36+1</f>
        <v>135</v>
      </c>
      <c r="B37" s="2">
        <f>COUNTIF(表4[[#This Row],[列1]:[列20]],"&lt;&gt;")</f>
        <v>2</v>
      </c>
      <c r="C37" t="s">
        <v>1793</v>
      </c>
      <c r="D37" t="s">
        <v>1795</v>
      </c>
      <c r="E37" t="s">
        <v>1794</v>
      </c>
    </row>
    <row r="38" spans="1:7" x14ac:dyDescent="0.2">
      <c r="A38" s="2">
        <f>A37+1</f>
        <v>136</v>
      </c>
      <c r="B38" s="2">
        <f>COUNTIF(表4[[#This Row],[列1]:[列20]],"&lt;&gt;")</f>
        <v>0</v>
      </c>
      <c r="C38" t="s">
        <v>1794</v>
      </c>
    </row>
    <row r="39" spans="1:7" s="1" customFormat="1" x14ac:dyDescent="0.2">
      <c r="A39" s="3">
        <f t="shared" ref="A39" si="1">A37+1</f>
        <v>136</v>
      </c>
      <c r="B39" s="3">
        <f>COUNTIF(表4[[#This Row],[列1]:[列20]],"&lt;&gt;")</f>
        <v>0</v>
      </c>
      <c r="C39" s="1" t="s">
        <v>573</v>
      </c>
    </row>
    <row r="40" spans="1:7" x14ac:dyDescent="0.2">
      <c r="A40" s="2">
        <f>A39+1</f>
        <v>137</v>
      </c>
      <c r="B40" s="2">
        <f>COUNTIF(表4[[#This Row],[列1]:[列20]],"&lt;&gt;")</f>
        <v>0</v>
      </c>
      <c r="C40" t="s">
        <v>1754</v>
      </c>
    </row>
    <row r="41" spans="1:7" x14ac:dyDescent="0.2">
      <c r="A41" s="2">
        <f t="shared" ref="A41:A47" si="2">A40+1</f>
        <v>138</v>
      </c>
      <c r="B41" s="2">
        <f>COUNTIF(表4[[#This Row],[列1]:[列20]],"&lt;&gt;")</f>
        <v>0</v>
      </c>
      <c r="C41" t="s">
        <v>1756</v>
      </c>
    </row>
    <row r="42" spans="1:7" x14ac:dyDescent="0.2">
      <c r="A42" s="2">
        <f t="shared" si="2"/>
        <v>139</v>
      </c>
      <c r="B42" s="2">
        <f>COUNTIF(表4[[#This Row],[列1]:[列20]],"&lt;&gt;")</f>
        <v>4</v>
      </c>
      <c r="C42" t="s">
        <v>1881</v>
      </c>
      <c r="D42" t="s">
        <v>1882</v>
      </c>
      <c r="E42" t="s">
        <v>1884</v>
      </c>
      <c r="F42" t="s">
        <v>1886</v>
      </c>
      <c r="G42" t="s">
        <v>1889</v>
      </c>
    </row>
    <row r="43" spans="1:7" x14ac:dyDescent="0.2">
      <c r="A43" s="2">
        <f t="shared" si="2"/>
        <v>140</v>
      </c>
      <c r="B43" s="2">
        <f>COUNTIF(表4[[#This Row],[列1]:[列20]],"&lt;&gt;")</f>
        <v>1</v>
      </c>
      <c r="C43" t="s">
        <v>1877</v>
      </c>
      <c r="D43" t="s">
        <v>1879</v>
      </c>
    </row>
    <row r="44" spans="1:7" x14ac:dyDescent="0.2">
      <c r="A44" s="2">
        <f t="shared" si="2"/>
        <v>141</v>
      </c>
      <c r="B44" s="2">
        <f>COUNTIF(表4[[#This Row],[列1]:[列20]],"&lt;&gt;")</f>
        <v>0</v>
      </c>
      <c r="C44" t="s">
        <v>1874</v>
      </c>
    </row>
    <row r="45" spans="1:7" x14ac:dyDescent="0.2">
      <c r="A45" s="2">
        <f t="shared" si="2"/>
        <v>142</v>
      </c>
      <c r="B45" s="2">
        <f>COUNTIF(表4[[#This Row],[列1]:[列20]],"&lt;&gt;")</f>
        <v>0</v>
      </c>
      <c r="C45" t="s">
        <v>1868</v>
      </c>
    </row>
    <row r="46" spans="1:7" x14ac:dyDescent="0.2">
      <c r="A46" s="2">
        <f t="shared" si="2"/>
        <v>143</v>
      </c>
      <c r="B46" s="2">
        <f>COUNTIF(表4[[#This Row],[列1]:[列20]],"&lt;&gt;")</f>
        <v>0</v>
      </c>
      <c r="C46" t="s">
        <v>1866</v>
      </c>
    </row>
    <row r="47" spans="1:7" x14ac:dyDescent="0.2">
      <c r="A47" s="2">
        <f t="shared" si="2"/>
        <v>144</v>
      </c>
      <c r="B47" s="2"/>
      <c r="C47" t="s">
        <v>1872</v>
      </c>
    </row>
    <row r="48" spans="1:7" s="1" customFormat="1" x14ac:dyDescent="0.2">
      <c r="A48" s="3">
        <f>A39+1</f>
        <v>137</v>
      </c>
      <c r="B48" s="3">
        <f>COUNTIF(表4[[#This Row],[列1]:[列20]],"&lt;&gt;")</f>
        <v>0</v>
      </c>
      <c r="C48" s="1" t="s">
        <v>1724</v>
      </c>
    </row>
    <row r="49" spans="1:23" x14ac:dyDescent="0.2">
      <c r="A49">
        <f t="shared" ref="A49:A56" si="3">A48+1</f>
        <v>138</v>
      </c>
      <c r="B49">
        <f>COUNTIF(表4[[#This Row],[列1]:[列20]],"&lt;&gt;")</f>
        <v>0</v>
      </c>
      <c r="C49" t="s">
        <v>283</v>
      </c>
    </row>
    <row r="50" spans="1:23" x14ac:dyDescent="0.2">
      <c r="A50">
        <f t="shared" si="3"/>
        <v>139</v>
      </c>
      <c r="B50">
        <f>COUNTIF(表4[[#This Row],[列1]:[列20]],"&lt;&gt;")</f>
        <v>0</v>
      </c>
      <c r="C50" t="s">
        <v>287</v>
      </c>
    </row>
    <row r="51" spans="1:23" x14ac:dyDescent="0.2">
      <c r="A51">
        <f t="shared" si="3"/>
        <v>140</v>
      </c>
      <c r="B51">
        <f>COUNTIF(表4[[#This Row],[列1]:[列20]],"&lt;&gt;")</f>
        <v>0</v>
      </c>
      <c r="C51" t="s">
        <v>291</v>
      </c>
    </row>
    <row r="52" spans="1:23" x14ac:dyDescent="0.2">
      <c r="A52">
        <f t="shared" si="3"/>
        <v>141</v>
      </c>
      <c r="B52">
        <f>COUNTIF(表4[[#This Row],[列1]:[列20]],"&lt;&gt;")</f>
        <v>0</v>
      </c>
      <c r="C52" t="s">
        <v>295</v>
      </c>
    </row>
    <row r="53" spans="1:23" x14ac:dyDescent="0.2">
      <c r="A53">
        <f t="shared" si="3"/>
        <v>142</v>
      </c>
      <c r="B53">
        <f>COUNTIF(表4[[#This Row],[列1]:[列20]],"&lt;&gt;")</f>
        <v>0</v>
      </c>
      <c r="C53" t="s">
        <v>299</v>
      </c>
    </row>
    <row r="54" spans="1:23" x14ac:dyDescent="0.2">
      <c r="A54">
        <f t="shared" si="3"/>
        <v>143</v>
      </c>
      <c r="B54">
        <f>COUNTIF(表4[[#This Row],[列1]:[列20]],"&lt;&gt;")</f>
        <v>0</v>
      </c>
      <c r="C54" t="s">
        <v>303</v>
      </c>
    </row>
    <row r="55" spans="1:23" x14ac:dyDescent="0.2">
      <c r="A55">
        <f t="shared" si="3"/>
        <v>144</v>
      </c>
      <c r="B55">
        <f>COUNTIF(表4[[#This Row],[列1]:[列20]],"&lt;&gt;")</f>
        <v>0</v>
      </c>
      <c r="C55" t="s">
        <v>307</v>
      </c>
    </row>
    <row r="56" spans="1:23" x14ac:dyDescent="0.2">
      <c r="A56">
        <f t="shared" si="3"/>
        <v>145</v>
      </c>
      <c r="B56">
        <f>COUNTIF(表4[[#This Row],[列1]:[列20]],"&lt;&gt;")</f>
        <v>7</v>
      </c>
      <c r="C56" t="s">
        <v>311</v>
      </c>
      <c r="D56" t="s">
        <v>1711</v>
      </c>
      <c r="E56" t="s">
        <v>1713</v>
      </c>
      <c r="F56" t="s">
        <v>1714</v>
      </c>
      <c r="G56" t="s">
        <v>1716</v>
      </c>
      <c r="H56" t="s">
        <v>1718</v>
      </c>
      <c r="I56" t="s">
        <v>1720</v>
      </c>
      <c r="J56" t="s">
        <v>1722</v>
      </c>
    </row>
    <row r="57" spans="1:23" x14ac:dyDescent="0.2">
      <c r="A57">
        <f>A48+1</f>
        <v>138</v>
      </c>
      <c r="B57">
        <f>COUNTIF(表4[[#This Row],[列1]:[列20]],"&lt;&gt;")</f>
        <v>0</v>
      </c>
      <c r="C57" t="s">
        <v>315</v>
      </c>
    </row>
    <row r="58" spans="1:23" x14ac:dyDescent="0.2">
      <c r="A58">
        <f t="shared" ref="A58:A64" si="4">A57+1</f>
        <v>139</v>
      </c>
      <c r="B58">
        <f>COUNTIF(表4[[#This Row],[列1]:[列20]],"&lt;&gt;")</f>
        <v>0</v>
      </c>
      <c r="C58" t="s">
        <v>319</v>
      </c>
    </row>
    <row r="59" spans="1:23" x14ac:dyDescent="0.2">
      <c r="A59">
        <f t="shared" si="4"/>
        <v>140</v>
      </c>
      <c r="B59">
        <f>COUNTIF(表4[[#This Row],[列1]:[列20]],"&lt;&gt;")</f>
        <v>0</v>
      </c>
      <c r="C59" t="s">
        <v>323</v>
      </c>
    </row>
    <row r="60" spans="1:23" x14ac:dyDescent="0.2">
      <c r="A60">
        <f t="shared" si="4"/>
        <v>141</v>
      </c>
      <c r="B60">
        <f>COUNTIF(表4[[#This Row],[列1]:[列20]],"&lt;&gt;")</f>
        <v>0</v>
      </c>
      <c r="C60" t="s">
        <v>327</v>
      </c>
    </row>
    <row r="61" spans="1:23" x14ac:dyDescent="0.2">
      <c r="A61">
        <f t="shared" si="4"/>
        <v>142</v>
      </c>
      <c r="B61">
        <f>COUNTIF(表4[[#This Row],[列1]:[列20]],"&lt;&gt;")</f>
        <v>20</v>
      </c>
      <c r="C61" t="s">
        <v>331</v>
      </c>
      <c r="D61" t="s">
        <v>335</v>
      </c>
      <c r="E61" t="s">
        <v>339</v>
      </c>
      <c r="F61" t="s">
        <v>343</v>
      </c>
      <c r="G61" t="s">
        <v>347</v>
      </c>
      <c r="H61" t="s">
        <v>354</v>
      </c>
      <c r="I61" t="s">
        <v>358</v>
      </c>
      <c r="J61" t="s">
        <v>362</v>
      </c>
      <c r="K61" t="s">
        <v>366</v>
      </c>
      <c r="L61" t="s">
        <v>370</v>
      </c>
      <c r="M61" t="s">
        <v>374</v>
      </c>
      <c r="N61" t="s">
        <v>378</v>
      </c>
      <c r="O61" t="s">
        <v>382</v>
      </c>
      <c r="P61" t="s">
        <v>386</v>
      </c>
      <c r="Q61" t="s">
        <v>390</v>
      </c>
      <c r="R61" t="s">
        <v>394</v>
      </c>
      <c r="S61" t="s">
        <v>398</v>
      </c>
      <c r="T61" t="s">
        <v>402</v>
      </c>
      <c r="U61" t="s">
        <v>406</v>
      </c>
      <c r="V61" t="s">
        <v>410</v>
      </c>
      <c r="W61" t="s">
        <v>414</v>
      </c>
    </row>
    <row r="62" spans="1:23" x14ac:dyDescent="0.2">
      <c r="A62">
        <f t="shared" si="4"/>
        <v>143</v>
      </c>
      <c r="B62">
        <f>COUNTIF(表4[[#This Row],[列1]:[列20]],"&lt;&gt;")</f>
        <v>0</v>
      </c>
      <c r="C62" t="s">
        <v>418</v>
      </c>
    </row>
    <row r="63" spans="1:23" x14ac:dyDescent="0.2">
      <c r="A63">
        <f t="shared" si="4"/>
        <v>144</v>
      </c>
      <c r="B63">
        <f>COUNTIF(表4[[#This Row],[列1]:[列20]],"&lt;&gt;")</f>
        <v>0</v>
      </c>
      <c r="C63" t="s">
        <v>422</v>
      </c>
    </row>
    <row r="64" spans="1:23" x14ac:dyDescent="0.2">
      <c r="A64">
        <f t="shared" si="4"/>
        <v>145</v>
      </c>
      <c r="B64">
        <f>COUNTIF(表4[[#This Row],[列1]:[列20]],"&lt;&gt;")</f>
        <v>0</v>
      </c>
      <c r="C64" t="s">
        <v>426</v>
      </c>
    </row>
    <row r="65" spans="1:4" x14ac:dyDescent="0.2">
      <c r="A65">
        <f>A48+1</f>
        <v>138</v>
      </c>
      <c r="B65">
        <f>COUNTIF(表4[[#This Row],[列1]:[列20]],"&lt;&gt;")</f>
        <v>0</v>
      </c>
      <c r="C65" t="s">
        <v>430</v>
      </c>
    </row>
    <row r="66" spans="1:4" x14ac:dyDescent="0.2">
      <c r="A66">
        <f t="shared" ref="A66:A72" si="5">A65+1</f>
        <v>139</v>
      </c>
      <c r="B66">
        <f>COUNTIF(表4[[#This Row],[列1]:[列20]],"&lt;&gt;")</f>
        <v>1</v>
      </c>
      <c r="C66" t="s">
        <v>434</v>
      </c>
      <c r="D66" t="s">
        <v>438</v>
      </c>
    </row>
    <row r="67" spans="1:4" x14ac:dyDescent="0.2">
      <c r="A67">
        <f t="shared" si="5"/>
        <v>140</v>
      </c>
      <c r="B67">
        <f>COUNTIF(表4[[#This Row],[列1]:[列20]],"&lt;&gt;")</f>
        <v>1</v>
      </c>
      <c r="C67" t="s">
        <v>442</v>
      </c>
      <c r="D67" t="s">
        <v>446</v>
      </c>
    </row>
    <row r="68" spans="1:4" x14ac:dyDescent="0.2">
      <c r="A68">
        <f t="shared" si="5"/>
        <v>141</v>
      </c>
      <c r="B68">
        <f>COUNTIF(表4[[#This Row],[列1]:[列20]],"&lt;&gt;")</f>
        <v>0</v>
      </c>
      <c r="C68" t="s">
        <v>450</v>
      </c>
    </row>
    <row r="69" spans="1:4" x14ac:dyDescent="0.2">
      <c r="A69">
        <f t="shared" si="5"/>
        <v>142</v>
      </c>
      <c r="B69">
        <f>COUNTIF(表4[[#This Row],[列1]:[列20]],"&lt;&gt;")</f>
        <v>0</v>
      </c>
      <c r="C69" t="s">
        <v>454</v>
      </c>
    </row>
    <row r="70" spans="1:4" x14ac:dyDescent="0.2">
      <c r="A70">
        <f t="shared" si="5"/>
        <v>143</v>
      </c>
      <c r="B70">
        <f>COUNTIF(表4[[#This Row],[列1]:[列20]],"&lt;&gt;")</f>
        <v>0</v>
      </c>
      <c r="C70" t="s">
        <v>458</v>
      </c>
    </row>
    <row r="71" spans="1:4" x14ac:dyDescent="0.2">
      <c r="A71">
        <f t="shared" si="5"/>
        <v>144</v>
      </c>
      <c r="B71">
        <f>COUNTIF(表4[[#This Row],[列1]:[列20]],"&lt;&gt;")</f>
        <v>0</v>
      </c>
      <c r="C71" t="s">
        <v>462</v>
      </c>
    </row>
    <row r="72" spans="1:4" x14ac:dyDescent="0.2">
      <c r="A72">
        <f t="shared" si="5"/>
        <v>145</v>
      </c>
      <c r="B72">
        <f>COUNTIF(表4[[#This Row],[列1]:[列20]],"&lt;&gt;")</f>
        <v>0</v>
      </c>
      <c r="C72" t="s">
        <v>466</v>
      </c>
    </row>
    <row r="73" spans="1:4" x14ac:dyDescent="0.2">
      <c r="A73">
        <f>A48+1</f>
        <v>138</v>
      </c>
      <c r="B73">
        <f>COUNTIF(表4[[#This Row],[列1]:[列20]],"&lt;&gt;")</f>
        <v>0</v>
      </c>
      <c r="C73" t="s">
        <v>470</v>
      </c>
    </row>
    <row r="74" spans="1:4" x14ac:dyDescent="0.2">
      <c r="A74">
        <f t="shared" ref="A74:A79" si="6">A73+1</f>
        <v>139</v>
      </c>
      <c r="B74">
        <f>COUNTIF(表4[[#This Row],[列1]:[列20]],"&lt;&gt;")</f>
        <v>0</v>
      </c>
      <c r="C74" t="s">
        <v>474</v>
      </c>
    </row>
    <row r="75" spans="1:4" x14ac:dyDescent="0.2">
      <c r="A75">
        <f t="shared" si="6"/>
        <v>140</v>
      </c>
      <c r="B75">
        <f>COUNTIF(表4[[#This Row],[列1]:[列20]],"&lt;&gt;")</f>
        <v>0</v>
      </c>
      <c r="C75" t="s">
        <v>478</v>
      </c>
    </row>
    <row r="76" spans="1:4" x14ac:dyDescent="0.2">
      <c r="A76">
        <f t="shared" si="6"/>
        <v>141</v>
      </c>
      <c r="B76">
        <f>COUNTIF(表4[[#This Row],[列1]:[列20]],"&lt;&gt;")</f>
        <v>0</v>
      </c>
      <c r="C76" t="s">
        <v>482</v>
      </c>
    </row>
    <row r="77" spans="1:4" x14ac:dyDescent="0.2">
      <c r="A77">
        <f t="shared" si="6"/>
        <v>142</v>
      </c>
      <c r="B77">
        <f>COUNTIF(表4[[#This Row],[列1]:[列20]],"&lt;&gt;")</f>
        <v>0</v>
      </c>
      <c r="C77" t="s">
        <v>486</v>
      </c>
    </row>
    <row r="78" spans="1:4" x14ac:dyDescent="0.2">
      <c r="A78">
        <f t="shared" si="6"/>
        <v>143</v>
      </c>
      <c r="B78">
        <f>COUNTIF(表4[[#This Row],[列1]:[列20]],"&lt;&gt;")</f>
        <v>0</v>
      </c>
      <c r="C78" t="s">
        <v>490</v>
      </c>
    </row>
    <row r="79" spans="1:4" x14ac:dyDescent="0.2">
      <c r="A79">
        <f t="shared" si="6"/>
        <v>144</v>
      </c>
      <c r="B79">
        <f>COUNTIF(表4[[#This Row],[列1]:[列20]],"&lt;&gt;")</f>
        <v>0</v>
      </c>
      <c r="C79" t="s">
        <v>494</v>
      </c>
    </row>
    <row r="80" spans="1:4" s="1" customFormat="1" x14ac:dyDescent="0.2">
      <c r="A80" s="3">
        <f>A27+1</f>
        <v>126</v>
      </c>
      <c r="B80" s="3">
        <f>COUNTIF(表4[[#This Row],[列1]:[列20]],"&lt;&gt;")</f>
        <v>0</v>
      </c>
      <c r="C80" s="1" t="s">
        <v>594</v>
      </c>
    </row>
    <row r="81" spans="1:3" s="1" customFormat="1" x14ac:dyDescent="0.2">
      <c r="A81" s="3">
        <f t="shared" ref="A81:A145" si="7">A80+1</f>
        <v>127</v>
      </c>
      <c r="B81" s="3">
        <f>COUNTIF(表4[[#This Row],[列1]:[列20]],"&lt;&gt;")</f>
        <v>0</v>
      </c>
      <c r="C81" s="1" t="s">
        <v>604</v>
      </c>
    </row>
    <row r="82" spans="1:3" s="1" customFormat="1" x14ac:dyDescent="0.2">
      <c r="A82" s="3">
        <f t="shared" si="7"/>
        <v>128</v>
      </c>
      <c r="B82" s="3">
        <f>COUNTIF(表4[[#This Row],[列1]:[列20]],"&lt;&gt;")</f>
        <v>0</v>
      </c>
      <c r="C82" s="1" t="s">
        <v>645</v>
      </c>
    </row>
    <row r="83" spans="1:3" s="1" customFormat="1" x14ac:dyDescent="0.2">
      <c r="A83" s="3">
        <f t="shared" si="7"/>
        <v>129</v>
      </c>
      <c r="B83" s="3">
        <f>COUNTIF(表4[[#This Row],[列1]:[列20]],"&lt;&gt;")</f>
        <v>0</v>
      </c>
      <c r="C83" s="1" t="s">
        <v>569</v>
      </c>
    </row>
    <row r="84" spans="1:3" s="1" customFormat="1" x14ac:dyDescent="0.2">
      <c r="A84" s="3">
        <f t="shared" si="7"/>
        <v>130</v>
      </c>
      <c r="B84" s="3">
        <f>COUNTIF(表4[[#This Row],[列1]:[列20]],"&lt;&gt;")</f>
        <v>0</v>
      </c>
      <c r="C84" s="1" t="s">
        <v>1751</v>
      </c>
    </row>
    <row r="85" spans="1:3" s="1" customFormat="1" x14ac:dyDescent="0.2">
      <c r="A85" s="3">
        <f t="shared" si="7"/>
        <v>131</v>
      </c>
      <c r="B85" s="3">
        <f>COUNTIF(表4[[#This Row],[列1]:[列20]],"&lt;&gt;")</f>
        <v>0</v>
      </c>
      <c r="C85" s="1" t="s">
        <v>1752</v>
      </c>
    </row>
    <row r="86" spans="1:3" s="1" customFormat="1" x14ac:dyDescent="0.2">
      <c r="A86" s="3">
        <f t="shared" si="7"/>
        <v>132</v>
      </c>
      <c r="B86" s="3">
        <f>COUNTIF(表4[[#This Row],[列1]:[列20]],"&lt;&gt;")</f>
        <v>0</v>
      </c>
      <c r="C86" s="1" t="s">
        <v>1001</v>
      </c>
    </row>
    <row r="87" spans="1:3" s="1" customFormat="1" x14ac:dyDescent="0.2">
      <c r="A87" s="3">
        <f t="shared" si="7"/>
        <v>133</v>
      </c>
      <c r="B87" s="3">
        <f>COUNTIF(表4[[#This Row],[列1]:[列20]],"&lt;&gt;")</f>
        <v>0</v>
      </c>
      <c r="C87" s="1" t="s">
        <v>1021</v>
      </c>
    </row>
    <row r="88" spans="1:3" s="1" customFormat="1" x14ac:dyDescent="0.2">
      <c r="A88" s="3">
        <f t="shared" si="7"/>
        <v>134</v>
      </c>
      <c r="B88" s="3">
        <f>COUNTIF(表4[[#This Row],[列1]:[列20]],"&lt;&gt;")</f>
        <v>0</v>
      </c>
      <c r="C88" s="1" t="s">
        <v>1043</v>
      </c>
    </row>
    <row r="89" spans="1:3" s="1" customFormat="1" x14ac:dyDescent="0.2">
      <c r="A89" s="3">
        <f t="shared" si="7"/>
        <v>135</v>
      </c>
      <c r="B89" s="3">
        <f>COUNTIF(表4[[#This Row],[列1]:[列20]],"&lt;&gt;")</f>
        <v>0</v>
      </c>
      <c r="C89" s="1" t="s">
        <v>1062</v>
      </c>
    </row>
    <row r="90" spans="1:3" s="1" customFormat="1" x14ac:dyDescent="0.2">
      <c r="A90" s="3">
        <f t="shared" si="7"/>
        <v>136</v>
      </c>
      <c r="B90" s="3">
        <f>COUNTIF(表4[[#This Row],[列1]:[列20]],"&lt;&gt;")</f>
        <v>0</v>
      </c>
      <c r="C90" s="1" t="s">
        <v>591</v>
      </c>
    </row>
    <row r="91" spans="1:3" s="1" customFormat="1" x14ac:dyDescent="0.2">
      <c r="A91" s="3">
        <f t="shared" si="7"/>
        <v>137</v>
      </c>
      <c r="B91" s="3">
        <f>COUNTIF(表4[[#This Row],[列1]:[列20]],"&lt;&gt;")</f>
        <v>0</v>
      </c>
      <c r="C91" s="1" t="s">
        <v>1083</v>
      </c>
    </row>
    <row r="92" spans="1:3" s="1" customFormat="1" x14ac:dyDescent="0.2">
      <c r="A92" s="3">
        <f t="shared" si="7"/>
        <v>138</v>
      </c>
      <c r="B92" s="3">
        <f>COUNTIF(表4[[#This Row],[列1]:[列20]],"&lt;&gt;")</f>
        <v>0</v>
      </c>
      <c r="C92" s="1" t="s">
        <v>1117</v>
      </c>
    </row>
    <row r="93" spans="1:3" s="1" customFormat="1" x14ac:dyDescent="0.2">
      <c r="A93" s="3">
        <f t="shared" si="7"/>
        <v>139</v>
      </c>
      <c r="B93" s="3">
        <f>COUNTIF(表4[[#This Row],[列1]:[列20]],"&lt;&gt;")</f>
        <v>0</v>
      </c>
      <c r="C93" s="1" t="s">
        <v>1173</v>
      </c>
    </row>
    <row r="94" spans="1:3" s="1" customFormat="1" x14ac:dyDescent="0.2">
      <c r="A94" s="3">
        <f t="shared" si="7"/>
        <v>140</v>
      </c>
      <c r="B94" s="3">
        <f>COUNTIF(表4[[#This Row],[列1]:[列20]],"&lt;&gt;")</f>
        <v>0</v>
      </c>
      <c r="C94" s="1" t="s">
        <v>1189</v>
      </c>
    </row>
    <row r="95" spans="1:3" s="1" customFormat="1" x14ac:dyDescent="0.2">
      <c r="A95" s="3">
        <f t="shared" si="7"/>
        <v>141</v>
      </c>
      <c r="B95" s="3">
        <f>COUNTIF(表4[[#This Row],[列1]:[列20]],"&lt;&gt;")</f>
        <v>0</v>
      </c>
      <c r="C95" s="1" t="s">
        <v>1196</v>
      </c>
    </row>
    <row r="96" spans="1:3" s="1" customFormat="1" x14ac:dyDescent="0.2">
      <c r="A96" s="3">
        <f t="shared" si="7"/>
        <v>142</v>
      </c>
      <c r="B96" s="3">
        <f>COUNTIF(表4[[#This Row],[列1]:[列20]],"&lt;&gt;")</f>
        <v>0</v>
      </c>
      <c r="C96" s="1" t="s">
        <v>1222</v>
      </c>
    </row>
    <row r="97" spans="1:23" s="1" customFormat="1" x14ac:dyDescent="0.2">
      <c r="A97" s="3">
        <f t="shared" si="7"/>
        <v>143</v>
      </c>
      <c r="B97" s="3">
        <f>COUNTIF(表4[[#This Row],[列1]:[列20]],"&lt;&gt;")</f>
        <v>0</v>
      </c>
      <c r="C97" s="1" t="s">
        <v>1226</v>
      </c>
    </row>
    <row r="98" spans="1:23" s="1" customFormat="1" x14ac:dyDescent="0.2">
      <c r="A98" s="3">
        <f t="shared" si="7"/>
        <v>144</v>
      </c>
      <c r="B98" s="3">
        <f>COUNTIF(表4[[#This Row],[列1]:[列20]],"&lt;&gt;")</f>
        <v>0</v>
      </c>
      <c r="C98" s="1" t="s">
        <v>542</v>
      </c>
    </row>
    <row r="99" spans="1:23" s="1" customFormat="1" x14ac:dyDescent="0.2">
      <c r="A99" s="2">
        <f t="shared" si="7"/>
        <v>145</v>
      </c>
      <c r="B99" s="2">
        <f>COUNTIF(表4[[#This Row],[列1]:[列20]],"&lt;&gt;")</f>
        <v>0</v>
      </c>
      <c r="C99" t="s">
        <v>552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s="1" customFormat="1" x14ac:dyDescent="0.2">
      <c r="A100" s="2">
        <f t="shared" si="7"/>
        <v>146</v>
      </c>
      <c r="B100" s="2">
        <f>COUNTIF(表4[[#This Row],[列1]:[列20]],"&lt;&gt;")</f>
        <v>0</v>
      </c>
      <c r="C100" t="s">
        <v>556</v>
      </c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s="1" customFormat="1" x14ac:dyDescent="0.2">
      <c r="A101" s="2">
        <f t="shared" si="7"/>
        <v>147</v>
      </c>
      <c r="B101" s="2">
        <f>COUNTIF(表4[[#This Row],[列1]:[列20]],"&lt;&gt;")</f>
        <v>0</v>
      </c>
      <c r="C101" t="s">
        <v>560</v>
      </c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s="1" customFormat="1" x14ac:dyDescent="0.2">
      <c r="A102" s="2">
        <f t="shared" si="7"/>
        <v>148</v>
      </c>
      <c r="B102" s="2">
        <f>COUNTIF(表4[[#This Row],[列1]:[列20]],"&lt;&gt;")</f>
        <v>0</v>
      </c>
      <c r="C102" t="s">
        <v>565</v>
      </c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s="1" customFormat="1" x14ac:dyDescent="0.2">
      <c r="A103" s="2">
        <f t="shared" si="7"/>
        <v>149</v>
      </c>
      <c r="B103" s="2">
        <f>COUNTIF(表4[[#This Row],[列1]:[列20]],"&lt;&gt;")</f>
        <v>0</v>
      </c>
      <c r="C103" t="s">
        <v>569</v>
      </c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s="1" customFormat="1" x14ac:dyDescent="0.2">
      <c r="A104" s="3">
        <f t="shared" si="7"/>
        <v>150</v>
      </c>
      <c r="B104" s="3">
        <f>COUNTIF(表4[[#This Row],[列1]:[列20]],"&lt;&gt;")</f>
        <v>0</v>
      </c>
      <c r="C104" s="1" t="s">
        <v>614</v>
      </c>
    </row>
    <row r="105" spans="1:23" s="1" customFormat="1" x14ac:dyDescent="0.2">
      <c r="A105" s="2">
        <f t="shared" si="7"/>
        <v>151</v>
      </c>
      <c r="B105" s="2">
        <f>COUNTIF(表4[[#This Row],[列1]:[列20]],"&lt;&gt;")</f>
        <v>0</v>
      </c>
      <c r="C105" t="s">
        <v>641</v>
      </c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s="1" customFormat="1" x14ac:dyDescent="0.2">
      <c r="A106" s="3">
        <f t="shared" si="7"/>
        <v>152</v>
      </c>
      <c r="B106" s="3">
        <f>COUNTIF(表4[[#This Row],[列1]:[列20]],"&lt;&gt;")</f>
        <v>0</v>
      </c>
      <c r="C106" s="1" t="s">
        <v>1753</v>
      </c>
    </row>
    <row r="107" spans="1:23" s="1" customFormat="1" x14ac:dyDescent="0.2">
      <c r="A107" s="2">
        <f t="shared" si="7"/>
        <v>153</v>
      </c>
      <c r="B107" s="2">
        <f>COUNTIF(表4[[#This Row],[列1]:[列20]],"&lt;&gt;")</f>
        <v>0</v>
      </c>
      <c r="C107" t="s">
        <v>701</v>
      </c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">
      <c r="A108" s="2">
        <f t="shared" si="7"/>
        <v>154</v>
      </c>
      <c r="B108" s="2">
        <f>COUNTIF(表4[[#This Row],[列1]:[列20]],"&lt;&gt;")</f>
        <v>0</v>
      </c>
      <c r="C108" t="s">
        <v>705</v>
      </c>
    </row>
    <row r="109" spans="1:23" x14ac:dyDescent="0.2">
      <c r="A109" s="2">
        <f t="shared" si="7"/>
        <v>155</v>
      </c>
      <c r="B109" s="2">
        <f>COUNTIF(表4[[#This Row],[列1]:[列20]],"&lt;&gt;")</f>
        <v>0</v>
      </c>
      <c r="C109" t="s">
        <v>713</v>
      </c>
    </row>
    <row r="110" spans="1:23" x14ac:dyDescent="0.2">
      <c r="A110" s="2">
        <f t="shared" si="7"/>
        <v>156</v>
      </c>
      <c r="B110" s="2">
        <f>COUNTIF(表4[[#This Row],[列1]:[列20]],"&lt;&gt;")</f>
        <v>0</v>
      </c>
      <c r="C110" t="s">
        <v>717</v>
      </c>
    </row>
    <row r="111" spans="1:23" x14ac:dyDescent="0.2">
      <c r="A111" s="2">
        <f t="shared" si="7"/>
        <v>157</v>
      </c>
      <c r="B111" s="2">
        <f>COUNTIF(表4[[#This Row],[列1]:[列20]],"&lt;&gt;")</f>
        <v>0</v>
      </c>
      <c r="C111" t="s">
        <v>730</v>
      </c>
    </row>
    <row r="112" spans="1:23" x14ac:dyDescent="0.2">
      <c r="A112" s="3">
        <f t="shared" si="7"/>
        <v>158</v>
      </c>
      <c r="B112" s="3">
        <f>COUNTIF(表4[[#This Row],[列1]:[列20]],"&lt;&gt;")</f>
        <v>0</v>
      </c>
      <c r="C112" s="1" t="s">
        <v>882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 x14ac:dyDescent="0.2">
      <c r="A113" s="2">
        <f>A112+1</f>
        <v>159</v>
      </c>
      <c r="B113" s="2">
        <f>COUNTIF(表4[[#This Row],[列1]:[列20]],"&lt;&gt;")</f>
        <v>7</v>
      </c>
      <c r="C113" t="s">
        <v>1786</v>
      </c>
      <c r="D113" s="5" t="s">
        <v>1779</v>
      </c>
      <c r="E113" s="7" t="s">
        <v>1781</v>
      </c>
      <c r="F113" s="6" t="s">
        <v>1782</v>
      </c>
      <c r="G113" s="7" t="s">
        <v>1778</v>
      </c>
      <c r="H113" s="7" t="s">
        <v>1784</v>
      </c>
      <c r="I113" s="7" t="s">
        <v>1785</v>
      </c>
      <c r="J113" s="6" t="s">
        <v>1777</v>
      </c>
    </row>
    <row r="114" spans="1:23" s="1" customFormat="1" x14ac:dyDescent="0.2">
      <c r="A114" s="2">
        <f>A112+1</f>
        <v>159</v>
      </c>
      <c r="B114" s="2">
        <f>COUNTIF(表4[[#This Row],[列1]:[列20]],"&lt;&gt;")</f>
        <v>0</v>
      </c>
      <c r="C114" t="s">
        <v>930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">
      <c r="A115" s="2">
        <f t="shared" si="7"/>
        <v>160</v>
      </c>
      <c r="B115" s="2">
        <f>COUNTIF(表4[[#This Row],[列1]:[列20]],"&lt;&gt;")</f>
        <v>0</v>
      </c>
      <c r="C115" t="s">
        <v>933</v>
      </c>
    </row>
    <row r="116" spans="1:23" s="1" customFormat="1" x14ac:dyDescent="0.2">
      <c r="A116" s="2">
        <f t="shared" si="7"/>
        <v>161</v>
      </c>
      <c r="B116" s="2">
        <f>COUNTIF(表4[[#This Row],[列1]:[列20]],"&lt;&gt;")</f>
        <v>0</v>
      </c>
      <c r="C116" t="s">
        <v>938</v>
      </c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">
      <c r="A117" s="2">
        <f t="shared" si="7"/>
        <v>162</v>
      </c>
      <c r="B117" s="2">
        <f>COUNTIF(表4[[#This Row],[列1]:[列20]],"&lt;&gt;")</f>
        <v>0</v>
      </c>
      <c r="C117" t="s">
        <v>941</v>
      </c>
    </row>
    <row r="118" spans="1:23" x14ac:dyDescent="0.2">
      <c r="A118" s="2">
        <f t="shared" si="7"/>
        <v>163</v>
      </c>
      <c r="B118" s="2">
        <f>COUNTIF(表4[[#This Row],[列1]:[列20]],"&lt;&gt;")</f>
        <v>0</v>
      </c>
      <c r="C118" t="s">
        <v>945</v>
      </c>
    </row>
    <row r="119" spans="1:23" x14ac:dyDescent="0.2">
      <c r="A119" s="2">
        <f t="shared" si="7"/>
        <v>164</v>
      </c>
      <c r="B119" s="2">
        <f>COUNTIF(表4[[#This Row],[列1]:[列20]],"&lt;&gt;")</f>
        <v>0</v>
      </c>
      <c r="C119" t="s">
        <v>948</v>
      </c>
    </row>
    <row r="120" spans="1:23" x14ac:dyDescent="0.2">
      <c r="A120" s="2">
        <f t="shared" si="7"/>
        <v>165</v>
      </c>
      <c r="B120" s="2">
        <f>COUNTIF(表4[[#This Row],[列1]:[列20]],"&lt;&gt;")</f>
        <v>0</v>
      </c>
      <c r="C120" t="s">
        <v>951</v>
      </c>
    </row>
    <row r="121" spans="1:23" x14ac:dyDescent="0.2">
      <c r="A121" s="2">
        <f t="shared" si="7"/>
        <v>166</v>
      </c>
      <c r="B121" s="2">
        <f>COUNTIF(表4[[#This Row],[列1]:[列20]],"&lt;&gt;")</f>
        <v>0</v>
      </c>
      <c r="C121" t="s">
        <v>952</v>
      </c>
    </row>
    <row r="122" spans="1:23" s="1" customFormat="1" x14ac:dyDescent="0.2">
      <c r="A122" s="2">
        <f t="shared" si="7"/>
        <v>167</v>
      </c>
      <c r="B122" s="2">
        <f>COUNTIF(表4[[#This Row],[列1]:[列20]],"&lt;&gt;")</f>
        <v>0</v>
      </c>
      <c r="C122" t="s">
        <v>958</v>
      </c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">
      <c r="A123" s="2">
        <f t="shared" si="7"/>
        <v>168</v>
      </c>
      <c r="B123" s="2">
        <f>COUNTIF(表4[[#This Row],[列1]:[列20]],"&lt;&gt;")</f>
        <v>0</v>
      </c>
      <c r="C123" t="s">
        <v>962</v>
      </c>
    </row>
    <row r="124" spans="1:23" x14ac:dyDescent="0.2">
      <c r="A124" s="2">
        <f t="shared" si="7"/>
        <v>169</v>
      </c>
      <c r="B124" s="2">
        <f>COUNTIF(表4[[#This Row],[列1]:[列20]],"&lt;&gt;")</f>
        <v>0</v>
      </c>
      <c r="C124" t="s">
        <v>965</v>
      </c>
    </row>
    <row r="125" spans="1:23" x14ac:dyDescent="0.2">
      <c r="A125" s="2">
        <f t="shared" si="7"/>
        <v>170</v>
      </c>
      <c r="B125" s="2">
        <f>COUNTIF(表4[[#This Row],[列1]:[列20]],"&lt;&gt;")</f>
        <v>0</v>
      </c>
      <c r="C125" t="s">
        <v>968</v>
      </c>
    </row>
    <row r="126" spans="1:23" x14ac:dyDescent="0.2">
      <c r="A126" s="2">
        <f t="shared" si="7"/>
        <v>171</v>
      </c>
      <c r="B126" s="2">
        <f>COUNTIF(表4[[#This Row],[列1]:[列20]],"&lt;&gt;")</f>
        <v>0</v>
      </c>
      <c r="C126" t="s">
        <v>971</v>
      </c>
    </row>
    <row r="127" spans="1:23" x14ac:dyDescent="0.2">
      <c r="A127" s="2">
        <f t="shared" si="7"/>
        <v>172</v>
      </c>
      <c r="B127" s="2">
        <f>COUNTIF(表4[[#This Row],[列1]:[列20]],"&lt;&gt;")</f>
        <v>0</v>
      </c>
      <c r="C127" t="s">
        <v>974</v>
      </c>
    </row>
    <row r="128" spans="1:23" x14ac:dyDescent="0.2">
      <c r="A128" s="2">
        <f t="shared" si="7"/>
        <v>173</v>
      </c>
      <c r="B128" s="2">
        <f>COUNTIF(表4[[#This Row],[列1]:[列20]],"&lt;&gt;")</f>
        <v>0</v>
      </c>
      <c r="C128" t="s">
        <v>977</v>
      </c>
    </row>
    <row r="129" spans="1:23" x14ac:dyDescent="0.2">
      <c r="A129" s="2">
        <f t="shared" si="7"/>
        <v>174</v>
      </c>
      <c r="B129" s="2">
        <f>COUNTIF(表4[[#This Row],[列1]:[列20]],"&lt;&gt;")</f>
        <v>0</v>
      </c>
      <c r="C129" t="s">
        <v>982</v>
      </c>
    </row>
    <row r="130" spans="1:23" x14ac:dyDescent="0.2">
      <c r="A130" s="2">
        <f>A128+1</f>
        <v>174</v>
      </c>
      <c r="B130" s="2">
        <f>COUNTIF(表4[[#This Row],[列1]:[列20]],"&lt;&gt;")</f>
        <v>0</v>
      </c>
      <c r="C130" t="s">
        <v>985</v>
      </c>
    </row>
    <row r="131" spans="1:23" x14ac:dyDescent="0.2">
      <c r="A131" s="3">
        <f t="shared" si="7"/>
        <v>175</v>
      </c>
      <c r="B131" s="3">
        <f>COUNTIF(表4[[#This Row],[列1]:[列20]],"&lt;&gt;")</f>
        <v>0</v>
      </c>
      <c r="C131" s="1" t="s">
        <v>995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x14ac:dyDescent="0.2">
      <c r="A132" s="2">
        <f t="shared" si="7"/>
        <v>176</v>
      </c>
      <c r="B132" s="2">
        <f>COUNTIF(表4[[#This Row],[列1]:[列20]],"&lt;&gt;")</f>
        <v>0</v>
      </c>
      <c r="C132" t="s">
        <v>992</v>
      </c>
    </row>
    <row r="133" spans="1:23" x14ac:dyDescent="0.2">
      <c r="A133" s="3">
        <f t="shared" si="7"/>
        <v>177</v>
      </c>
      <c r="B133" s="3">
        <f>COUNTIF(表4[[#This Row],[列1]:[列20]],"&lt;&gt;")</f>
        <v>0</v>
      </c>
      <c r="C133" s="1" t="s">
        <v>1029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x14ac:dyDescent="0.2">
      <c r="A134" s="2">
        <f t="shared" si="7"/>
        <v>178</v>
      </c>
      <c r="B134" s="2">
        <f>COUNTIF(表4[[#This Row],[列1]:[列20]],"&lt;&gt;")</f>
        <v>0</v>
      </c>
      <c r="C134" t="s">
        <v>1032</v>
      </c>
    </row>
    <row r="135" spans="1:23" x14ac:dyDescent="0.2">
      <c r="A135" s="2">
        <f t="shared" si="7"/>
        <v>179</v>
      </c>
      <c r="B135" s="2">
        <f>COUNTIF(表4[[#This Row],[列1]:[列20]],"&lt;&gt;")</f>
        <v>0</v>
      </c>
      <c r="C135" t="s">
        <v>982</v>
      </c>
    </row>
    <row r="136" spans="1:23" x14ac:dyDescent="0.2">
      <c r="A136" s="2">
        <f t="shared" si="7"/>
        <v>180</v>
      </c>
      <c r="B136" s="2">
        <f>COUNTIF(表4[[#This Row],[列1]:[列20]],"&lt;&gt;")</f>
        <v>0</v>
      </c>
      <c r="C136" t="s">
        <v>1039</v>
      </c>
    </row>
    <row r="137" spans="1:23" x14ac:dyDescent="0.2">
      <c r="A137" s="3">
        <f t="shared" si="7"/>
        <v>181</v>
      </c>
      <c r="B137" s="3">
        <f>COUNTIF(表4[[#This Row],[列1]:[列20]],"&lt;&gt;")</f>
        <v>0</v>
      </c>
      <c r="C137" s="1" t="s">
        <v>552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x14ac:dyDescent="0.2">
      <c r="A138" s="2">
        <f t="shared" si="7"/>
        <v>182</v>
      </c>
      <c r="B138" s="2">
        <f>COUNTIF(表4[[#This Row],[列1]:[列20]],"&lt;&gt;")</f>
        <v>0</v>
      </c>
      <c r="C138" t="s">
        <v>1144</v>
      </c>
    </row>
    <row r="139" spans="1:23" x14ac:dyDescent="0.2">
      <c r="A139" s="2">
        <f t="shared" si="7"/>
        <v>183</v>
      </c>
      <c r="B139" s="2">
        <f>COUNTIF(表4[[#This Row],[列1]:[列20]],"&lt;&gt;")</f>
        <v>0</v>
      </c>
      <c r="C139" t="s">
        <v>1162</v>
      </c>
    </row>
    <row r="140" spans="1:23" s="1" customFormat="1" x14ac:dyDescent="0.2">
      <c r="A140" s="2">
        <f t="shared" si="7"/>
        <v>184</v>
      </c>
      <c r="B140" s="2">
        <f>COUNTIF(表4[[#This Row],[列1]:[列20]],"&lt;&gt;")</f>
        <v>0</v>
      </c>
      <c r="C140" t="s">
        <v>1166</v>
      </c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">
      <c r="A141" s="2">
        <f t="shared" si="7"/>
        <v>185</v>
      </c>
      <c r="B141" s="2">
        <f>COUNTIF(表4[[#This Row],[列1]:[列20]],"&lt;&gt;")</f>
        <v>0</v>
      </c>
      <c r="C141" t="s">
        <v>1169</v>
      </c>
    </row>
    <row r="142" spans="1:23" s="1" customFormat="1" x14ac:dyDescent="0.2">
      <c r="A142" s="3">
        <f t="shared" si="7"/>
        <v>186</v>
      </c>
      <c r="B142" s="3">
        <f>COUNTIF(表4[[#This Row],[列1]:[列20]],"&lt;&gt;")</f>
        <v>0</v>
      </c>
      <c r="C142" s="1" t="s">
        <v>1253</v>
      </c>
    </row>
    <row r="143" spans="1:23" x14ac:dyDescent="0.2">
      <c r="A143" s="2">
        <f t="shared" si="7"/>
        <v>187</v>
      </c>
      <c r="B143" s="2">
        <f>COUNTIF(表4[[#This Row],[列1]:[列20]],"&lt;&gt;")</f>
        <v>0</v>
      </c>
      <c r="C143" t="s">
        <v>1257</v>
      </c>
    </row>
    <row r="144" spans="1:23" x14ac:dyDescent="0.2">
      <c r="A144" s="2">
        <f t="shared" si="7"/>
        <v>188</v>
      </c>
      <c r="B144" s="2">
        <f>COUNTIF(表4[[#This Row],[列1]:[列20]],"&lt;&gt;")</f>
        <v>0</v>
      </c>
      <c r="C144" t="s">
        <v>1274</v>
      </c>
    </row>
    <row r="145" spans="1:23" x14ac:dyDescent="0.2">
      <c r="A145" s="2">
        <f t="shared" si="7"/>
        <v>189</v>
      </c>
      <c r="B145" s="2">
        <f>COUNTIF(表4[[#This Row],[列1]:[列20]],"&lt;&gt;")</f>
        <v>0</v>
      </c>
      <c r="C145" t="s">
        <v>1278</v>
      </c>
    </row>
    <row r="146" spans="1:23" s="1" customFormat="1" x14ac:dyDescent="0.2">
      <c r="A146" s="3">
        <f t="shared" ref="A146:A159" si="8">A145+1</f>
        <v>190</v>
      </c>
      <c r="B146" s="3">
        <f>COUNTIF(表4[[#This Row],[列1]:[列20]],"&lt;&gt;")</f>
        <v>0</v>
      </c>
      <c r="C146" s="1" t="s">
        <v>1279</v>
      </c>
    </row>
    <row r="147" spans="1:23" x14ac:dyDescent="0.2">
      <c r="A147" s="2">
        <f t="shared" si="8"/>
        <v>191</v>
      </c>
      <c r="B147" s="2">
        <f>COUNTIF(表4[[#This Row],[列1]:[列20]],"&lt;&gt;")</f>
        <v>0</v>
      </c>
      <c r="C147" t="s">
        <v>1257</v>
      </c>
    </row>
    <row r="148" spans="1:23" x14ac:dyDescent="0.2">
      <c r="A148" s="2">
        <f t="shared" si="8"/>
        <v>192</v>
      </c>
      <c r="B148" s="2">
        <f>COUNTIF(表4[[#This Row],[列1]:[列20]],"&lt;&gt;")</f>
        <v>4</v>
      </c>
      <c r="C148" t="s">
        <v>1029</v>
      </c>
      <c r="D148" s="4" t="s">
        <v>1297</v>
      </c>
      <c r="E148" s="4" t="s">
        <v>1309</v>
      </c>
      <c r="F148" s="4" t="s">
        <v>1321</v>
      </c>
      <c r="G148" s="5" t="s">
        <v>1257</v>
      </c>
    </row>
    <row r="149" spans="1:23" x14ac:dyDescent="0.2">
      <c r="A149" s="2">
        <f t="shared" si="8"/>
        <v>193</v>
      </c>
      <c r="B149" s="2">
        <f>COUNTIF(表4[[#This Row],[列1]:[列20]],"&lt;&gt;")</f>
        <v>4</v>
      </c>
      <c r="C149" t="s">
        <v>1524</v>
      </c>
      <c r="D149" t="s">
        <v>1257</v>
      </c>
      <c r="E149" t="s">
        <v>1546</v>
      </c>
      <c r="F149" t="s">
        <v>1549</v>
      </c>
      <c r="G149" t="s">
        <v>1557</v>
      </c>
    </row>
    <row r="150" spans="1:23" x14ac:dyDescent="0.2">
      <c r="A150" s="2">
        <f t="shared" si="8"/>
        <v>194</v>
      </c>
      <c r="B150" s="2">
        <f>COUNTIF(表4[[#This Row],[列1]:[列20]],"&lt;&gt;")</f>
        <v>3</v>
      </c>
      <c r="C150" t="s">
        <v>1622</v>
      </c>
      <c r="D150" t="s">
        <v>1627</v>
      </c>
      <c r="E150" t="s">
        <v>1166</v>
      </c>
      <c r="F150" t="s">
        <v>1636</v>
      </c>
    </row>
    <row r="151" spans="1:23" s="1" customFormat="1" x14ac:dyDescent="0.2">
      <c r="A151" s="3">
        <f t="shared" si="8"/>
        <v>195</v>
      </c>
      <c r="B151" s="3">
        <f>COUNTIF(表4[[#This Row],[列1]:[列20]],"&lt;&gt;")</f>
        <v>0</v>
      </c>
      <c r="C151" s="1" t="s">
        <v>1637</v>
      </c>
    </row>
    <row r="152" spans="1:23" x14ac:dyDescent="0.2">
      <c r="A152" s="2">
        <f t="shared" si="8"/>
        <v>196</v>
      </c>
      <c r="B152" s="2">
        <f>COUNTIF(表4[[#This Row],[列1]:[列20]],"&lt;&gt;")</f>
        <v>0</v>
      </c>
      <c r="C152" t="s">
        <v>1640</v>
      </c>
    </row>
    <row r="153" spans="1:23" x14ac:dyDescent="0.2">
      <c r="A153" s="2">
        <f t="shared" si="8"/>
        <v>197</v>
      </c>
      <c r="B153" s="2">
        <f>COUNTIF(表4[[#This Row],[列1]:[列20]],"&lt;&gt;")</f>
        <v>0</v>
      </c>
      <c r="C153" t="s">
        <v>1643</v>
      </c>
    </row>
    <row r="154" spans="1:23" x14ac:dyDescent="0.2">
      <c r="A154" s="2">
        <f t="shared" si="8"/>
        <v>198</v>
      </c>
      <c r="B154" s="2">
        <f>COUNTIF(表4[[#This Row],[列1]:[列20]],"&lt;&gt;")</f>
        <v>0</v>
      </c>
      <c r="C154" t="s">
        <v>1646</v>
      </c>
    </row>
    <row r="155" spans="1:23" s="1" customFormat="1" x14ac:dyDescent="0.2">
      <c r="A155" s="2">
        <f t="shared" si="8"/>
        <v>199</v>
      </c>
      <c r="B155" s="2">
        <f>COUNTIF(表4[[#This Row],[列1]:[列20]],"&lt;&gt;")</f>
        <v>0</v>
      </c>
      <c r="C155" t="s">
        <v>1649</v>
      </c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">
      <c r="A156" s="2">
        <f t="shared" si="8"/>
        <v>200</v>
      </c>
      <c r="B156" s="2">
        <f>COUNTIF(表4[[#This Row],[列1]:[列20]],"&lt;&gt;")</f>
        <v>0</v>
      </c>
      <c r="C156" t="s">
        <v>1652</v>
      </c>
    </row>
    <row r="157" spans="1:23" x14ac:dyDescent="0.2">
      <c r="A157" s="2">
        <f t="shared" si="8"/>
        <v>201</v>
      </c>
      <c r="B157" s="2">
        <f>COUNTIF(表4[[#This Row],[列1]:[列20]],"&lt;&gt;")</f>
        <v>0</v>
      </c>
      <c r="C157" t="s">
        <v>1655</v>
      </c>
    </row>
    <row r="158" spans="1:23" x14ac:dyDescent="0.2">
      <c r="A158" s="2">
        <f t="shared" si="8"/>
        <v>202</v>
      </c>
      <c r="B158" s="2">
        <f>COUNTIF(表4[[#This Row],[列1]:[列20]],"&lt;&gt;")</f>
        <v>0</v>
      </c>
      <c r="C158" t="s">
        <v>1658</v>
      </c>
    </row>
    <row r="159" spans="1:23" x14ac:dyDescent="0.2">
      <c r="A159" s="2">
        <f t="shared" si="8"/>
        <v>203</v>
      </c>
      <c r="B159" s="2">
        <f>COUNTIF(表4[[#This Row],[列1]:[列20]],"&lt;&gt;")</f>
        <v>0</v>
      </c>
      <c r="C159" t="s">
        <v>1659</v>
      </c>
    </row>
  </sheetData>
  <phoneticPr fontId="1" type="noConversion"/>
  <dataValidations disablePrompts="1" count="1">
    <dataValidation type="list" allowBlank="1" showInputMessage="1" showErrorMessage="1" sqref="E113:J113 D150:F150" xr:uid="{0CE99E96-2DB6-419C-81F3-C89423DD9378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1819F-E3AF-4969-B8F5-0128A20DAFF2}">
  <dimension ref="F1:S287"/>
  <sheetViews>
    <sheetView topLeftCell="A10" workbookViewId="0">
      <selection activeCell="C13" sqref="C13"/>
    </sheetView>
  </sheetViews>
  <sheetFormatPr defaultRowHeight="14.25" x14ac:dyDescent="0.2"/>
  <cols>
    <col min="14" max="14" width="8.875" customWidth="1"/>
  </cols>
  <sheetData>
    <row r="1" spans="6:19" x14ac:dyDescent="0.2"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6:19" x14ac:dyDescent="0.2">
      <c r="F2" t="s">
        <v>601</v>
      </c>
      <c r="G2" t="s">
        <v>602</v>
      </c>
      <c r="I2" t="s">
        <v>603</v>
      </c>
      <c r="J2" t="s">
        <v>1740</v>
      </c>
      <c r="K2" t="s">
        <v>604</v>
      </c>
      <c r="N2" t="s">
        <v>1848</v>
      </c>
      <c r="O2" t="s">
        <v>1166</v>
      </c>
      <c r="Q2">
        <v>32</v>
      </c>
    </row>
    <row r="3" spans="6:19" x14ac:dyDescent="0.2">
      <c r="F3" t="s">
        <v>605</v>
      </c>
      <c r="G3" t="s">
        <v>606</v>
      </c>
      <c r="I3" t="s">
        <v>607</v>
      </c>
      <c r="J3" t="s">
        <v>1740</v>
      </c>
      <c r="K3" t="s">
        <v>604</v>
      </c>
      <c r="N3" t="s">
        <v>1848</v>
      </c>
      <c r="O3" t="s">
        <v>1166</v>
      </c>
      <c r="Q3">
        <v>32</v>
      </c>
    </row>
    <row r="4" spans="6:19" x14ac:dyDescent="0.2">
      <c r="F4" t="s">
        <v>608</v>
      </c>
      <c r="G4" t="s">
        <v>609</v>
      </c>
      <c r="I4" t="s">
        <v>610</v>
      </c>
      <c r="J4" t="s">
        <v>1740</v>
      </c>
      <c r="K4" t="s">
        <v>604</v>
      </c>
      <c r="L4" t="s">
        <v>1761</v>
      </c>
      <c r="N4" t="s">
        <v>1848</v>
      </c>
      <c r="O4" t="s">
        <v>1166</v>
      </c>
      <c r="Q4">
        <v>16</v>
      </c>
    </row>
    <row r="5" spans="6:19" x14ac:dyDescent="0.2">
      <c r="F5" t="s">
        <v>611</v>
      </c>
      <c r="G5" t="s">
        <v>612</v>
      </c>
      <c r="H5" t="s">
        <v>29</v>
      </c>
      <c r="I5" t="s">
        <v>613</v>
      </c>
      <c r="J5" t="s">
        <v>1740</v>
      </c>
      <c r="K5" t="s">
        <v>614</v>
      </c>
      <c r="N5" t="s">
        <v>1848</v>
      </c>
      <c r="O5" t="s">
        <v>1166</v>
      </c>
      <c r="Q5">
        <v>48</v>
      </c>
    </row>
    <row r="6" spans="6:19" x14ac:dyDescent="0.2">
      <c r="F6" t="s">
        <v>1077</v>
      </c>
      <c r="G6" t="s">
        <v>1078</v>
      </c>
      <c r="I6" t="s">
        <v>1079</v>
      </c>
      <c r="J6" t="s">
        <v>1740</v>
      </c>
      <c r="K6" t="s">
        <v>614</v>
      </c>
      <c r="N6" t="s">
        <v>1848</v>
      </c>
      <c r="O6" t="s">
        <v>1166</v>
      </c>
      <c r="Q6">
        <v>16</v>
      </c>
    </row>
    <row r="7" spans="6:19" x14ac:dyDescent="0.2">
      <c r="F7" t="s">
        <v>615</v>
      </c>
      <c r="G7" t="s">
        <v>616</v>
      </c>
      <c r="H7" t="s">
        <v>29</v>
      </c>
      <c r="I7" t="s">
        <v>617</v>
      </c>
      <c r="J7" t="s">
        <v>1740</v>
      </c>
      <c r="K7" t="s">
        <v>614</v>
      </c>
      <c r="N7" t="s">
        <v>1848</v>
      </c>
      <c r="O7" t="s">
        <v>1166</v>
      </c>
      <c r="Q7">
        <v>16</v>
      </c>
    </row>
    <row r="8" spans="6:19" x14ac:dyDescent="0.2">
      <c r="F8" t="s">
        <v>618</v>
      </c>
      <c r="G8" t="s">
        <v>619</v>
      </c>
      <c r="H8" t="s">
        <v>29</v>
      </c>
      <c r="I8" t="s">
        <v>620</v>
      </c>
      <c r="J8" t="s">
        <v>1740</v>
      </c>
      <c r="K8" t="s">
        <v>614</v>
      </c>
      <c r="N8" t="s">
        <v>1848</v>
      </c>
      <c r="O8" t="s">
        <v>1166</v>
      </c>
      <c r="Q8">
        <v>32</v>
      </c>
    </row>
    <row r="9" spans="6:19" x14ac:dyDescent="0.2">
      <c r="F9" t="s">
        <v>621</v>
      </c>
      <c r="G9" t="s">
        <v>622</v>
      </c>
      <c r="H9" t="s">
        <v>29</v>
      </c>
      <c r="I9" t="s">
        <v>623</v>
      </c>
      <c r="J9" t="s">
        <v>1740</v>
      </c>
      <c r="K9" t="s">
        <v>614</v>
      </c>
      <c r="N9" t="s">
        <v>1848</v>
      </c>
      <c r="O9" t="s">
        <v>1166</v>
      </c>
      <c r="Q9">
        <v>16</v>
      </c>
    </row>
    <row r="10" spans="6:19" x14ac:dyDescent="0.2">
      <c r="F10" t="s">
        <v>624</v>
      </c>
      <c r="G10" t="s">
        <v>625</v>
      </c>
      <c r="H10" t="s">
        <v>29</v>
      </c>
      <c r="J10" t="s">
        <v>1740</v>
      </c>
      <c r="K10" t="s">
        <v>614</v>
      </c>
      <c r="N10" t="s">
        <v>1848</v>
      </c>
    </row>
    <row r="11" spans="6:19" x14ac:dyDescent="0.2">
      <c r="F11" t="s">
        <v>626</v>
      </c>
      <c r="G11" t="s">
        <v>627</v>
      </c>
      <c r="H11" t="s">
        <v>29</v>
      </c>
      <c r="J11" t="s">
        <v>1740</v>
      </c>
      <c r="K11" t="s">
        <v>614</v>
      </c>
      <c r="N11" t="s">
        <v>1848</v>
      </c>
    </row>
    <row r="12" spans="6:19" x14ac:dyDescent="0.2">
      <c r="F12" t="s">
        <v>628</v>
      </c>
      <c r="G12" t="s">
        <v>629</v>
      </c>
      <c r="H12" t="s">
        <v>29</v>
      </c>
      <c r="J12" t="s">
        <v>1740</v>
      </c>
      <c r="K12" t="s">
        <v>614</v>
      </c>
      <c r="N12" t="s">
        <v>1848</v>
      </c>
    </row>
    <row r="13" spans="6:19" x14ac:dyDescent="0.2">
      <c r="F13" t="s">
        <v>630</v>
      </c>
      <c r="G13" t="s">
        <v>631</v>
      </c>
      <c r="H13" t="s">
        <v>29</v>
      </c>
      <c r="I13" t="s">
        <v>632</v>
      </c>
      <c r="J13" t="s">
        <v>1740</v>
      </c>
      <c r="K13" t="s">
        <v>614</v>
      </c>
      <c r="N13" t="s">
        <v>1848</v>
      </c>
      <c r="O13" t="s">
        <v>1166</v>
      </c>
      <c r="Q13">
        <v>32</v>
      </c>
    </row>
    <row r="14" spans="6:19" x14ac:dyDescent="0.2">
      <c r="F14" t="s">
        <v>633</v>
      </c>
      <c r="G14" t="s">
        <v>634</v>
      </c>
      <c r="H14" t="s">
        <v>29</v>
      </c>
      <c r="I14" t="s">
        <v>635</v>
      </c>
      <c r="J14" t="s">
        <v>1740</v>
      </c>
      <c r="K14" t="s">
        <v>614</v>
      </c>
      <c r="N14" t="s">
        <v>1848</v>
      </c>
      <c r="O14" t="s">
        <v>1166</v>
      </c>
      <c r="Q14">
        <v>32</v>
      </c>
    </row>
    <row r="15" spans="6:19" x14ac:dyDescent="0.2">
      <c r="F15" t="s">
        <v>1833</v>
      </c>
      <c r="G15" t="s">
        <v>1820</v>
      </c>
      <c r="I15" t="s">
        <v>1821</v>
      </c>
      <c r="J15" t="s">
        <v>1740</v>
      </c>
      <c r="K15" t="s">
        <v>614</v>
      </c>
    </row>
    <row r="16" spans="6:19" x14ac:dyDescent="0.2">
      <c r="F16" t="s">
        <v>639</v>
      </c>
      <c r="G16" t="s">
        <v>640</v>
      </c>
      <c r="J16" t="s">
        <v>1740</v>
      </c>
      <c r="K16" t="s">
        <v>614</v>
      </c>
      <c r="L16" t="s">
        <v>641</v>
      </c>
      <c r="N16" t="s">
        <v>1848</v>
      </c>
    </row>
    <row r="17" spans="6:17" x14ac:dyDescent="0.2">
      <c r="F17" t="s">
        <v>636</v>
      </c>
      <c r="G17" t="s">
        <v>637</v>
      </c>
      <c r="H17" t="s">
        <v>29</v>
      </c>
      <c r="I17" t="s">
        <v>638</v>
      </c>
      <c r="J17" t="s">
        <v>1740</v>
      </c>
      <c r="K17" t="s">
        <v>614</v>
      </c>
      <c r="L17" t="s">
        <v>1253</v>
      </c>
      <c r="N17" t="s">
        <v>1848</v>
      </c>
      <c r="O17" t="s">
        <v>1166</v>
      </c>
      <c r="Q17">
        <v>32</v>
      </c>
    </row>
    <row r="18" spans="6:17" x14ac:dyDescent="0.2">
      <c r="F18" t="s">
        <v>642</v>
      </c>
      <c r="G18" t="s">
        <v>643</v>
      </c>
      <c r="H18" t="s">
        <v>29</v>
      </c>
      <c r="I18" t="s">
        <v>644</v>
      </c>
      <c r="J18" t="s">
        <v>1740</v>
      </c>
      <c r="K18" t="s">
        <v>645</v>
      </c>
      <c r="N18" t="s">
        <v>1848</v>
      </c>
      <c r="O18" t="s">
        <v>1166</v>
      </c>
      <c r="Q18">
        <v>16</v>
      </c>
    </row>
    <row r="19" spans="6:17" x14ac:dyDescent="0.2">
      <c r="F19" t="s">
        <v>646</v>
      </c>
      <c r="G19" t="s">
        <v>647</v>
      </c>
      <c r="H19" t="s">
        <v>29</v>
      </c>
      <c r="I19" t="s">
        <v>648</v>
      </c>
      <c r="J19" t="s">
        <v>1740</v>
      </c>
      <c r="K19" t="s">
        <v>645</v>
      </c>
      <c r="N19" t="s">
        <v>1848</v>
      </c>
      <c r="O19" t="s">
        <v>1166</v>
      </c>
      <c r="Q19">
        <v>195</v>
      </c>
    </row>
    <row r="20" spans="6:17" x14ac:dyDescent="0.2">
      <c r="F20" t="s">
        <v>649</v>
      </c>
      <c r="G20" t="s">
        <v>650</v>
      </c>
      <c r="H20" t="s">
        <v>29</v>
      </c>
      <c r="I20" t="s">
        <v>651</v>
      </c>
      <c r="J20" t="s">
        <v>1740</v>
      </c>
      <c r="K20" t="s">
        <v>645</v>
      </c>
      <c r="N20" t="s">
        <v>1848</v>
      </c>
      <c r="O20" t="s">
        <v>1166</v>
      </c>
      <c r="Q20">
        <v>32</v>
      </c>
    </row>
    <row r="21" spans="6:17" x14ac:dyDescent="0.2">
      <c r="F21" t="s">
        <v>652</v>
      </c>
      <c r="G21" t="s">
        <v>653</v>
      </c>
      <c r="H21" t="s">
        <v>29</v>
      </c>
      <c r="I21" t="s">
        <v>654</v>
      </c>
      <c r="J21" t="s">
        <v>1740</v>
      </c>
      <c r="K21" t="s">
        <v>645</v>
      </c>
      <c r="N21" t="s">
        <v>1848</v>
      </c>
      <c r="O21" t="s">
        <v>1166</v>
      </c>
      <c r="Q21">
        <v>256</v>
      </c>
    </row>
    <row r="22" spans="6:17" x14ac:dyDescent="0.2">
      <c r="F22" t="s">
        <v>655</v>
      </c>
      <c r="G22" t="s">
        <v>656</v>
      </c>
      <c r="H22" t="s">
        <v>29</v>
      </c>
      <c r="I22" t="s">
        <v>657</v>
      </c>
      <c r="J22" t="s">
        <v>1740</v>
      </c>
      <c r="K22" t="s">
        <v>645</v>
      </c>
      <c r="N22" t="s">
        <v>1848</v>
      </c>
      <c r="O22" t="s">
        <v>1166</v>
      </c>
      <c r="Q22">
        <v>32</v>
      </c>
    </row>
    <row r="23" spans="6:17" x14ac:dyDescent="0.2">
      <c r="F23" t="s">
        <v>658</v>
      </c>
      <c r="G23" t="s">
        <v>659</v>
      </c>
      <c r="H23" t="s">
        <v>29</v>
      </c>
      <c r="I23" t="s">
        <v>660</v>
      </c>
      <c r="J23" t="s">
        <v>1740</v>
      </c>
      <c r="K23" t="s">
        <v>645</v>
      </c>
      <c r="N23" t="s">
        <v>1848</v>
      </c>
      <c r="O23" t="s">
        <v>1166</v>
      </c>
      <c r="Q23">
        <v>32</v>
      </c>
    </row>
    <row r="24" spans="6:17" x14ac:dyDescent="0.2">
      <c r="F24" t="s">
        <v>661</v>
      </c>
      <c r="G24" t="s">
        <v>662</v>
      </c>
      <c r="H24" t="s">
        <v>29</v>
      </c>
      <c r="J24" t="s">
        <v>1740</v>
      </c>
      <c r="K24" t="s">
        <v>645</v>
      </c>
      <c r="N24" t="s">
        <v>1848</v>
      </c>
    </row>
    <row r="25" spans="6:17" x14ac:dyDescent="0.2">
      <c r="F25" t="s">
        <v>663</v>
      </c>
      <c r="G25" t="s">
        <v>664</v>
      </c>
      <c r="H25" t="s">
        <v>29</v>
      </c>
      <c r="I25" t="s">
        <v>665</v>
      </c>
      <c r="J25" t="s">
        <v>1740</v>
      </c>
      <c r="K25" t="s">
        <v>645</v>
      </c>
      <c r="N25" t="s">
        <v>1848</v>
      </c>
      <c r="O25" t="s">
        <v>1166</v>
      </c>
      <c r="Q25">
        <v>16</v>
      </c>
    </row>
    <row r="26" spans="6:17" x14ac:dyDescent="0.2">
      <c r="F26" t="s">
        <v>666</v>
      </c>
      <c r="G26" t="s">
        <v>667</v>
      </c>
      <c r="H26" t="s">
        <v>29</v>
      </c>
      <c r="I26" t="s">
        <v>668</v>
      </c>
      <c r="J26" t="s">
        <v>1740</v>
      </c>
      <c r="K26" t="s">
        <v>645</v>
      </c>
      <c r="N26" t="s">
        <v>1848</v>
      </c>
      <c r="O26" t="s">
        <v>1166</v>
      </c>
      <c r="Q26">
        <v>32</v>
      </c>
    </row>
    <row r="27" spans="6:17" x14ac:dyDescent="0.2">
      <c r="F27" t="s">
        <v>669</v>
      </c>
      <c r="G27" t="s">
        <v>670</v>
      </c>
      <c r="H27" t="s">
        <v>29</v>
      </c>
      <c r="I27" t="s">
        <v>671</v>
      </c>
      <c r="J27" t="s">
        <v>1740</v>
      </c>
      <c r="K27" t="s">
        <v>645</v>
      </c>
      <c r="N27" t="s">
        <v>1848</v>
      </c>
      <c r="O27" t="s">
        <v>1166</v>
      </c>
      <c r="Q27">
        <v>48</v>
      </c>
    </row>
    <row r="28" spans="6:17" x14ac:dyDescent="0.2">
      <c r="F28" t="s">
        <v>672</v>
      </c>
      <c r="G28" t="s">
        <v>673</v>
      </c>
      <c r="H28" t="s">
        <v>29</v>
      </c>
      <c r="I28" t="s">
        <v>674</v>
      </c>
      <c r="J28" t="s">
        <v>1740</v>
      </c>
      <c r="K28" t="s">
        <v>645</v>
      </c>
      <c r="N28" t="s">
        <v>1848</v>
      </c>
      <c r="O28" t="s">
        <v>1166</v>
      </c>
      <c r="Q28">
        <v>32</v>
      </c>
    </row>
    <row r="29" spans="6:17" x14ac:dyDescent="0.2">
      <c r="F29" t="s">
        <v>675</v>
      </c>
      <c r="G29" t="s">
        <v>676</v>
      </c>
      <c r="H29" t="s">
        <v>29</v>
      </c>
      <c r="I29" t="s">
        <v>677</v>
      </c>
      <c r="J29" t="s">
        <v>1740</v>
      </c>
      <c r="K29" t="s">
        <v>645</v>
      </c>
      <c r="N29" t="s">
        <v>1848</v>
      </c>
      <c r="O29" t="s">
        <v>1166</v>
      </c>
      <c r="Q29">
        <v>32</v>
      </c>
    </row>
    <row r="30" spans="6:17" x14ac:dyDescent="0.2">
      <c r="F30" t="s">
        <v>678</v>
      </c>
      <c r="G30" t="s">
        <v>679</v>
      </c>
      <c r="H30" t="s">
        <v>29</v>
      </c>
      <c r="J30" t="s">
        <v>1740</v>
      </c>
      <c r="K30" t="s">
        <v>645</v>
      </c>
      <c r="N30" t="s">
        <v>1848</v>
      </c>
    </row>
    <row r="31" spans="6:17" x14ac:dyDescent="0.2">
      <c r="F31" t="s">
        <v>680</v>
      </c>
      <c r="G31" t="s">
        <v>681</v>
      </c>
      <c r="H31" t="s">
        <v>29</v>
      </c>
      <c r="I31" t="s">
        <v>682</v>
      </c>
      <c r="J31" t="s">
        <v>1740</v>
      </c>
      <c r="K31" t="s">
        <v>645</v>
      </c>
      <c r="N31" t="s">
        <v>1848</v>
      </c>
      <c r="O31" t="s">
        <v>1166</v>
      </c>
      <c r="Q31">
        <v>32</v>
      </c>
    </row>
    <row r="32" spans="6:17" x14ac:dyDescent="0.2">
      <c r="F32" t="s">
        <v>683</v>
      </c>
      <c r="G32" t="s">
        <v>684</v>
      </c>
      <c r="H32" t="s">
        <v>29</v>
      </c>
      <c r="I32" t="s">
        <v>685</v>
      </c>
      <c r="J32" t="s">
        <v>1740</v>
      </c>
      <c r="K32" t="s">
        <v>645</v>
      </c>
      <c r="N32" t="s">
        <v>1848</v>
      </c>
      <c r="O32" t="s">
        <v>1166</v>
      </c>
      <c r="Q32">
        <v>32</v>
      </c>
    </row>
    <row r="33" spans="6:18" x14ac:dyDescent="0.2">
      <c r="F33" t="s">
        <v>686</v>
      </c>
      <c r="G33" t="s">
        <v>687</v>
      </c>
      <c r="H33" t="s">
        <v>29</v>
      </c>
      <c r="I33" t="s">
        <v>688</v>
      </c>
      <c r="J33" t="s">
        <v>1740</v>
      </c>
      <c r="K33" t="s">
        <v>645</v>
      </c>
      <c r="N33" t="s">
        <v>1848</v>
      </c>
      <c r="O33" t="s">
        <v>1166</v>
      </c>
      <c r="Q33">
        <v>32</v>
      </c>
    </row>
    <row r="34" spans="6:18" x14ac:dyDescent="0.2">
      <c r="F34" t="s">
        <v>1289</v>
      </c>
      <c r="G34" t="s">
        <v>1290</v>
      </c>
      <c r="I34" t="s">
        <v>1291</v>
      </c>
      <c r="J34" t="s">
        <v>1740</v>
      </c>
      <c r="K34" t="s">
        <v>730</v>
      </c>
      <c r="N34" t="s">
        <v>1848</v>
      </c>
      <c r="O34" t="s">
        <v>1166</v>
      </c>
      <c r="Q34">
        <v>32</v>
      </c>
    </row>
    <row r="35" spans="6:18" x14ac:dyDescent="0.2">
      <c r="F35" t="s">
        <v>1283</v>
      </c>
      <c r="G35" t="s">
        <v>1284</v>
      </c>
      <c r="H35" t="s">
        <v>29</v>
      </c>
      <c r="I35" t="s">
        <v>1285</v>
      </c>
      <c r="J35" t="s">
        <v>1546</v>
      </c>
      <c r="K35" t="s">
        <v>1788</v>
      </c>
      <c r="N35" t="s">
        <v>1848</v>
      </c>
      <c r="O35" t="s">
        <v>1166</v>
      </c>
      <c r="Q35">
        <v>32</v>
      </c>
    </row>
    <row r="36" spans="6:18" x14ac:dyDescent="0.2">
      <c r="F36" t="s">
        <v>1114</v>
      </c>
      <c r="G36" t="s">
        <v>1115</v>
      </c>
      <c r="H36" t="s">
        <v>29</v>
      </c>
      <c r="I36" t="s">
        <v>1116</v>
      </c>
      <c r="J36" t="s">
        <v>1546</v>
      </c>
      <c r="K36" t="s">
        <v>1117</v>
      </c>
      <c r="N36" t="s">
        <v>1848</v>
      </c>
      <c r="O36" t="s">
        <v>1166</v>
      </c>
      <c r="Q36">
        <v>32</v>
      </c>
      <c r="R36" t="s">
        <v>1826</v>
      </c>
    </row>
    <row r="37" spans="6:18" x14ac:dyDescent="0.2">
      <c r="F37" t="s">
        <v>1118</v>
      </c>
      <c r="G37" t="s">
        <v>1119</v>
      </c>
      <c r="H37" t="s">
        <v>29</v>
      </c>
      <c r="I37" t="s">
        <v>1120</v>
      </c>
      <c r="J37" t="s">
        <v>1546</v>
      </c>
      <c r="K37" t="s">
        <v>1117</v>
      </c>
      <c r="N37" t="s">
        <v>1848</v>
      </c>
      <c r="O37" t="s">
        <v>1166</v>
      </c>
      <c r="Q37">
        <v>32</v>
      </c>
      <c r="R37" t="s">
        <v>1826</v>
      </c>
    </row>
    <row r="38" spans="6:18" x14ac:dyDescent="0.2">
      <c r="F38" t="s">
        <v>1056</v>
      </c>
      <c r="G38" t="s">
        <v>1057</v>
      </c>
      <c r="H38" t="s">
        <v>29</v>
      </c>
      <c r="I38" t="s">
        <v>1058</v>
      </c>
      <c r="J38" t="s">
        <v>1546</v>
      </c>
      <c r="K38" t="s">
        <v>1117</v>
      </c>
      <c r="N38" t="s">
        <v>1848</v>
      </c>
      <c r="O38" t="s">
        <v>1166</v>
      </c>
      <c r="Q38">
        <v>256</v>
      </c>
    </row>
    <row r="39" spans="6:18" x14ac:dyDescent="0.2">
      <c r="F39" t="s">
        <v>1121</v>
      </c>
      <c r="G39" t="s">
        <v>1122</v>
      </c>
      <c r="H39" t="s">
        <v>29</v>
      </c>
      <c r="I39" t="s">
        <v>1123</v>
      </c>
      <c r="J39" t="s">
        <v>1546</v>
      </c>
      <c r="K39" t="s">
        <v>1117</v>
      </c>
      <c r="N39" t="s">
        <v>1848</v>
      </c>
      <c r="O39" t="s">
        <v>1166</v>
      </c>
      <c r="Q39">
        <v>32</v>
      </c>
      <c r="R39" t="s">
        <v>1826</v>
      </c>
    </row>
    <row r="40" spans="6:18" x14ac:dyDescent="0.2">
      <c r="F40" t="s">
        <v>1124</v>
      </c>
      <c r="G40" t="s">
        <v>1125</v>
      </c>
      <c r="H40" t="s">
        <v>29</v>
      </c>
      <c r="I40" t="s">
        <v>1126</v>
      </c>
      <c r="J40" t="s">
        <v>1546</v>
      </c>
      <c r="K40" t="s">
        <v>1117</v>
      </c>
      <c r="N40" t="s">
        <v>1848</v>
      </c>
      <c r="O40" t="s">
        <v>1166</v>
      </c>
      <c r="Q40">
        <v>32</v>
      </c>
      <c r="R40" t="s">
        <v>1826</v>
      </c>
    </row>
    <row r="41" spans="6:18" x14ac:dyDescent="0.2">
      <c r="F41" t="s">
        <v>1127</v>
      </c>
      <c r="G41" t="s">
        <v>1128</v>
      </c>
      <c r="H41" t="s">
        <v>29</v>
      </c>
      <c r="I41" t="s">
        <v>1129</v>
      </c>
      <c r="J41" t="s">
        <v>1546</v>
      </c>
      <c r="K41" t="s">
        <v>1117</v>
      </c>
      <c r="N41" t="s">
        <v>1848</v>
      </c>
      <c r="O41" t="s">
        <v>1166</v>
      </c>
      <c r="Q41">
        <v>16</v>
      </c>
    </row>
    <row r="42" spans="6:18" x14ac:dyDescent="0.2">
      <c r="F42" t="s">
        <v>1130</v>
      </c>
      <c r="G42" t="s">
        <v>1131</v>
      </c>
      <c r="H42" t="s">
        <v>29</v>
      </c>
      <c r="J42" t="s">
        <v>1546</v>
      </c>
      <c r="K42" t="s">
        <v>1117</v>
      </c>
      <c r="N42" t="s">
        <v>1848</v>
      </c>
      <c r="R42" t="s">
        <v>1826</v>
      </c>
    </row>
    <row r="43" spans="6:18" x14ac:dyDescent="0.2">
      <c r="F43" t="s">
        <v>1132</v>
      </c>
      <c r="G43" t="s">
        <v>1133</v>
      </c>
      <c r="H43" t="s">
        <v>29</v>
      </c>
      <c r="I43" t="s">
        <v>1134</v>
      </c>
      <c r="J43" t="s">
        <v>1546</v>
      </c>
      <c r="K43" t="s">
        <v>1117</v>
      </c>
      <c r="N43" t="s">
        <v>1848</v>
      </c>
      <c r="R43" t="s">
        <v>1826</v>
      </c>
    </row>
    <row r="44" spans="6:18" x14ac:dyDescent="0.2">
      <c r="F44" t="s">
        <v>1135</v>
      </c>
      <c r="G44" t="s">
        <v>1136</v>
      </c>
      <c r="H44" t="s">
        <v>29</v>
      </c>
      <c r="I44" t="s">
        <v>1137</v>
      </c>
      <c r="J44" t="s">
        <v>1546</v>
      </c>
      <c r="K44" t="s">
        <v>1117</v>
      </c>
      <c r="N44" t="s">
        <v>1848</v>
      </c>
      <c r="R44" t="s">
        <v>1826</v>
      </c>
    </row>
    <row r="45" spans="6:18" x14ac:dyDescent="0.2">
      <c r="F45" t="s">
        <v>1286</v>
      </c>
      <c r="G45" t="s">
        <v>1287</v>
      </c>
      <c r="I45" t="s">
        <v>1288</v>
      </c>
      <c r="J45" t="s">
        <v>1546</v>
      </c>
      <c r="K45" t="s">
        <v>1790</v>
      </c>
      <c r="N45" t="s">
        <v>1848</v>
      </c>
      <c r="O45" t="s">
        <v>1166</v>
      </c>
      <c r="Q45">
        <v>32</v>
      </c>
    </row>
    <row r="46" spans="6:18" x14ac:dyDescent="0.2">
      <c r="F46" t="s">
        <v>878</v>
      </c>
      <c r="G46" t="s">
        <v>879</v>
      </c>
      <c r="H46" t="s">
        <v>880</v>
      </c>
      <c r="I46" t="s">
        <v>881</v>
      </c>
      <c r="J46" t="s">
        <v>1771</v>
      </c>
      <c r="K46" t="s">
        <v>882</v>
      </c>
      <c r="N46" t="s">
        <v>1848</v>
      </c>
      <c r="O46" t="s">
        <v>1166</v>
      </c>
      <c r="Q46">
        <v>152</v>
      </c>
    </row>
    <row r="47" spans="6:18" x14ac:dyDescent="0.2">
      <c r="F47" t="s">
        <v>888</v>
      </c>
      <c r="G47" t="s">
        <v>889</v>
      </c>
      <c r="J47" t="s">
        <v>1771</v>
      </c>
      <c r="K47" t="s">
        <v>882</v>
      </c>
      <c r="N47" t="s">
        <v>1848</v>
      </c>
    </row>
    <row r="48" spans="6:18" x14ac:dyDescent="0.2">
      <c r="F48" t="s">
        <v>898</v>
      </c>
      <c r="G48" t="s">
        <v>899</v>
      </c>
      <c r="J48" t="s">
        <v>1771</v>
      </c>
      <c r="K48" t="s">
        <v>882</v>
      </c>
      <c r="N48" t="s">
        <v>1848</v>
      </c>
    </row>
    <row r="49" spans="6:14" x14ac:dyDescent="0.2">
      <c r="F49" t="s">
        <v>905</v>
      </c>
      <c r="G49" t="s">
        <v>906</v>
      </c>
      <c r="H49" t="s">
        <v>907</v>
      </c>
      <c r="J49" t="s">
        <v>1771</v>
      </c>
      <c r="K49" t="s">
        <v>882</v>
      </c>
      <c r="N49" t="s">
        <v>1848</v>
      </c>
    </row>
    <row r="50" spans="6:14" x14ac:dyDescent="0.2">
      <c r="F50" t="s">
        <v>883</v>
      </c>
      <c r="G50" t="s">
        <v>884</v>
      </c>
      <c r="H50" t="s">
        <v>885</v>
      </c>
      <c r="J50" t="s">
        <v>1771</v>
      </c>
      <c r="K50" t="s">
        <v>882</v>
      </c>
      <c r="N50" t="s">
        <v>1848</v>
      </c>
    </row>
    <row r="51" spans="6:14" x14ac:dyDescent="0.2">
      <c r="F51" t="s">
        <v>890</v>
      </c>
      <c r="G51" t="s">
        <v>891</v>
      </c>
      <c r="J51" t="s">
        <v>1771</v>
      </c>
      <c r="K51" t="s">
        <v>882</v>
      </c>
      <c r="N51" t="s">
        <v>1848</v>
      </c>
    </row>
    <row r="52" spans="6:14" x14ac:dyDescent="0.2">
      <c r="F52" t="s">
        <v>900</v>
      </c>
      <c r="G52" t="s">
        <v>901</v>
      </c>
      <c r="H52" t="s">
        <v>902</v>
      </c>
      <c r="J52" t="s">
        <v>1771</v>
      </c>
      <c r="K52" t="s">
        <v>882</v>
      </c>
      <c r="N52" t="s">
        <v>1848</v>
      </c>
    </row>
    <row r="53" spans="6:14" x14ac:dyDescent="0.2">
      <c r="F53" t="s">
        <v>908</v>
      </c>
      <c r="G53" t="s">
        <v>909</v>
      </c>
      <c r="H53" t="s">
        <v>910</v>
      </c>
      <c r="J53" t="s">
        <v>1771</v>
      </c>
      <c r="K53" t="s">
        <v>882</v>
      </c>
      <c r="N53" t="s">
        <v>1848</v>
      </c>
    </row>
    <row r="54" spans="6:14" x14ac:dyDescent="0.2">
      <c r="F54" t="s">
        <v>892</v>
      </c>
      <c r="G54" t="s">
        <v>893</v>
      </c>
      <c r="J54" t="s">
        <v>1771</v>
      </c>
      <c r="K54" t="s">
        <v>882</v>
      </c>
      <c r="N54" t="s">
        <v>1848</v>
      </c>
    </row>
    <row r="55" spans="6:14" x14ac:dyDescent="0.2">
      <c r="F55" t="s">
        <v>911</v>
      </c>
      <c r="G55" t="s">
        <v>912</v>
      </c>
      <c r="H55" t="s">
        <v>913</v>
      </c>
      <c r="J55" t="s">
        <v>1771</v>
      </c>
      <c r="K55" t="s">
        <v>882</v>
      </c>
      <c r="N55" t="s">
        <v>1848</v>
      </c>
    </row>
    <row r="56" spans="6:14" x14ac:dyDescent="0.2">
      <c r="F56" t="s">
        <v>894</v>
      </c>
      <c r="G56" t="s">
        <v>895</v>
      </c>
      <c r="J56" t="s">
        <v>1771</v>
      </c>
      <c r="K56" t="s">
        <v>882</v>
      </c>
      <c r="N56" t="s">
        <v>1848</v>
      </c>
    </row>
    <row r="57" spans="6:14" x14ac:dyDescent="0.2">
      <c r="F57" t="s">
        <v>914</v>
      </c>
      <c r="G57" t="s">
        <v>915</v>
      </c>
      <c r="H57" t="s">
        <v>916</v>
      </c>
      <c r="J57" t="s">
        <v>1771</v>
      </c>
      <c r="K57" t="s">
        <v>882</v>
      </c>
      <c r="N57" t="s">
        <v>1848</v>
      </c>
    </row>
    <row r="58" spans="6:14" x14ac:dyDescent="0.2">
      <c r="F58" t="s">
        <v>917</v>
      </c>
      <c r="G58" t="s">
        <v>918</v>
      </c>
      <c r="H58" t="s">
        <v>919</v>
      </c>
      <c r="J58" t="s">
        <v>1771</v>
      </c>
      <c r="K58" t="s">
        <v>882</v>
      </c>
      <c r="N58" t="s">
        <v>1848</v>
      </c>
    </row>
    <row r="59" spans="6:14" x14ac:dyDescent="0.2">
      <c r="F59" t="s">
        <v>920</v>
      </c>
      <c r="G59" t="s">
        <v>921</v>
      </c>
      <c r="J59" t="s">
        <v>1771</v>
      </c>
      <c r="K59" t="s">
        <v>882</v>
      </c>
      <c r="N59" t="s">
        <v>1848</v>
      </c>
    </row>
    <row r="60" spans="6:14" x14ac:dyDescent="0.2">
      <c r="F60" t="s">
        <v>922</v>
      </c>
      <c r="G60" t="s">
        <v>923</v>
      </c>
      <c r="H60" t="s">
        <v>924</v>
      </c>
      <c r="J60" t="s">
        <v>1771</v>
      </c>
      <c r="K60" t="s">
        <v>882</v>
      </c>
      <c r="N60" t="s">
        <v>1848</v>
      </c>
    </row>
    <row r="61" spans="6:14" x14ac:dyDescent="0.2">
      <c r="F61" t="s">
        <v>925</v>
      </c>
      <c r="G61" t="s">
        <v>926</v>
      </c>
      <c r="H61" t="s">
        <v>927</v>
      </c>
      <c r="J61" t="s">
        <v>1771</v>
      </c>
      <c r="K61" t="s">
        <v>882</v>
      </c>
      <c r="N61" t="s">
        <v>1848</v>
      </c>
    </row>
    <row r="62" spans="6:14" x14ac:dyDescent="0.2">
      <c r="J62" t="s">
        <v>1771</v>
      </c>
      <c r="K62" t="s">
        <v>882</v>
      </c>
      <c r="L62" t="s">
        <v>1775</v>
      </c>
    </row>
    <row r="63" spans="6:14" x14ac:dyDescent="0.2">
      <c r="F63" t="s">
        <v>1834</v>
      </c>
      <c r="G63" t="s">
        <v>886</v>
      </c>
      <c r="J63" t="s">
        <v>1771</v>
      </c>
      <c r="K63" t="s">
        <v>882</v>
      </c>
      <c r="L63" t="s">
        <v>1775</v>
      </c>
      <c r="M63" t="s">
        <v>1835</v>
      </c>
      <c r="N63" t="s">
        <v>1848</v>
      </c>
    </row>
    <row r="64" spans="6:14" x14ac:dyDescent="0.2">
      <c r="F64" t="s">
        <v>1834</v>
      </c>
      <c r="G64" t="s">
        <v>887</v>
      </c>
      <c r="J64" t="s">
        <v>1771</v>
      </c>
      <c r="K64" t="s">
        <v>882</v>
      </c>
      <c r="L64" t="s">
        <v>1775</v>
      </c>
      <c r="M64" t="s">
        <v>1780</v>
      </c>
      <c r="N64" t="s">
        <v>1848</v>
      </c>
    </row>
    <row r="65" spans="6:14" x14ac:dyDescent="0.2">
      <c r="F65" t="s">
        <v>903</v>
      </c>
      <c r="G65" t="s">
        <v>904</v>
      </c>
      <c r="J65" t="s">
        <v>1771</v>
      </c>
      <c r="K65" t="s">
        <v>882</v>
      </c>
      <c r="L65" t="s">
        <v>1775</v>
      </c>
      <c r="M65" t="s">
        <v>1780</v>
      </c>
      <c r="N65" t="s">
        <v>1848</v>
      </c>
    </row>
    <row r="66" spans="6:14" x14ac:dyDescent="0.2">
      <c r="F66" t="s">
        <v>1836</v>
      </c>
      <c r="G66" t="s">
        <v>896</v>
      </c>
      <c r="J66" t="s">
        <v>1771</v>
      </c>
      <c r="K66" t="s">
        <v>882</v>
      </c>
      <c r="L66" t="s">
        <v>1775</v>
      </c>
      <c r="M66" t="s">
        <v>1782</v>
      </c>
      <c r="N66" t="s">
        <v>1848</v>
      </c>
    </row>
    <row r="67" spans="6:14" x14ac:dyDescent="0.2">
      <c r="F67" t="s">
        <v>1837</v>
      </c>
      <c r="G67" t="s">
        <v>897</v>
      </c>
      <c r="J67" t="s">
        <v>1771</v>
      </c>
      <c r="K67" t="s">
        <v>882</v>
      </c>
      <c r="L67" t="s">
        <v>1775</v>
      </c>
      <c r="M67" t="s">
        <v>1778</v>
      </c>
      <c r="N67" t="s">
        <v>1848</v>
      </c>
    </row>
    <row r="68" spans="6:14" x14ac:dyDescent="0.2">
      <c r="F68" t="s">
        <v>1838</v>
      </c>
      <c r="G68" t="s">
        <v>961</v>
      </c>
      <c r="J68" t="s">
        <v>1771</v>
      </c>
      <c r="K68" t="s">
        <v>882</v>
      </c>
      <c r="L68" t="s">
        <v>1775</v>
      </c>
      <c r="M68" t="s">
        <v>1778</v>
      </c>
      <c r="N68" t="s">
        <v>1848</v>
      </c>
    </row>
    <row r="69" spans="6:14" x14ac:dyDescent="0.2">
      <c r="F69" t="s">
        <v>946</v>
      </c>
      <c r="G69" t="s">
        <v>947</v>
      </c>
      <c r="J69" t="s">
        <v>1771</v>
      </c>
      <c r="K69" t="s">
        <v>882</v>
      </c>
      <c r="L69" t="s">
        <v>1775</v>
      </c>
      <c r="M69" t="s">
        <v>1783</v>
      </c>
      <c r="N69" t="s">
        <v>1848</v>
      </c>
    </row>
    <row r="70" spans="6:14" x14ac:dyDescent="0.2">
      <c r="F70" t="s">
        <v>966</v>
      </c>
      <c r="G70" t="s">
        <v>967</v>
      </c>
      <c r="J70" t="s">
        <v>1771</v>
      </c>
      <c r="K70" t="s">
        <v>882</v>
      </c>
      <c r="L70" t="s">
        <v>1775</v>
      </c>
      <c r="M70" t="s">
        <v>1839</v>
      </c>
      <c r="N70" t="s">
        <v>1848</v>
      </c>
    </row>
    <row r="71" spans="6:14" x14ac:dyDescent="0.2">
      <c r="F71" t="s">
        <v>980</v>
      </c>
      <c r="G71" t="s">
        <v>981</v>
      </c>
      <c r="J71" t="s">
        <v>1771</v>
      </c>
      <c r="K71" t="s">
        <v>882</v>
      </c>
      <c r="L71" t="s">
        <v>1775</v>
      </c>
      <c r="M71" t="s">
        <v>1840</v>
      </c>
      <c r="N71" t="s">
        <v>1848</v>
      </c>
    </row>
    <row r="72" spans="6:14" x14ac:dyDescent="0.2">
      <c r="F72" t="s">
        <v>1033</v>
      </c>
      <c r="G72" t="s">
        <v>1034</v>
      </c>
      <c r="H72" t="s">
        <v>1035</v>
      </c>
      <c r="J72" t="s">
        <v>1771</v>
      </c>
      <c r="K72" t="s">
        <v>882</v>
      </c>
      <c r="L72" t="s">
        <v>1775</v>
      </c>
      <c r="M72" t="s">
        <v>1840</v>
      </c>
      <c r="N72" t="s">
        <v>1848</v>
      </c>
    </row>
    <row r="73" spans="6:14" x14ac:dyDescent="0.2">
      <c r="F73" t="s">
        <v>931</v>
      </c>
      <c r="G73" t="s">
        <v>932</v>
      </c>
      <c r="J73" t="s">
        <v>1771</v>
      </c>
      <c r="K73" t="s">
        <v>882</v>
      </c>
      <c r="L73" t="s">
        <v>933</v>
      </c>
      <c r="N73" t="s">
        <v>1848</v>
      </c>
    </row>
    <row r="74" spans="6:14" x14ac:dyDescent="0.2">
      <c r="F74" t="s">
        <v>934</v>
      </c>
      <c r="G74" t="s">
        <v>935</v>
      </c>
      <c r="J74" t="s">
        <v>1771</v>
      </c>
      <c r="K74" t="s">
        <v>882</v>
      </c>
      <c r="L74" t="s">
        <v>933</v>
      </c>
      <c r="N74" t="s">
        <v>1848</v>
      </c>
    </row>
    <row r="75" spans="6:14" x14ac:dyDescent="0.2">
      <c r="F75" t="s">
        <v>936</v>
      </c>
      <c r="G75" t="s">
        <v>937</v>
      </c>
      <c r="J75" t="s">
        <v>1771</v>
      </c>
      <c r="K75" t="s">
        <v>882</v>
      </c>
      <c r="L75" t="s">
        <v>938</v>
      </c>
      <c r="N75" t="s">
        <v>1848</v>
      </c>
    </row>
    <row r="76" spans="6:14" x14ac:dyDescent="0.2">
      <c r="F76" t="s">
        <v>939</v>
      </c>
      <c r="G76" t="s">
        <v>940</v>
      </c>
      <c r="J76" t="s">
        <v>1771</v>
      </c>
      <c r="K76" t="s">
        <v>882</v>
      </c>
      <c r="L76" t="s">
        <v>941</v>
      </c>
      <c r="N76" t="s">
        <v>1848</v>
      </c>
    </row>
    <row r="77" spans="6:14" x14ac:dyDescent="0.2">
      <c r="F77" t="s">
        <v>942</v>
      </c>
      <c r="G77" t="s">
        <v>943</v>
      </c>
      <c r="H77" t="s">
        <v>944</v>
      </c>
      <c r="J77" t="s">
        <v>1771</v>
      </c>
      <c r="K77" t="s">
        <v>882</v>
      </c>
      <c r="L77" t="s">
        <v>945</v>
      </c>
      <c r="N77" t="s">
        <v>1848</v>
      </c>
    </row>
    <row r="78" spans="6:14" x14ac:dyDescent="0.2">
      <c r="F78" t="s">
        <v>949</v>
      </c>
      <c r="G78" t="s">
        <v>950</v>
      </c>
      <c r="J78" t="s">
        <v>1771</v>
      </c>
      <c r="K78" t="s">
        <v>882</v>
      </c>
      <c r="L78" t="s">
        <v>951</v>
      </c>
      <c r="N78" t="s">
        <v>1848</v>
      </c>
    </row>
    <row r="79" spans="6:14" x14ac:dyDescent="0.2">
      <c r="F79" t="s">
        <v>952</v>
      </c>
      <c r="G79" t="s">
        <v>953</v>
      </c>
      <c r="J79" t="s">
        <v>1771</v>
      </c>
      <c r="K79" t="s">
        <v>882</v>
      </c>
      <c r="L79" t="s">
        <v>952</v>
      </c>
      <c r="N79" t="s">
        <v>1848</v>
      </c>
    </row>
    <row r="80" spans="6:14" x14ac:dyDescent="0.2">
      <c r="F80" t="s">
        <v>954</v>
      </c>
      <c r="G80" t="s">
        <v>955</v>
      </c>
      <c r="J80" t="s">
        <v>1771</v>
      </c>
      <c r="K80" t="s">
        <v>882</v>
      </c>
      <c r="L80" t="s">
        <v>952</v>
      </c>
      <c r="N80" t="s">
        <v>1848</v>
      </c>
    </row>
    <row r="81" spans="6:14" x14ac:dyDescent="0.2">
      <c r="F81" t="s">
        <v>956</v>
      </c>
      <c r="G81" t="s">
        <v>957</v>
      </c>
      <c r="J81" t="s">
        <v>1771</v>
      </c>
      <c r="K81" t="s">
        <v>882</v>
      </c>
      <c r="L81" t="s">
        <v>958</v>
      </c>
      <c r="N81" t="s">
        <v>1848</v>
      </c>
    </row>
    <row r="82" spans="6:14" x14ac:dyDescent="0.2">
      <c r="F82" t="s">
        <v>959</v>
      </c>
      <c r="G82" t="s">
        <v>960</v>
      </c>
      <c r="J82" t="s">
        <v>1771</v>
      </c>
      <c r="K82" t="s">
        <v>882</v>
      </c>
      <c r="L82" t="s">
        <v>958</v>
      </c>
      <c r="N82" t="s">
        <v>1848</v>
      </c>
    </row>
    <row r="83" spans="6:14" x14ac:dyDescent="0.2">
      <c r="F83" t="s">
        <v>963</v>
      </c>
      <c r="G83" t="s">
        <v>964</v>
      </c>
      <c r="J83" t="s">
        <v>1771</v>
      </c>
      <c r="K83" t="s">
        <v>882</v>
      </c>
      <c r="L83" t="s">
        <v>965</v>
      </c>
      <c r="N83" t="s">
        <v>1848</v>
      </c>
    </row>
    <row r="84" spans="6:14" x14ac:dyDescent="0.2">
      <c r="F84" t="s">
        <v>969</v>
      </c>
      <c r="G84" t="s">
        <v>970</v>
      </c>
      <c r="J84" t="s">
        <v>1771</v>
      </c>
      <c r="K84" t="s">
        <v>882</v>
      </c>
      <c r="L84" t="s">
        <v>971</v>
      </c>
      <c r="N84" t="s">
        <v>1848</v>
      </c>
    </row>
    <row r="85" spans="6:14" x14ac:dyDescent="0.2">
      <c r="F85" t="s">
        <v>972</v>
      </c>
      <c r="G85" t="s">
        <v>973</v>
      </c>
      <c r="J85" t="s">
        <v>1771</v>
      </c>
      <c r="K85" t="s">
        <v>882</v>
      </c>
      <c r="L85" t="s">
        <v>974</v>
      </c>
      <c r="N85" t="s">
        <v>1848</v>
      </c>
    </row>
    <row r="86" spans="6:14" x14ac:dyDescent="0.2">
      <c r="F86" t="s">
        <v>975</v>
      </c>
      <c r="G86" t="s">
        <v>976</v>
      </c>
      <c r="J86" t="s">
        <v>1771</v>
      </c>
      <c r="K86" t="s">
        <v>882</v>
      </c>
      <c r="L86" t="s">
        <v>977</v>
      </c>
      <c r="N86" t="s">
        <v>1848</v>
      </c>
    </row>
    <row r="87" spans="6:14" x14ac:dyDescent="0.2">
      <c r="F87" t="s">
        <v>978</v>
      </c>
      <c r="G87" t="s">
        <v>979</v>
      </c>
      <c r="J87" t="s">
        <v>1771</v>
      </c>
      <c r="K87" t="s">
        <v>882</v>
      </c>
      <c r="L87" t="s">
        <v>977</v>
      </c>
      <c r="N87" t="s">
        <v>1848</v>
      </c>
    </row>
    <row r="88" spans="6:14" x14ac:dyDescent="0.2">
      <c r="F88" t="s">
        <v>983</v>
      </c>
      <c r="G88" t="s">
        <v>984</v>
      </c>
      <c r="J88" t="s">
        <v>1771</v>
      </c>
      <c r="K88" t="s">
        <v>882</v>
      </c>
      <c r="L88" t="s">
        <v>985</v>
      </c>
      <c r="N88" t="s">
        <v>1848</v>
      </c>
    </row>
    <row r="89" spans="6:14" x14ac:dyDescent="0.2">
      <c r="F89" t="s">
        <v>986</v>
      </c>
      <c r="G89" t="s">
        <v>987</v>
      </c>
      <c r="H89" t="s">
        <v>988</v>
      </c>
      <c r="J89" t="s">
        <v>1771</v>
      </c>
      <c r="K89" t="s">
        <v>882</v>
      </c>
      <c r="L89" t="s">
        <v>985</v>
      </c>
      <c r="N89" t="s">
        <v>1848</v>
      </c>
    </row>
    <row r="90" spans="6:14" x14ac:dyDescent="0.2">
      <c r="F90" t="s">
        <v>989</v>
      </c>
      <c r="G90" t="s">
        <v>990</v>
      </c>
      <c r="H90" t="s">
        <v>991</v>
      </c>
      <c r="J90" t="s">
        <v>1771</v>
      </c>
      <c r="K90" t="s">
        <v>882</v>
      </c>
      <c r="L90" t="s">
        <v>985</v>
      </c>
      <c r="N90" t="s">
        <v>1848</v>
      </c>
    </row>
    <row r="91" spans="6:14" x14ac:dyDescent="0.2">
      <c r="F91" t="s">
        <v>928</v>
      </c>
      <c r="G91" t="s">
        <v>929</v>
      </c>
      <c r="J91" t="s">
        <v>1771</v>
      </c>
      <c r="K91" t="s">
        <v>882</v>
      </c>
      <c r="L91" t="s">
        <v>930</v>
      </c>
      <c r="N91" t="s">
        <v>1848</v>
      </c>
    </row>
    <row r="92" spans="6:14" x14ac:dyDescent="0.2">
      <c r="F92" t="s">
        <v>992</v>
      </c>
      <c r="G92" t="s">
        <v>993</v>
      </c>
      <c r="H92" t="s">
        <v>994</v>
      </c>
      <c r="J92" t="s">
        <v>1771</v>
      </c>
      <c r="K92" t="s">
        <v>995</v>
      </c>
      <c r="N92" t="s">
        <v>1848</v>
      </c>
    </row>
    <row r="93" spans="6:14" x14ac:dyDescent="0.2">
      <c r="F93" t="s">
        <v>996</v>
      </c>
      <c r="G93" t="s">
        <v>997</v>
      </c>
      <c r="J93" t="s">
        <v>1771</v>
      </c>
      <c r="K93" t="s">
        <v>995</v>
      </c>
      <c r="L93" t="s">
        <v>992</v>
      </c>
      <c r="N93" t="s">
        <v>1848</v>
      </c>
    </row>
    <row r="94" spans="6:14" x14ac:dyDescent="0.2">
      <c r="F94" t="s">
        <v>998</v>
      </c>
      <c r="G94" t="s">
        <v>999</v>
      </c>
      <c r="I94" t="s">
        <v>1000</v>
      </c>
      <c r="J94" t="s">
        <v>1771</v>
      </c>
      <c r="K94" t="s">
        <v>1001</v>
      </c>
      <c r="N94" t="s">
        <v>1848</v>
      </c>
    </row>
    <row r="95" spans="6:14" x14ac:dyDescent="0.2">
      <c r="F95" t="s">
        <v>1002</v>
      </c>
      <c r="G95" t="s">
        <v>1003</v>
      </c>
      <c r="I95" t="s">
        <v>1004</v>
      </c>
      <c r="J95" t="s">
        <v>1771</v>
      </c>
      <c r="K95" t="s">
        <v>1001</v>
      </c>
      <c r="N95" t="s">
        <v>1848</v>
      </c>
    </row>
    <row r="96" spans="6:14" x14ac:dyDescent="0.2">
      <c r="F96" t="s">
        <v>1005</v>
      </c>
      <c r="G96" t="s">
        <v>1006</v>
      </c>
      <c r="I96" t="s">
        <v>1007</v>
      </c>
      <c r="J96" t="s">
        <v>1771</v>
      </c>
      <c r="K96" t="s">
        <v>1001</v>
      </c>
      <c r="N96" t="s">
        <v>1848</v>
      </c>
    </row>
    <row r="97" spans="6:19" x14ac:dyDescent="0.2">
      <c r="F97" t="s">
        <v>1008</v>
      </c>
      <c r="G97" t="s">
        <v>1009</v>
      </c>
      <c r="I97" t="s">
        <v>1010</v>
      </c>
      <c r="J97" t="s">
        <v>1771</v>
      </c>
      <c r="K97" t="s">
        <v>1001</v>
      </c>
      <c r="N97" t="s">
        <v>1848</v>
      </c>
    </row>
    <row r="98" spans="6:19" x14ac:dyDescent="0.2">
      <c r="F98" t="s">
        <v>1011</v>
      </c>
      <c r="G98" t="s">
        <v>1012</v>
      </c>
      <c r="J98" t="s">
        <v>1771</v>
      </c>
      <c r="K98" t="s">
        <v>1001</v>
      </c>
      <c r="N98" t="s">
        <v>1848</v>
      </c>
    </row>
    <row r="99" spans="6:19" x14ac:dyDescent="0.2">
      <c r="F99" t="s">
        <v>1013</v>
      </c>
      <c r="G99" t="s">
        <v>1014</v>
      </c>
      <c r="J99" t="s">
        <v>1771</v>
      </c>
      <c r="K99" t="s">
        <v>1001</v>
      </c>
      <c r="N99" t="s">
        <v>1848</v>
      </c>
    </row>
    <row r="100" spans="6:19" x14ac:dyDescent="0.2">
      <c r="F100" t="s">
        <v>1015</v>
      </c>
      <c r="G100" t="s">
        <v>1016</v>
      </c>
      <c r="H100" t="s">
        <v>1017</v>
      </c>
      <c r="J100" t="s">
        <v>1771</v>
      </c>
      <c r="K100" t="s">
        <v>1001</v>
      </c>
      <c r="N100" t="s">
        <v>1848</v>
      </c>
    </row>
    <row r="101" spans="6:19" x14ac:dyDescent="0.2">
      <c r="F101" t="s">
        <v>1018</v>
      </c>
      <c r="G101" t="s">
        <v>1019</v>
      </c>
      <c r="I101" t="s">
        <v>1020</v>
      </c>
      <c r="J101" t="s">
        <v>1771</v>
      </c>
      <c r="K101" t="s">
        <v>1021</v>
      </c>
      <c r="N101" t="s">
        <v>1848</v>
      </c>
      <c r="O101" t="s">
        <v>1166</v>
      </c>
      <c r="Q101">
        <v>16</v>
      </c>
    </row>
    <row r="102" spans="6:19" x14ac:dyDescent="0.2">
      <c r="F102" t="s">
        <v>1022</v>
      </c>
      <c r="G102" t="s">
        <v>1023</v>
      </c>
      <c r="H102" t="s">
        <v>29</v>
      </c>
      <c r="J102" t="s">
        <v>1771</v>
      </c>
      <c r="K102" t="s">
        <v>1021</v>
      </c>
      <c r="N102" t="s">
        <v>1848</v>
      </c>
    </row>
    <row r="103" spans="6:19" x14ac:dyDescent="0.2">
      <c r="F103" t="s">
        <v>1024</v>
      </c>
      <c r="G103" t="s">
        <v>1025</v>
      </c>
      <c r="H103" t="s">
        <v>1026</v>
      </c>
      <c r="J103" t="s">
        <v>1771</v>
      </c>
      <c r="K103" t="s">
        <v>1021</v>
      </c>
      <c r="N103" t="s">
        <v>1848</v>
      </c>
    </row>
    <row r="104" spans="6:19" x14ac:dyDescent="0.2">
      <c r="F104" t="s">
        <v>1027</v>
      </c>
      <c r="G104" t="s">
        <v>1028</v>
      </c>
      <c r="J104" t="s">
        <v>1771</v>
      </c>
      <c r="K104" t="s">
        <v>1029</v>
      </c>
      <c r="N104" t="s">
        <v>1848</v>
      </c>
    </row>
    <row r="105" spans="6:19" x14ac:dyDescent="0.2">
      <c r="F105" t="s">
        <v>1030</v>
      </c>
      <c r="G105" t="s">
        <v>1031</v>
      </c>
      <c r="J105" t="s">
        <v>1771</v>
      </c>
      <c r="K105" t="s">
        <v>1029</v>
      </c>
      <c r="L105" t="s">
        <v>1032</v>
      </c>
      <c r="N105" t="s">
        <v>1848</v>
      </c>
    </row>
    <row r="106" spans="6:19" x14ac:dyDescent="0.2">
      <c r="F106" t="s">
        <v>1036</v>
      </c>
      <c r="G106" t="s">
        <v>1037</v>
      </c>
      <c r="H106" t="s">
        <v>1038</v>
      </c>
      <c r="J106" t="s">
        <v>1771</v>
      </c>
      <c r="K106" t="s">
        <v>1029</v>
      </c>
      <c r="L106" t="s">
        <v>1039</v>
      </c>
      <c r="N106" t="s">
        <v>1848</v>
      </c>
    </row>
    <row r="107" spans="6:19" x14ac:dyDescent="0.2">
      <c r="F107" t="s">
        <v>1080</v>
      </c>
      <c r="G107" t="s">
        <v>1081</v>
      </c>
      <c r="H107" t="s">
        <v>29</v>
      </c>
      <c r="I107" t="s">
        <v>1082</v>
      </c>
      <c r="J107" t="s">
        <v>730</v>
      </c>
      <c r="K107" t="s">
        <v>1083</v>
      </c>
      <c r="N107" t="s">
        <v>1848</v>
      </c>
      <c r="O107" t="s">
        <v>1166</v>
      </c>
      <c r="Q107" t="s">
        <v>1084</v>
      </c>
      <c r="R107" t="s">
        <v>1826</v>
      </c>
    </row>
    <row r="108" spans="6:19" x14ac:dyDescent="0.2">
      <c r="F108" t="s">
        <v>1085</v>
      </c>
      <c r="G108" t="s">
        <v>1086</v>
      </c>
      <c r="H108" t="s">
        <v>29</v>
      </c>
      <c r="I108" t="s">
        <v>1087</v>
      </c>
      <c r="J108" t="s">
        <v>730</v>
      </c>
      <c r="K108" t="s">
        <v>1083</v>
      </c>
      <c r="N108" t="s">
        <v>1848</v>
      </c>
      <c r="O108" t="s">
        <v>1166</v>
      </c>
      <c r="Q108">
        <v>16</v>
      </c>
      <c r="R108" t="s">
        <v>1826</v>
      </c>
      <c r="S108" t="s">
        <v>1830</v>
      </c>
    </row>
    <row r="109" spans="6:19" x14ac:dyDescent="0.2">
      <c r="F109" t="s">
        <v>1088</v>
      </c>
      <c r="G109" t="s">
        <v>1089</v>
      </c>
      <c r="H109" t="s">
        <v>29</v>
      </c>
      <c r="I109" t="s">
        <v>1090</v>
      </c>
      <c r="J109" t="s">
        <v>730</v>
      </c>
      <c r="K109" t="s">
        <v>1083</v>
      </c>
      <c r="N109" t="s">
        <v>1848</v>
      </c>
      <c r="O109" t="s">
        <v>1166</v>
      </c>
      <c r="Q109">
        <v>48</v>
      </c>
      <c r="R109" t="s">
        <v>1826</v>
      </c>
      <c r="S109" t="s">
        <v>1830</v>
      </c>
    </row>
    <row r="110" spans="6:19" x14ac:dyDescent="0.2">
      <c r="F110" t="s">
        <v>1091</v>
      </c>
      <c r="G110" t="s">
        <v>1092</v>
      </c>
      <c r="H110" t="s">
        <v>29</v>
      </c>
      <c r="I110" t="s">
        <v>1093</v>
      </c>
      <c r="J110" t="s">
        <v>730</v>
      </c>
      <c r="K110" t="s">
        <v>1083</v>
      </c>
      <c r="N110" t="s">
        <v>1848</v>
      </c>
      <c r="O110" t="s">
        <v>1166</v>
      </c>
      <c r="Q110">
        <v>16</v>
      </c>
      <c r="R110" t="s">
        <v>1826</v>
      </c>
      <c r="S110" t="s">
        <v>1830</v>
      </c>
    </row>
    <row r="111" spans="6:19" x14ac:dyDescent="0.2">
      <c r="F111" t="s">
        <v>1094</v>
      </c>
      <c r="G111" t="s">
        <v>1095</v>
      </c>
      <c r="H111" t="s">
        <v>29</v>
      </c>
      <c r="I111" t="s">
        <v>1096</v>
      </c>
      <c r="J111" t="s">
        <v>730</v>
      </c>
      <c r="K111" t="s">
        <v>1083</v>
      </c>
      <c r="N111" t="s">
        <v>1848</v>
      </c>
      <c r="O111" t="s">
        <v>1166</v>
      </c>
      <c r="Q111">
        <v>48</v>
      </c>
      <c r="R111" t="s">
        <v>1826</v>
      </c>
      <c r="S111" t="s">
        <v>1830</v>
      </c>
    </row>
    <row r="112" spans="6:19" x14ac:dyDescent="0.2">
      <c r="F112" t="s">
        <v>1097</v>
      </c>
      <c r="G112" t="s">
        <v>1098</v>
      </c>
      <c r="I112" t="s">
        <v>1099</v>
      </c>
      <c r="J112" t="s">
        <v>730</v>
      </c>
      <c r="K112" t="s">
        <v>1083</v>
      </c>
      <c r="N112" t="s">
        <v>1848</v>
      </c>
      <c r="O112" t="s">
        <v>1166</v>
      </c>
      <c r="Q112">
        <v>16</v>
      </c>
      <c r="R112" t="s">
        <v>1826</v>
      </c>
      <c r="S112" t="s">
        <v>1830</v>
      </c>
    </row>
    <row r="113" spans="6:19" x14ac:dyDescent="0.2">
      <c r="F113">
        <v>1688</v>
      </c>
      <c r="G113" t="s">
        <v>1100</v>
      </c>
      <c r="I113" t="s">
        <v>1101</v>
      </c>
      <c r="J113" t="s">
        <v>730</v>
      </c>
      <c r="K113" t="s">
        <v>1083</v>
      </c>
      <c r="N113" t="s">
        <v>1848</v>
      </c>
      <c r="O113" t="s">
        <v>1166</v>
      </c>
      <c r="Q113">
        <v>16</v>
      </c>
      <c r="R113" t="s">
        <v>1826</v>
      </c>
      <c r="S113" t="s">
        <v>1830</v>
      </c>
    </row>
    <row r="114" spans="6:19" x14ac:dyDescent="0.2">
      <c r="F114" t="s">
        <v>1102</v>
      </c>
      <c r="G114" t="s">
        <v>1103</v>
      </c>
      <c r="I114" t="s">
        <v>1104</v>
      </c>
      <c r="J114" t="s">
        <v>730</v>
      </c>
      <c r="K114" t="s">
        <v>1083</v>
      </c>
      <c r="N114" t="s">
        <v>1848</v>
      </c>
      <c r="O114" t="s">
        <v>1166</v>
      </c>
      <c r="Q114">
        <v>16</v>
      </c>
      <c r="R114" t="s">
        <v>1826</v>
      </c>
      <c r="S114" t="s">
        <v>1830</v>
      </c>
    </row>
    <row r="115" spans="6:19" x14ac:dyDescent="0.2">
      <c r="F115" t="s">
        <v>1105</v>
      </c>
      <c r="G115" t="s">
        <v>1106</v>
      </c>
      <c r="I115" t="s">
        <v>1107</v>
      </c>
      <c r="J115" t="s">
        <v>730</v>
      </c>
      <c r="K115" t="s">
        <v>1083</v>
      </c>
      <c r="N115" t="s">
        <v>1848</v>
      </c>
      <c r="O115" t="s">
        <v>1166</v>
      </c>
      <c r="Q115">
        <v>16</v>
      </c>
      <c r="R115" t="s">
        <v>1826</v>
      </c>
      <c r="S115" t="s">
        <v>1830</v>
      </c>
    </row>
    <row r="116" spans="6:19" x14ac:dyDescent="0.2">
      <c r="F116" t="s">
        <v>1108</v>
      </c>
      <c r="G116" t="s">
        <v>1109</v>
      </c>
      <c r="I116" t="s">
        <v>1110</v>
      </c>
      <c r="J116" t="s">
        <v>730</v>
      </c>
      <c r="K116" t="s">
        <v>1083</v>
      </c>
      <c r="N116" t="s">
        <v>1848</v>
      </c>
      <c r="O116" t="s">
        <v>1166</v>
      </c>
      <c r="Q116">
        <v>16</v>
      </c>
      <c r="R116" t="s">
        <v>1826</v>
      </c>
      <c r="S116" t="s">
        <v>1830</v>
      </c>
    </row>
    <row r="117" spans="6:19" x14ac:dyDescent="0.2">
      <c r="F117" t="s">
        <v>1111</v>
      </c>
      <c r="G117" t="s">
        <v>1112</v>
      </c>
      <c r="I117" t="s">
        <v>1113</v>
      </c>
      <c r="J117" t="s">
        <v>730</v>
      </c>
      <c r="K117" t="s">
        <v>1083</v>
      </c>
      <c r="N117" t="s">
        <v>1848</v>
      </c>
      <c r="O117" t="s">
        <v>1166</v>
      </c>
      <c r="Q117">
        <v>48</v>
      </c>
      <c r="R117" t="s">
        <v>1826</v>
      </c>
      <c r="S117" t="s">
        <v>1830</v>
      </c>
    </row>
    <row r="118" spans="6:19" x14ac:dyDescent="0.2">
      <c r="F118" t="s">
        <v>1138</v>
      </c>
      <c r="G118" t="s">
        <v>1139</v>
      </c>
      <c r="H118" t="s">
        <v>29</v>
      </c>
      <c r="I118" t="s">
        <v>1140</v>
      </c>
      <c r="J118" t="s">
        <v>730</v>
      </c>
      <c r="K118" t="s">
        <v>552</v>
      </c>
      <c r="N118" t="s">
        <v>1848</v>
      </c>
      <c r="O118" t="s">
        <v>1166</v>
      </c>
      <c r="Q118">
        <v>32</v>
      </c>
      <c r="R118" t="s">
        <v>1826</v>
      </c>
    </row>
    <row r="119" spans="6:19" x14ac:dyDescent="0.2">
      <c r="F119" t="s">
        <v>1141</v>
      </c>
      <c r="G119" t="s">
        <v>1142</v>
      </c>
      <c r="H119" t="s">
        <v>29</v>
      </c>
      <c r="I119" t="s">
        <v>1143</v>
      </c>
      <c r="J119" t="s">
        <v>730</v>
      </c>
      <c r="K119" t="s">
        <v>552</v>
      </c>
      <c r="L119" t="s">
        <v>1144</v>
      </c>
      <c r="N119" t="s">
        <v>1848</v>
      </c>
      <c r="O119" t="s">
        <v>1166</v>
      </c>
      <c r="Q119">
        <v>32</v>
      </c>
      <c r="R119" t="s">
        <v>1826</v>
      </c>
    </row>
    <row r="120" spans="6:19" x14ac:dyDescent="0.2">
      <c r="F120" t="s">
        <v>1145</v>
      </c>
      <c r="G120" t="s">
        <v>1146</v>
      </c>
      <c r="H120" t="s">
        <v>1147</v>
      </c>
      <c r="I120" t="s">
        <v>1148</v>
      </c>
      <c r="J120" t="s">
        <v>730</v>
      </c>
      <c r="K120" t="s">
        <v>552</v>
      </c>
      <c r="L120" t="s">
        <v>1144</v>
      </c>
      <c r="N120" t="s">
        <v>1848</v>
      </c>
      <c r="O120" t="s">
        <v>1166</v>
      </c>
      <c r="Q120">
        <v>32</v>
      </c>
    </row>
    <row r="121" spans="6:19" x14ac:dyDescent="0.2">
      <c r="F121" t="s">
        <v>1149</v>
      </c>
      <c r="G121" t="s">
        <v>1150</v>
      </c>
      <c r="H121" t="s">
        <v>29</v>
      </c>
      <c r="I121" t="s">
        <v>1151</v>
      </c>
      <c r="J121" t="s">
        <v>730</v>
      </c>
      <c r="K121" t="s">
        <v>552</v>
      </c>
      <c r="L121" t="s">
        <v>1144</v>
      </c>
      <c r="N121" t="s">
        <v>1848</v>
      </c>
      <c r="O121" t="s">
        <v>1166</v>
      </c>
      <c r="Q121">
        <v>16</v>
      </c>
      <c r="R121" t="s">
        <v>1826</v>
      </c>
    </row>
    <row r="122" spans="6:19" x14ac:dyDescent="0.2">
      <c r="F122" t="s">
        <v>1152</v>
      </c>
      <c r="G122" t="s">
        <v>1153</v>
      </c>
      <c r="H122" t="s">
        <v>29</v>
      </c>
      <c r="I122" t="s">
        <v>1154</v>
      </c>
      <c r="J122" t="s">
        <v>730</v>
      </c>
      <c r="K122" t="s">
        <v>552</v>
      </c>
      <c r="L122" t="s">
        <v>1144</v>
      </c>
      <c r="N122" t="s">
        <v>1848</v>
      </c>
      <c r="O122" t="s">
        <v>1166</v>
      </c>
      <c r="Q122">
        <v>64</v>
      </c>
      <c r="R122" t="s">
        <v>1826</v>
      </c>
    </row>
    <row r="123" spans="6:19" x14ac:dyDescent="0.2">
      <c r="F123" t="s">
        <v>1155</v>
      </c>
      <c r="G123" t="s">
        <v>1156</v>
      </c>
      <c r="H123" t="s">
        <v>29</v>
      </c>
      <c r="I123" t="s">
        <v>1157</v>
      </c>
      <c r="J123" t="s">
        <v>730</v>
      </c>
      <c r="K123" t="s">
        <v>552</v>
      </c>
      <c r="L123" t="s">
        <v>1144</v>
      </c>
      <c r="N123" t="s">
        <v>1848</v>
      </c>
      <c r="O123" t="s">
        <v>1166</v>
      </c>
      <c r="Q123">
        <v>16</v>
      </c>
      <c r="R123" t="s">
        <v>1826</v>
      </c>
    </row>
    <row r="124" spans="6:19" x14ac:dyDescent="0.2">
      <c r="F124" t="s">
        <v>1158</v>
      </c>
      <c r="G124" t="s">
        <v>1159</v>
      </c>
      <c r="H124" t="s">
        <v>1160</v>
      </c>
      <c r="I124" t="s">
        <v>1161</v>
      </c>
      <c r="J124" t="s">
        <v>730</v>
      </c>
      <c r="K124" t="s">
        <v>552</v>
      </c>
      <c r="L124" t="s">
        <v>1162</v>
      </c>
      <c r="N124" t="s">
        <v>1848</v>
      </c>
      <c r="O124" t="s">
        <v>1166</v>
      </c>
      <c r="Q124">
        <v>64</v>
      </c>
    </row>
    <row r="125" spans="6:19" x14ac:dyDescent="0.2">
      <c r="F125" t="s">
        <v>1163</v>
      </c>
      <c r="G125" t="s">
        <v>1164</v>
      </c>
      <c r="H125" t="s">
        <v>29</v>
      </c>
      <c r="I125" t="s">
        <v>1165</v>
      </c>
      <c r="J125" t="s">
        <v>730</v>
      </c>
      <c r="K125" t="s">
        <v>552</v>
      </c>
      <c r="L125" t="s">
        <v>1166</v>
      </c>
      <c r="N125" t="s">
        <v>1848</v>
      </c>
      <c r="O125" t="s">
        <v>1166</v>
      </c>
      <c r="Q125">
        <v>32</v>
      </c>
      <c r="R125" t="s">
        <v>1826</v>
      </c>
    </row>
    <row r="126" spans="6:19" x14ac:dyDescent="0.2">
      <c r="F126" t="s">
        <v>1167</v>
      </c>
      <c r="G126" t="s">
        <v>1168</v>
      </c>
      <c r="H126" t="s">
        <v>29</v>
      </c>
      <c r="J126" t="s">
        <v>730</v>
      </c>
      <c r="K126" t="s">
        <v>552</v>
      </c>
      <c r="L126" t="s">
        <v>1169</v>
      </c>
      <c r="N126" t="s">
        <v>1848</v>
      </c>
      <c r="R126" t="s">
        <v>1826</v>
      </c>
    </row>
    <row r="127" spans="6:19" x14ac:dyDescent="0.2">
      <c r="F127" t="s">
        <v>1841</v>
      </c>
      <c r="G127" t="s">
        <v>1842</v>
      </c>
      <c r="H127" t="s">
        <v>1843</v>
      </c>
      <c r="J127" t="s">
        <v>730</v>
      </c>
      <c r="K127" t="s">
        <v>552</v>
      </c>
      <c r="L127" t="s">
        <v>1818</v>
      </c>
      <c r="N127" t="s">
        <v>1848</v>
      </c>
    </row>
    <row r="128" spans="6:19" x14ac:dyDescent="0.2">
      <c r="F128" t="s">
        <v>1844</v>
      </c>
      <c r="G128" t="s">
        <v>1845</v>
      </c>
      <c r="J128" t="s">
        <v>730</v>
      </c>
      <c r="K128" t="s">
        <v>552</v>
      </c>
      <c r="L128" t="s">
        <v>1818</v>
      </c>
      <c r="N128" t="s">
        <v>1848</v>
      </c>
    </row>
    <row r="129" spans="6:19" x14ac:dyDescent="0.2">
      <c r="F129" t="s">
        <v>1846</v>
      </c>
      <c r="G129" t="s">
        <v>1847</v>
      </c>
      <c r="J129" t="s">
        <v>730</v>
      </c>
      <c r="K129" t="s">
        <v>552</v>
      </c>
      <c r="L129" t="s">
        <v>1818</v>
      </c>
      <c r="N129" t="s">
        <v>1848</v>
      </c>
    </row>
    <row r="130" spans="6:19" x14ac:dyDescent="0.2">
      <c r="F130" t="s">
        <v>1170</v>
      </c>
      <c r="G130" t="s">
        <v>1171</v>
      </c>
      <c r="H130" t="s">
        <v>29</v>
      </c>
      <c r="I130" t="s">
        <v>1172</v>
      </c>
      <c r="J130" t="s">
        <v>730</v>
      </c>
      <c r="K130" t="s">
        <v>1173</v>
      </c>
      <c r="N130" t="s">
        <v>1848</v>
      </c>
      <c r="O130" t="s">
        <v>1166</v>
      </c>
      <c r="Q130">
        <v>32</v>
      </c>
      <c r="R130" t="s">
        <v>1826</v>
      </c>
      <c r="S130" t="s">
        <v>1830</v>
      </c>
    </row>
    <row r="131" spans="6:19" x14ac:dyDescent="0.2">
      <c r="F131" t="s">
        <v>1174</v>
      </c>
      <c r="G131" t="s">
        <v>1175</v>
      </c>
      <c r="H131" t="s">
        <v>29</v>
      </c>
      <c r="I131" t="s">
        <v>1176</v>
      </c>
      <c r="J131" t="s">
        <v>730</v>
      </c>
      <c r="K131" t="s">
        <v>1173</v>
      </c>
      <c r="N131" t="s">
        <v>1848</v>
      </c>
      <c r="O131" t="s">
        <v>1166</v>
      </c>
      <c r="Q131">
        <v>32</v>
      </c>
      <c r="R131" t="s">
        <v>1826</v>
      </c>
      <c r="S131" t="s">
        <v>1830</v>
      </c>
    </row>
    <row r="132" spans="6:19" x14ac:dyDescent="0.2">
      <c r="F132" t="s">
        <v>1177</v>
      </c>
      <c r="G132" t="s">
        <v>1178</v>
      </c>
      <c r="H132" t="s">
        <v>29</v>
      </c>
      <c r="I132" t="s">
        <v>1179</v>
      </c>
      <c r="J132" t="s">
        <v>730</v>
      </c>
      <c r="K132" t="s">
        <v>1173</v>
      </c>
      <c r="N132" t="s">
        <v>1848</v>
      </c>
      <c r="O132" t="s">
        <v>1166</v>
      </c>
      <c r="Q132">
        <v>128</v>
      </c>
      <c r="R132" t="s">
        <v>1826</v>
      </c>
      <c r="S132" t="s">
        <v>1830</v>
      </c>
    </row>
    <row r="133" spans="6:19" x14ac:dyDescent="0.2">
      <c r="F133" t="s">
        <v>1180</v>
      </c>
      <c r="G133" t="s">
        <v>1181</v>
      </c>
      <c r="H133" t="s">
        <v>29</v>
      </c>
      <c r="I133" t="s">
        <v>1182</v>
      </c>
      <c r="J133" t="s">
        <v>730</v>
      </c>
      <c r="K133" t="s">
        <v>1173</v>
      </c>
      <c r="N133" t="s">
        <v>1848</v>
      </c>
      <c r="O133" t="s">
        <v>1166</v>
      </c>
      <c r="Q133">
        <v>16</v>
      </c>
      <c r="R133" t="s">
        <v>1826</v>
      </c>
      <c r="S133" t="s">
        <v>1830</v>
      </c>
    </row>
    <row r="134" spans="6:19" x14ac:dyDescent="0.2">
      <c r="F134" t="s">
        <v>1183</v>
      </c>
      <c r="G134" t="s">
        <v>1184</v>
      </c>
      <c r="H134" t="s">
        <v>29</v>
      </c>
      <c r="I134" t="s">
        <v>1185</v>
      </c>
      <c r="J134" t="s">
        <v>730</v>
      </c>
      <c r="K134" t="s">
        <v>1173</v>
      </c>
      <c r="N134" t="s">
        <v>1848</v>
      </c>
      <c r="O134" t="s">
        <v>1166</v>
      </c>
      <c r="Q134">
        <v>16</v>
      </c>
    </row>
    <row r="135" spans="6:19" x14ac:dyDescent="0.2">
      <c r="F135" t="s">
        <v>1050</v>
      </c>
      <c r="G135" t="s">
        <v>1051</v>
      </c>
      <c r="H135" t="s">
        <v>29</v>
      </c>
      <c r="I135" t="s">
        <v>1052</v>
      </c>
      <c r="J135" t="s">
        <v>730</v>
      </c>
      <c r="K135" t="s">
        <v>1173</v>
      </c>
      <c r="N135" t="s">
        <v>1848</v>
      </c>
      <c r="O135" t="s">
        <v>1166</v>
      </c>
      <c r="Q135">
        <v>32</v>
      </c>
    </row>
    <row r="136" spans="6:19" x14ac:dyDescent="0.2">
      <c r="F136" t="s">
        <v>1186</v>
      </c>
      <c r="G136" t="s">
        <v>1187</v>
      </c>
      <c r="H136" t="s">
        <v>29</v>
      </c>
      <c r="I136" t="s">
        <v>1188</v>
      </c>
      <c r="J136" t="s">
        <v>730</v>
      </c>
      <c r="K136" t="s">
        <v>1189</v>
      </c>
      <c r="N136" t="s">
        <v>1848</v>
      </c>
      <c r="O136" t="s">
        <v>1166</v>
      </c>
      <c r="Q136">
        <v>16</v>
      </c>
    </row>
    <row r="137" spans="6:19" x14ac:dyDescent="0.2">
      <c r="F137" t="s">
        <v>1190</v>
      </c>
      <c r="G137" t="s">
        <v>1191</v>
      </c>
      <c r="H137" t="s">
        <v>29</v>
      </c>
      <c r="I137" t="s">
        <v>1192</v>
      </c>
      <c r="J137" t="s">
        <v>730</v>
      </c>
      <c r="K137" t="s">
        <v>1189</v>
      </c>
      <c r="N137" t="s">
        <v>1848</v>
      </c>
      <c r="O137" t="s">
        <v>1166</v>
      </c>
      <c r="Q137">
        <v>64</v>
      </c>
    </row>
    <row r="138" spans="6:19" x14ac:dyDescent="0.2">
      <c r="F138" t="s">
        <v>1193</v>
      </c>
      <c r="G138" t="s">
        <v>1194</v>
      </c>
      <c r="H138" t="s">
        <v>29</v>
      </c>
      <c r="I138" t="s">
        <v>1195</v>
      </c>
      <c r="J138" t="s">
        <v>730</v>
      </c>
      <c r="K138" t="s">
        <v>1196</v>
      </c>
      <c r="N138" t="s">
        <v>1848</v>
      </c>
      <c r="O138" t="s">
        <v>1166</v>
      </c>
      <c r="Q138">
        <v>32</v>
      </c>
    </row>
    <row r="139" spans="6:19" x14ac:dyDescent="0.2">
      <c r="F139" t="s">
        <v>1197</v>
      </c>
      <c r="G139" t="s">
        <v>1198</v>
      </c>
      <c r="H139" t="s">
        <v>29</v>
      </c>
      <c r="I139" t="s">
        <v>1199</v>
      </c>
      <c r="J139" t="s">
        <v>730</v>
      </c>
      <c r="K139" t="s">
        <v>1196</v>
      </c>
      <c r="N139" t="s">
        <v>1848</v>
      </c>
      <c r="O139" t="s">
        <v>1166</v>
      </c>
      <c r="Q139">
        <v>32</v>
      </c>
    </row>
    <row r="140" spans="6:19" x14ac:dyDescent="0.2">
      <c r="F140" t="s">
        <v>1200</v>
      </c>
      <c r="G140" t="s">
        <v>1201</v>
      </c>
      <c r="H140" t="s">
        <v>29</v>
      </c>
      <c r="I140" t="s">
        <v>1202</v>
      </c>
      <c r="J140" t="s">
        <v>730</v>
      </c>
      <c r="K140" t="s">
        <v>1196</v>
      </c>
      <c r="N140" t="s">
        <v>1848</v>
      </c>
      <c r="O140" t="s">
        <v>1166</v>
      </c>
      <c r="Q140">
        <v>32</v>
      </c>
    </row>
    <row r="141" spans="6:19" x14ac:dyDescent="0.2">
      <c r="F141" t="s">
        <v>1203</v>
      </c>
      <c r="G141" t="s">
        <v>1204</v>
      </c>
      <c r="H141" t="s">
        <v>29</v>
      </c>
      <c r="I141" t="s">
        <v>1205</v>
      </c>
      <c r="J141" t="s">
        <v>730</v>
      </c>
      <c r="K141" t="s">
        <v>1196</v>
      </c>
      <c r="N141" t="s">
        <v>1848</v>
      </c>
      <c r="O141" t="s">
        <v>1166</v>
      </c>
      <c r="Q141">
        <v>32</v>
      </c>
    </row>
    <row r="142" spans="6:19" x14ac:dyDescent="0.2">
      <c r="F142" t="s">
        <v>1206</v>
      </c>
      <c r="G142" t="s">
        <v>1207</v>
      </c>
      <c r="H142" t="s">
        <v>29</v>
      </c>
      <c r="I142" t="s">
        <v>1208</v>
      </c>
      <c r="J142" t="s">
        <v>730</v>
      </c>
      <c r="K142" t="s">
        <v>1196</v>
      </c>
      <c r="N142" t="s">
        <v>1848</v>
      </c>
      <c r="Q142">
        <v>32</v>
      </c>
    </row>
    <row r="143" spans="6:19" x14ac:dyDescent="0.2">
      <c r="F143" t="s">
        <v>1209</v>
      </c>
      <c r="G143" t="s">
        <v>1210</v>
      </c>
      <c r="H143" t="s">
        <v>29</v>
      </c>
      <c r="I143" t="s">
        <v>1211</v>
      </c>
      <c r="J143" t="s">
        <v>730</v>
      </c>
      <c r="K143" t="s">
        <v>1196</v>
      </c>
      <c r="N143" t="s">
        <v>1848</v>
      </c>
      <c r="O143" t="s">
        <v>1166</v>
      </c>
      <c r="Q143">
        <v>32</v>
      </c>
    </row>
    <row r="144" spans="6:19" x14ac:dyDescent="0.2">
      <c r="F144" t="s">
        <v>1212</v>
      </c>
      <c r="G144" t="s">
        <v>1213</v>
      </c>
      <c r="H144" t="s">
        <v>1214</v>
      </c>
      <c r="I144" t="s">
        <v>1215</v>
      </c>
      <c r="J144" t="s">
        <v>730</v>
      </c>
      <c r="K144" t="s">
        <v>1196</v>
      </c>
      <c r="N144" t="s">
        <v>1848</v>
      </c>
      <c r="O144" t="s">
        <v>1166</v>
      </c>
      <c r="Q144">
        <v>32</v>
      </c>
    </row>
    <row r="145" spans="6:17" x14ac:dyDescent="0.2">
      <c r="F145" t="s">
        <v>1216</v>
      </c>
      <c r="G145" t="s">
        <v>1217</v>
      </c>
      <c r="I145" t="s">
        <v>1218</v>
      </c>
      <c r="J145" t="s">
        <v>730</v>
      </c>
      <c r="K145" t="s">
        <v>1196</v>
      </c>
      <c r="N145" t="s">
        <v>1848</v>
      </c>
      <c r="O145" t="s">
        <v>1166</v>
      </c>
      <c r="Q145">
        <v>32</v>
      </c>
    </row>
    <row r="146" spans="6:17" x14ac:dyDescent="0.2">
      <c r="F146" t="s">
        <v>1219</v>
      </c>
      <c r="G146" t="s">
        <v>1220</v>
      </c>
      <c r="H146" t="s">
        <v>29</v>
      </c>
      <c r="I146" t="s">
        <v>1221</v>
      </c>
      <c r="J146" t="s">
        <v>730</v>
      </c>
      <c r="K146" t="s">
        <v>1222</v>
      </c>
      <c r="N146" t="s">
        <v>1848</v>
      </c>
      <c r="Q146">
        <v>16</v>
      </c>
    </row>
    <row r="147" spans="6:17" x14ac:dyDescent="0.2">
      <c r="F147" t="s">
        <v>1223</v>
      </c>
      <c r="G147" t="s">
        <v>1224</v>
      </c>
      <c r="I147" t="s">
        <v>1225</v>
      </c>
      <c r="J147" t="s">
        <v>730</v>
      </c>
      <c r="K147" t="s">
        <v>1226</v>
      </c>
      <c r="N147" t="s">
        <v>1848</v>
      </c>
      <c r="O147" t="s">
        <v>1166</v>
      </c>
      <c r="Q147">
        <v>16</v>
      </c>
    </row>
    <row r="148" spans="6:17" x14ac:dyDescent="0.2">
      <c r="F148" t="s">
        <v>1227</v>
      </c>
      <c r="G148" t="s">
        <v>1228</v>
      </c>
      <c r="I148" t="s">
        <v>1229</v>
      </c>
      <c r="J148" t="s">
        <v>730</v>
      </c>
      <c r="K148" t="s">
        <v>1226</v>
      </c>
      <c r="N148" t="s">
        <v>1848</v>
      </c>
      <c r="O148" t="s">
        <v>1166</v>
      </c>
      <c r="Q148">
        <v>16</v>
      </c>
    </row>
    <row r="149" spans="6:17" x14ac:dyDescent="0.2">
      <c r="F149" t="s">
        <v>1230</v>
      </c>
      <c r="G149" t="s">
        <v>1231</v>
      </c>
      <c r="I149" t="s">
        <v>1232</v>
      </c>
      <c r="J149" t="s">
        <v>730</v>
      </c>
      <c r="K149" t="s">
        <v>1226</v>
      </c>
      <c r="N149" t="s">
        <v>1848</v>
      </c>
      <c r="O149" t="s">
        <v>1166</v>
      </c>
      <c r="Q149">
        <v>32</v>
      </c>
    </row>
    <row r="150" spans="6:17" x14ac:dyDescent="0.2">
      <c r="F150" t="s">
        <v>1233</v>
      </c>
      <c r="G150" t="s">
        <v>1234</v>
      </c>
      <c r="I150" t="s">
        <v>1235</v>
      </c>
      <c r="J150" t="s">
        <v>730</v>
      </c>
      <c r="K150" t="s">
        <v>1226</v>
      </c>
      <c r="N150" t="s">
        <v>1848</v>
      </c>
      <c r="O150" t="s">
        <v>1166</v>
      </c>
      <c r="Q150">
        <v>16</v>
      </c>
    </row>
    <row r="151" spans="6:17" x14ac:dyDescent="0.2">
      <c r="F151" t="s">
        <v>1236</v>
      </c>
      <c r="G151" t="s">
        <v>1237</v>
      </c>
      <c r="I151" t="s">
        <v>1238</v>
      </c>
      <c r="J151" t="s">
        <v>730</v>
      </c>
      <c r="K151" t="s">
        <v>1226</v>
      </c>
      <c r="N151" t="s">
        <v>1848</v>
      </c>
      <c r="O151" t="s">
        <v>1166</v>
      </c>
      <c r="Q151">
        <v>60</v>
      </c>
    </row>
    <row r="152" spans="6:17" x14ac:dyDescent="0.2">
      <c r="F152" t="s">
        <v>1203</v>
      </c>
      <c r="G152" t="s">
        <v>1239</v>
      </c>
      <c r="I152" t="s">
        <v>1240</v>
      </c>
      <c r="J152" t="s">
        <v>730</v>
      </c>
      <c r="K152" t="s">
        <v>1226</v>
      </c>
      <c r="N152" t="s">
        <v>1848</v>
      </c>
      <c r="O152" t="s">
        <v>1166</v>
      </c>
      <c r="Q152">
        <v>64</v>
      </c>
    </row>
    <row r="153" spans="6:17" x14ac:dyDescent="0.2">
      <c r="F153" t="s">
        <v>1241</v>
      </c>
      <c r="G153" t="s">
        <v>1242</v>
      </c>
      <c r="I153" t="s">
        <v>1243</v>
      </c>
      <c r="J153" t="s">
        <v>730</v>
      </c>
      <c r="K153" t="s">
        <v>1226</v>
      </c>
      <c r="N153" t="s">
        <v>1848</v>
      </c>
      <c r="O153" t="s">
        <v>1166</v>
      </c>
      <c r="Q153">
        <v>16</v>
      </c>
    </row>
    <row r="154" spans="6:17" x14ac:dyDescent="0.2">
      <c r="F154" t="s">
        <v>1244</v>
      </c>
      <c r="G154" t="s">
        <v>1245</v>
      </c>
      <c r="I154" t="s">
        <v>1246</v>
      </c>
      <c r="J154" t="s">
        <v>730</v>
      </c>
      <c r="K154" t="s">
        <v>1226</v>
      </c>
      <c r="N154" t="s">
        <v>1848</v>
      </c>
      <c r="O154" t="s">
        <v>1166</v>
      </c>
      <c r="Q154">
        <v>48</v>
      </c>
    </row>
    <row r="155" spans="6:17" x14ac:dyDescent="0.2">
      <c r="F155" t="s">
        <v>1247</v>
      </c>
      <c r="G155" t="s">
        <v>1248</v>
      </c>
      <c r="I155" t="s">
        <v>1249</v>
      </c>
      <c r="J155" t="s">
        <v>730</v>
      </c>
      <c r="K155" t="s">
        <v>1226</v>
      </c>
      <c r="N155" t="s">
        <v>1848</v>
      </c>
      <c r="O155" t="s">
        <v>1166</v>
      </c>
      <c r="Q155">
        <v>16</v>
      </c>
    </row>
    <row r="156" spans="6:17" x14ac:dyDescent="0.2">
      <c r="F156" t="s">
        <v>1250</v>
      </c>
      <c r="G156" t="s">
        <v>1251</v>
      </c>
      <c r="I156" t="s">
        <v>1252</v>
      </c>
      <c r="J156" t="s">
        <v>730</v>
      </c>
      <c r="K156" t="s">
        <v>1253</v>
      </c>
      <c r="N156" t="s">
        <v>1848</v>
      </c>
      <c r="O156" t="s">
        <v>1166</v>
      </c>
    </row>
    <row r="157" spans="6:17" x14ac:dyDescent="0.2">
      <c r="F157" t="s">
        <v>1254</v>
      </c>
      <c r="G157" t="s">
        <v>1255</v>
      </c>
      <c r="I157" t="s">
        <v>1256</v>
      </c>
      <c r="J157" t="s">
        <v>730</v>
      </c>
      <c r="K157" t="s">
        <v>1253</v>
      </c>
      <c r="L157" t="s">
        <v>1257</v>
      </c>
      <c r="N157" t="s">
        <v>1848</v>
      </c>
      <c r="O157" t="s">
        <v>1166</v>
      </c>
      <c r="Q157">
        <v>32</v>
      </c>
    </row>
    <row r="158" spans="6:17" x14ac:dyDescent="0.2">
      <c r="F158" t="s">
        <v>1258</v>
      </c>
      <c r="G158" t="s">
        <v>1259</v>
      </c>
      <c r="I158" t="s">
        <v>1260</v>
      </c>
      <c r="J158" t="s">
        <v>730</v>
      </c>
      <c r="K158" t="s">
        <v>1253</v>
      </c>
      <c r="L158" t="s">
        <v>1257</v>
      </c>
      <c r="N158" t="s">
        <v>1848</v>
      </c>
      <c r="O158" t="s">
        <v>1166</v>
      </c>
      <c r="Q158">
        <v>64</v>
      </c>
    </row>
    <row r="159" spans="6:17" x14ac:dyDescent="0.2">
      <c r="F159" t="s">
        <v>1261</v>
      </c>
      <c r="G159" t="s">
        <v>1262</v>
      </c>
      <c r="I159" t="s">
        <v>1263</v>
      </c>
      <c r="J159" t="s">
        <v>730</v>
      </c>
      <c r="K159" t="s">
        <v>1253</v>
      </c>
      <c r="L159" t="s">
        <v>1257</v>
      </c>
      <c r="N159" t="s">
        <v>1848</v>
      </c>
      <c r="O159" t="s">
        <v>1166</v>
      </c>
      <c r="Q159">
        <v>16</v>
      </c>
    </row>
    <row r="160" spans="6:17" x14ac:dyDescent="0.2">
      <c r="F160" t="s">
        <v>1264</v>
      </c>
      <c r="G160" t="s">
        <v>1265</v>
      </c>
      <c r="I160" t="s">
        <v>1266</v>
      </c>
      <c r="J160" t="s">
        <v>730</v>
      </c>
      <c r="K160" t="s">
        <v>1253</v>
      </c>
      <c r="L160" t="s">
        <v>1257</v>
      </c>
      <c r="N160" t="s">
        <v>1848</v>
      </c>
      <c r="O160" t="s">
        <v>1166</v>
      </c>
      <c r="Q160">
        <v>64</v>
      </c>
    </row>
    <row r="161" spans="6:17" x14ac:dyDescent="0.2">
      <c r="F161" t="s">
        <v>1267</v>
      </c>
      <c r="G161" t="s">
        <v>1268</v>
      </c>
      <c r="I161" t="s">
        <v>1269</v>
      </c>
      <c r="J161" t="s">
        <v>730</v>
      </c>
      <c r="K161" t="s">
        <v>1253</v>
      </c>
      <c r="L161" t="s">
        <v>1257</v>
      </c>
      <c r="N161" t="s">
        <v>1848</v>
      </c>
      <c r="O161" t="s">
        <v>1166</v>
      </c>
      <c r="Q161">
        <v>16</v>
      </c>
    </row>
    <row r="162" spans="6:17" x14ac:dyDescent="0.2">
      <c r="F162" t="s">
        <v>1250</v>
      </c>
      <c r="G162" t="s">
        <v>1251</v>
      </c>
      <c r="I162" t="s">
        <v>1252</v>
      </c>
      <c r="J162" t="s">
        <v>730</v>
      </c>
      <c r="K162" t="s">
        <v>1253</v>
      </c>
      <c r="L162" t="s">
        <v>1257</v>
      </c>
      <c r="N162" t="s">
        <v>1848</v>
      </c>
      <c r="O162" t="s">
        <v>1166</v>
      </c>
      <c r="Q162">
        <v>16</v>
      </c>
    </row>
    <row r="163" spans="6:17" x14ac:dyDescent="0.2">
      <c r="F163" t="s">
        <v>1270</v>
      </c>
      <c r="G163" t="s">
        <v>1271</v>
      </c>
      <c r="H163" t="s">
        <v>1272</v>
      </c>
      <c r="I163" t="s">
        <v>1273</v>
      </c>
      <c r="J163" t="s">
        <v>730</v>
      </c>
      <c r="K163" t="s">
        <v>1253</v>
      </c>
      <c r="L163" t="s">
        <v>1274</v>
      </c>
      <c r="N163" t="s">
        <v>1848</v>
      </c>
      <c r="O163" t="s">
        <v>1166</v>
      </c>
      <c r="Q163">
        <v>16</v>
      </c>
    </row>
    <row r="164" spans="6:17" x14ac:dyDescent="0.2">
      <c r="F164" t="s">
        <v>1275</v>
      </c>
      <c r="G164" t="s">
        <v>1276</v>
      </c>
      <c r="I164" t="s">
        <v>1277</v>
      </c>
      <c r="J164" t="s">
        <v>730</v>
      </c>
      <c r="K164" t="s">
        <v>1253</v>
      </c>
      <c r="L164" t="s">
        <v>1278</v>
      </c>
      <c r="N164" t="s">
        <v>1848</v>
      </c>
      <c r="O164" t="s">
        <v>1166</v>
      </c>
      <c r="Q164">
        <v>16</v>
      </c>
    </row>
    <row r="165" spans="6:17" x14ac:dyDescent="0.2">
      <c r="F165" t="s">
        <v>689</v>
      </c>
      <c r="G165" t="s">
        <v>690</v>
      </c>
      <c r="H165" t="s">
        <v>29</v>
      </c>
      <c r="I165" t="s">
        <v>691</v>
      </c>
      <c r="J165" t="s">
        <v>730</v>
      </c>
      <c r="K165" t="s">
        <v>569</v>
      </c>
      <c r="N165" t="s">
        <v>1848</v>
      </c>
      <c r="O165" t="s">
        <v>1166</v>
      </c>
      <c r="Q165">
        <v>32</v>
      </c>
    </row>
    <row r="166" spans="6:17" x14ac:dyDescent="0.2">
      <c r="F166" t="s">
        <v>692</v>
      </c>
      <c r="G166" t="s">
        <v>693</v>
      </c>
      <c r="H166" t="s">
        <v>29</v>
      </c>
      <c r="I166" t="s">
        <v>694</v>
      </c>
      <c r="J166" t="s">
        <v>730</v>
      </c>
      <c r="K166" t="s">
        <v>569</v>
      </c>
      <c r="N166" t="s">
        <v>1848</v>
      </c>
      <c r="O166" t="s">
        <v>1166</v>
      </c>
      <c r="Q166">
        <v>32</v>
      </c>
    </row>
    <row r="167" spans="6:17" x14ac:dyDescent="0.2">
      <c r="F167" t="s">
        <v>1852</v>
      </c>
      <c r="G167" t="s">
        <v>1851</v>
      </c>
      <c r="H167" t="s">
        <v>1854</v>
      </c>
      <c r="I167" t="s">
        <v>1853</v>
      </c>
      <c r="J167" t="s">
        <v>730</v>
      </c>
      <c r="K167" t="s">
        <v>569</v>
      </c>
      <c r="N167" t="s">
        <v>1848</v>
      </c>
      <c r="O167" t="s">
        <v>1166</v>
      </c>
      <c r="Q167">
        <v>32</v>
      </c>
    </row>
    <row r="168" spans="6:17" x14ac:dyDescent="0.2">
      <c r="F168" t="s">
        <v>695</v>
      </c>
      <c r="G168" t="s">
        <v>696</v>
      </c>
      <c r="I168" t="s">
        <v>697</v>
      </c>
      <c r="J168" t="s">
        <v>730</v>
      </c>
      <c r="K168" t="s">
        <v>569</v>
      </c>
      <c r="N168" t="s">
        <v>1848</v>
      </c>
      <c r="O168" t="s">
        <v>1166</v>
      </c>
      <c r="Q168">
        <v>16</v>
      </c>
    </row>
    <row r="169" spans="6:17" x14ac:dyDescent="0.2">
      <c r="F169" t="s">
        <v>1280</v>
      </c>
      <c r="G169" t="s">
        <v>1281</v>
      </c>
      <c r="I169" t="s">
        <v>1282</v>
      </c>
      <c r="J169" t="s">
        <v>506</v>
      </c>
      <c r="K169" t="s">
        <v>1279</v>
      </c>
      <c r="N169" t="s">
        <v>1848</v>
      </c>
      <c r="O169" t="s">
        <v>1166</v>
      </c>
    </row>
    <row r="170" spans="6:17" x14ac:dyDescent="0.2">
      <c r="J170" t="s">
        <v>506</v>
      </c>
      <c r="K170" t="s">
        <v>1279</v>
      </c>
      <c r="L170" t="s">
        <v>1029</v>
      </c>
    </row>
    <row r="171" spans="6:17" x14ac:dyDescent="0.2">
      <c r="F171" t="s">
        <v>1294</v>
      </c>
      <c r="G171" t="s">
        <v>1295</v>
      </c>
      <c r="H171" t="s">
        <v>1296</v>
      </c>
      <c r="J171" t="s">
        <v>506</v>
      </c>
      <c r="K171" t="s">
        <v>1279</v>
      </c>
      <c r="L171" t="s">
        <v>1029</v>
      </c>
      <c r="M171" t="s">
        <v>1297</v>
      </c>
      <c r="N171" t="s">
        <v>1848</v>
      </c>
    </row>
    <row r="172" spans="6:17" x14ac:dyDescent="0.2">
      <c r="F172" t="s">
        <v>1298</v>
      </c>
      <c r="G172" t="s">
        <v>1299</v>
      </c>
      <c r="H172" t="s">
        <v>1300</v>
      </c>
      <c r="J172" t="s">
        <v>506</v>
      </c>
      <c r="K172" t="s">
        <v>1279</v>
      </c>
      <c r="L172" t="s">
        <v>1029</v>
      </c>
      <c r="M172" t="s">
        <v>1297</v>
      </c>
      <c r="N172" t="s">
        <v>1848</v>
      </c>
    </row>
    <row r="173" spans="6:17" x14ac:dyDescent="0.2">
      <c r="F173" t="s">
        <v>1301</v>
      </c>
      <c r="G173" t="s">
        <v>1302</v>
      </c>
      <c r="H173" t="s">
        <v>1303</v>
      </c>
      <c r="J173" t="s">
        <v>506</v>
      </c>
      <c r="K173" t="s">
        <v>1279</v>
      </c>
      <c r="L173" t="s">
        <v>1029</v>
      </c>
      <c r="M173" t="s">
        <v>1297</v>
      </c>
      <c r="N173" t="s">
        <v>1848</v>
      </c>
    </row>
    <row r="174" spans="6:17" x14ac:dyDescent="0.2">
      <c r="F174" t="s">
        <v>1304</v>
      </c>
      <c r="G174" t="s">
        <v>1305</v>
      </c>
      <c r="H174" t="s">
        <v>1306</v>
      </c>
      <c r="J174" t="s">
        <v>506</v>
      </c>
      <c r="K174" t="s">
        <v>1279</v>
      </c>
      <c r="L174" t="s">
        <v>1029</v>
      </c>
      <c r="M174" t="s">
        <v>1297</v>
      </c>
      <c r="N174" t="s">
        <v>1848</v>
      </c>
    </row>
    <row r="175" spans="6:17" x14ac:dyDescent="0.2">
      <c r="F175" t="s">
        <v>1307</v>
      </c>
      <c r="G175" t="s">
        <v>1308</v>
      </c>
      <c r="J175" t="s">
        <v>506</v>
      </c>
      <c r="K175" t="s">
        <v>1279</v>
      </c>
      <c r="L175" t="s">
        <v>1029</v>
      </c>
      <c r="M175" t="s">
        <v>1309</v>
      </c>
      <c r="N175" t="s">
        <v>1848</v>
      </c>
    </row>
    <row r="176" spans="6:17" x14ac:dyDescent="0.2">
      <c r="F176" t="s">
        <v>1310</v>
      </c>
      <c r="G176" t="s">
        <v>1311</v>
      </c>
      <c r="H176" t="s">
        <v>1312</v>
      </c>
      <c r="J176" t="s">
        <v>506</v>
      </c>
      <c r="K176" t="s">
        <v>1279</v>
      </c>
      <c r="L176" t="s">
        <v>1029</v>
      </c>
      <c r="M176" t="s">
        <v>1309</v>
      </c>
      <c r="N176" t="s">
        <v>1848</v>
      </c>
    </row>
    <row r="177" spans="6:14" x14ac:dyDescent="0.2">
      <c r="F177" t="s">
        <v>1313</v>
      </c>
      <c r="G177" t="s">
        <v>1314</v>
      </c>
      <c r="H177" t="s">
        <v>1315</v>
      </c>
      <c r="J177" t="s">
        <v>506</v>
      </c>
      <c r="K177" t="s">
        <v>1279</v>
      </c>
      <c r="L177" t="s">
        <v>1029</v>
      </c>
      <c r="M177" t="s">
        <v>1309</v>
      </c>
      <c r="N177" t="s">
        <v>1848</v>
      </c>
    </row>
    <row r="178" spans="6:14" x14ac:dyDescent="0.2">
      <c r="F178" t="s">
        <v>1316</v>
      </c>
      <c r="G178" t="s">
        <v>1317</v>
      </c>
      <c r="H178" t="s">
        <v>1318</v>
      </c>
      <c r="J178" t="s">
        <v>506</v>
      </c>
      <c r="K178" t="s">
        <v>1279</v>
      </c>
      <c r="L178" t="s">
        <v>1029</v>
      </c>
      <c r="M178" t="s">
        <v>1309</v>
      </c>
      <c r="N178" t="s">
        <v>1848</v>
      </c>
    </row>
    <row r="179" spans="6:14" x14ac:dyDescent="0.2">
      <c r="F179" t="s">
        <v>1319</v>
      </c>
      <c r="G179" t="s">
        <v>1320</v>
      </c>
      <c r="J179" t="s">
        <v>506</v>
      </c>
      <c r="K179" t="s">
        <v>1279</v>
      </c>
      <c r="L179" t="s">
        <v>1029</v>
      </c>
      <c r="M179" t="s">
        <v>1321</v>
      </c>
      <c r="N179" t="s">
        <v>1848</v>
      </c>
    </row>
    <row r="180" spans="6:14" x14ac:dyDescent="0.2">
      <c r="F180" t="s">
        <v>1322</v>
      </c>
      <c r="G180" t="s">
        <v>1323</v>
      </c>
      <c r="J180" t="s">
        <v>506</v>
      </c>
      <c r="K180" t="s">
        <v>1279</v>
      </c>
      <c r="L180" t="s">
        <v>1029</v>
      </c>
      <c r="M180" t="s">
        <v>1321</v>
      </c>
      <c r="N180" t="s">
        <v>1848</v>
      </c>
    </row>
    <row r="181" spans="6:14" x14ac:dyDescent="0.2">
      <c r="F181" t="s">
        <v>1324</v>
      </c>
      <c r="G181" t="s">
        <v>1325</v>
      </c>
      <c r="H181" t="s">
        <v>1326</v>
      </c>
      <c r="J181" t="s">
        <v>506</v>
      </c>
      <c r="K181" t="s">
        <v>1279</v>
      </c>
      <c r="L181" t="s">
        <v>1029</v>
      </c>
      <c r="M181" t="s">
        <v>1321</v>
      </c>
      <c r="N181" t="s">
        <v>1848</v>
      </c>
    </row>
    <row r="182" spans="6:14" x14ac:dyDescent="0.2">
      <c r="F182" t="s">
        <v>1327</v>
      </c>
      <c r="G182" t="s">
        <v>1328</v>
      </c>
      <c r="H182" t="s">
        <v>1329</v>
      </c>
      <c r="J182" t="s">
        <v>506</v>
      </c>
      <c r="K182" t="s">
        <v>1279</v>
      </c>
      <c r="L182" t="s">
        <v>1029</v>
      </c>
      <c r="M182" t="s">
        <v>1321</v>
      </c>
      <c r="N182" t="s">
        <v>1848</v>
      </c>
    </row>
    <row r="183" spans="6:14" x14ac:dyDescent="0.2">
      <c r="F183" t="s">
        <v>1330</v>
      </c>
      <c r="G183" t="s">
        <v>1331</v>
      </c>
      <c r="H183" t="s">
        <v>1332</v>
      </c>
      <c r="J183" t="s">
        <v>506</v>
      </c>
      <c r="K183" t="s">
        <v>1279</v>
      </c>
      <c r="L183" t="s">
        <v>1029</v>
      </c>
      <c r="M183" t="s">
        <v>1321</v>
      </c>
      <c r="N183" t="s">
        <v>1848</v>
      </c>
    </row>
    <row r="184" spans="6:14" x14ac:dyDescent="0.2">
      <c r="F184" t="s">
        <v>1333</v>
      </c>
      <c r="G184" t="s">
        <v>1334</v>
      </c>
      <c r="J184" t="s">
        <v>506</v>
      </c>
      <c r="K184" t="s">
        <v>1279</v>
      </c>
      <c r="L184" t="s">
        <v>1029</v>
      </c>
      <c r="M184" t="s">
        <v>1321</v>
      </c>
      <c r="N184" t="s">
        <v>1848</v>
      </c>
    </row>
    <row r="185" spans="6:14" x14ac:dyDescent="0.2">
      <c r="F185" t="s">
        <v>1335</v>
      </c>
      <c r="G185" t="s">
        <v>1336</v>
      </c>
      <c r="J185" t="s">
        <v>506</v>
      </c>
      <c r="K185" t="s">
        <v>1279</v>
      </c>
      <c r="L185" t="s">
        <v>1029</v>
      </c>
      <c r="M185" t="s">
        <v>1321</v>
      </c>
      <c r="N185" t="s">
        <v>1848</v>
      </c>
    </row>
    <row r="186" spans="6:14" x14ac:dyDescent="0.2">
      <c r="F186" t="s">
        <v>1337</v>
      </c>
      <c r="G186" t="s">
        <v>1338</v>
      </c>
      <c r="J186" t="s">
        <v>506</v>
      </c>
      <c r="K186" t="s">
        <v>1279</v>
      </c>
      <c r="L186" t="s">
        <v>1029</v>
      </c>
      <c r="M186" t="s">
        <v>1321</v>
      </c>
      <c r="N186" t="s">
        <v>1848</v>
      </c>
    </row>
    <row r="187" spans="6:14" x14ac:dyDescent="0.2">
      <c r="F187" t="s">
        <v>1339</v>
      </c>
      <c r="G187" t="s">
        <v>1340</v>
      </c>
      <c r="J187" t="s">
        <v>506</v>
      </c>
      <c r="K187" t="s">
        <v>1279</v>
      </c>
      <c r="L187" t="s">
        <v>1029</v>
      </c>
      <c r="M187" t="s">
        <v>1321</v>
      </c>
      <c r="N187" t="s">
        <v>1848</v>
      </c>
    </row>
    <row r="188" spans="6:14" x14ac:dyDescent="0.2">
      <c r="F188" t="s">
        <v>1341</v>
      </c>
      <c r="G188" t="s">
        <v>1342</v>
      </c>
      <c r="J188" t="s">
        <v>506</v>
      </c>
      <c r="K188" t="s">
        <v>1279</v>
      </c>
      <c r="L188" t="s">
        <v>1029</v>
      </c>
      <c r="M188" t="s">
        <v>1321</v>
      </c>
      <c r="N188" t="s">
        <v>1848</v>
      </c>
    </row>
    <row r="189" spans="6:14" x14ac:dyDescent="0.2">
      <c r="F189" t="s">
        <v>1343</v>
      </c>
      <c r="G189" t="s">
        <v>1344</v>
      </c>
      <c r="J189" t="s">
        <v>506</v>
      </c>
      <c r="K189" t="s">
        <v>1279</v>
      </c>
      <c r="L189" t="s">
        <v>1029</v>
      </c>
      <c r="M189" t="s">
        <v>1321</v>
      </c>
      <c r="N189" t="s">
        <v>1848</v>
      </c>
    </row>
    <row r="190" spans="6:14" x14ac:dyDescent="0.2">
      <c r="F190" t="s">
        <v>1345</v>
      </c>
      <c r="G190" t="s">
        <v>1346</v>
      </c>
      <c r="H190" t="s">
        <v>1347</v>
      </c>
      <c r="J190" t="s">
        <v>506</v>
      </c>
      <c r="K190" t="s">
        <v>1279</v>
      </c>
      <c r="L190" t="s">
        <v>1029</v>
      </c>
      <c r="M190" t="s">
        <v>1321</v>
      </c>
      <c r="N190" t="s">
        <v>1848</v>
      </c>
    </row>
    <row r="191" spans="6:14" x14ac:dyDescent="0.2">
      <c r="F191" t="s">
        <v>1348</v>
      </c>
      <c r="G191" t="s">
        <v>1349</v>
      </c>
      <c r="J191" t="s">
        <v>506</v>
      </c>
      <c r="K191" t="s">
        <v>1279</v>
      </c>
      <c r="L191" t="s">
        <v>1029</v>
      </c>
      <c r="M191" t="s">
        <v>1321</v>
      </c>
      <c r="N191" t="s">
        <v>1848</v>
      </c>
    </row>
    <row r="192" spans="6:14" x14ac:dyDescent="0.2">
      <c r="F192" t="s">
        <v>1350</v>
      </c>
      <c r="G192" t="s">
        <v>1351</v>
      </c>
      <c r="J192" t="s">
        <v>506</v>
      </c>
      <c r="K192" t="s">
        <v>1279</v>
      </c>
      <c r="L192" t="s">
        <v>1029</v>
      </c>
      <c r="M192" t="s">
        <v>1321</v>
      </c>
      <c r="N192" t="s">
        <v>1848</v>
      </c>
    </row>
    <row r="193" spans="6:14" x14ac:dyDescent="0.2">
      <c r="F193" t="s">
        <v>1352</v>
      </c>
      <c r="G193" t="s">
        <v>1353</v>
      </c>
      <c r="J193" t="s">
        <v>506</v>
      </c>
      <c r="K193" t="s">
        <v>1279</v>
      </c>
      <c r="L193" t="s">
        <v>1029</v>
      </c>
      <c r="M193" t="s">
        <v>1321</v>
      </c>
      <c r="N193" t="s">
        <v>1848</v>
      </c>
    </row>
    <row r="194" spans="6:14" x14ac:dyDescent="0.2">
      <c r="F194" t="s">
        <v>1354</v>
      </c>
      <c r="G194" t="s">
        <v>1355</v>
      </c>
      <c r="J194" t="s">
        <v>506</v>
      </c>
      <c r="K194" t="s">
        <v>1279</v>
      </c>
      <c r="L194" t="s">
        <v>1029</v>
      </c>
      <c r="M194" t="s">
        <v>1321</v>
      </c>
      <c r="N194" t="s">
        <v>1848</v>
      </c>
    </row>
    <row r="195" spans="6:14" x14ac:dyDescent="0.2">
      <c r="F195" t="s">
        <v>1356</v>
      </c>
      <c r="G195" t="s">
        <v>1357</v>
      </c>
      <c r="H195" t="s">
        <v>1358</v>
      </c>
      <c r="J195" t="s">
        <v>506</v>
      </c>
      <c r="K195" t="s">
        <v>1279</v>
      </c>
      <c r="L195" t="s">
        <v>1029</v>
      </c>
      <c r="M195" t="s">
        <v>1321</v>
      </c>
      <c r="N195" t="s">
        <v>1848</v>
      </c>
    </row>
    <row r="196" spans="6:14" x14ac:dyDescent="0.2">
      <c r="F196" t="s">
        <v>1359</v>
      </c>
      <c r="G196" t="s">
        <v>1360</v>
      </c>
      <c r="H196" t="s">
        <v>1361</v>
      </c>
      <c r="J196" t="s">
        <v>506</v>
      </c>
      <c r="K196" t="s">
        <v>1279</v>
      </c>
      <c r="L196" t="s">
        <v>1029</v>
      </c>
      <c r="M196" t="s">
        <v>1321</v>
      </c>
      <c r="N196" t="s">
        <v>1848</v>
      </c>
    </row>
    <row r="197" spans="6:14" x14ac:dyDescent="0.2">
      <c r="F197" t="s">
        <v>1362</v>
      </c>
      <c r="G197" t="s">
        <v>1363</v>
      </c>
      <c r="J197" t="s">
        <v>506</v>
      </c>
      <c r="K197" t="s">
        <v>1279</v>
      </c>
      <c r="L197" t="s">
        <v>1029</v>
      </c>
      <c r="M197" t="s">
        <v>1321</v>
      </c>
      <c r="N197" t="s">
        <v>1848</v>
      </c>
    </row>
    <row r="198" spans="6:14" x14ac:dyDescent="0.2">
      <c r="F198" t="s">
        <v>1364</v>
      </c>
      <c r="G198" t="s">
        <v>1365</v>
      </c>
      <c r="H198" t="s">
        <v>1366</v>
      </c>
      <c r="J198" t="s">
        <v>506</v>
      </c>
      <c r="K198" t="s">
        <v>1279</v>
      </c>
      <c r="L198" t="s">
        <v>1029</v>
      </c>
      <c r="M198" t="s">
        <v>1321</v>
      </c>
      <c r="N198" t="s">
        <v>1848</v>
      </c>
    </row>
    <row r="199" spans="6:14" x14ac:dyDescent="0.2">
      <c r="F199" t="s">
        <v>1367</v>
      </c>
      <c r="G199" t="s">
        <v>1368</v>
      </c>
      <c r="H199" t="s">
        <v>1369</v>
      </c>
      <c r="J199" t="s">
        <v>506</v>
      </c>
      <c r="K199" t="s">
        <v>1279</v>
      </c>
      <c r="L199" t="s">
        <v>1029</v>
      </c>
      <c r="M199" t="s">
        <v>1321</v>
      </c>
      <c r="N199" t="s">
        <v>1848</v>
      </c>
    </row>
    <row r="200" spans="6:14" x14ac:dyDescent="0.2">
      <c r="F200" t="s">
        <v>1370</v>
      </c>
      <c r="G200" t="s">
        <v>1371</v>
      </c>
      <c r="H200" t="s">
        <v>1372</v>
      </c>
      <c r="J200" t="s">
        <v>506</v>
      </c>
      <c r="K200" t="s">
        <v>1279</v>
      </c>
      <c r="L200" t="s">
        <v>1029</v>
      </c>
      <c r="M200" t="s">
        <v>1321</v>
      </c>
      <c r="N200" t="s">
        <v>1848</v>
      </c>
    </row>
    <row r="201" spans="6:14" x14ac:dyDescent="0.2">
      <c r="F201" t="s">
        <v>1373</v>
      </c>
      <c r="G201" t="s">
        <v>1374</v>
      </c>
      <c r="H201" t="s">
        <v>1375</v>
      </c>
      <c r="J201" t="s">
        <v>506</v>
      </c>
      <c r="K201" t="s">
        <v>1279</v>
      </c>
      <c r="L201" t="s">
        <v>1029</v>
      </c>
      <c r="M201" t="s">
        <v>1321</v>
      </c>
      <c r="N201" t="s">
        <v>1848</v>
      </c>
    </row>
    <row r="202" spans="6:14" x14ac:dyDescent="0.2">
      <c r="F202" t="s">
        <v>1376</v>
      </c>
      <c r="G202" t="s">
        <v>1377</v>
      </c>
      <c r="J202" t="s">
        <v>506</v>
      </c>
      <c r="K202" t="s">
        <v>1279</v>
      </c>
      <c r="L202" t="s">
        <v>1029</v>
      </c>
      <c r="M202" t="s">
        <v>1321</v>
      </c>
      <c r="N202" t="s">
        <v>1848</v>
      </c>
    </row>
    <row r="203" spans="6:14" x14ac:dyDescent="0.2">
      <c r="F203" t="s">
        <v>1378</v>
      </c>
      <c r="G203" t="s">
        <v>1379</v>
      </c>
      <c r="J203" t="s">
        <v>506</v>
      </c>
      <c r="K203" t="s">
        <v>1279</v>
      </c>
      <c r="L203" t="s">
        <v>1029</v>
      </c>
      <c r="M203" t="s">
        <v>1321</v>
      </c>
      <c r="N203" t="s">
        <v>1848</v>
      </c>
    </row>
    <row r="204" spans="6:14" x14ac:dyDescent="0.2">
      <c r="F204" t="s">
        <v>1380</v>
      </c>
      <c r="G204" t="s">
        <v>1381</v>
      </c>
      <c r="J204" t="s">
        <v>506</v>
      </c>
      <c r="K204" t="s">
        <v>1279</v>
      </c>
      <c r="L204" t="s">
        <v>1029</v>
      </c>
      <c r="M204" t="s">
        <v>1321</v>
      </c>
      <c r="N204" t="s">
        <v>1848</v>
      </c>
    </row>
    <row r="205" spans="6:14" x14ac:dyDescent="0.2">
      <c r="F205" t="s">
        <v>1382</v>
      </c>
      <c r="G205" t="s">
        <v>1383</v>
      </c>
      <c r="H205" t="s">
        <v>1384</v>
      </c>
      <c r="J205" t="s">
        <v>506</v>
      </c>
      <c r="K205" t="s">
        <v>1279</v>
      </c>
      <c r="L205" t="s">
        <v>1029</v>
      </c>
      <c r="M205" t="s">
        <v>1321</v>
      </c>
      <c r="N205" t="s">
        <v>1848</v>
      </c>
    </row>
    <row r="206" spans="6:14" x14ac:dyDescent="0.2">
      <c r="F206" t="s">
        <v>1385</v>
      </c>
      <c r="G206" t="s">
        <v>1386</v>
      </c>
      <c r="H206" t="s">
        <v>1387</v>
      </c>
      <c r="J206" t="s">
        <v>506</v>
      </c>
      <c r="K206" t="s">
        <v>1279</v>
      </c>
      <c r="L206" t="s">
        <v>1029</v>
      </c>
      <c r="M206" t="s">
        <v>1321</v>
      </c>
      <c r="N206" t="s">
        <v>1848</v>
      </c>
    </row>
    <row r="207" spans="6:14" x14ac:dyDescent="0.2">
      <c r="F207" t="s">
        <v>1388</v>
      </c>
      <c r="G207" t="s">
        <v>1389</v>
      </c>
      <c r="J207" t="s">
        <v>506</v>
      </c>
      <c r="K207" t="s">
        <v>1279</v>
      </c>
      <c r="L207" t="s">
        <v>1029</v>
      </c>
      <c r="M207" t="s">
        <v>1321</v>
      </c>
      <c r="N207" t="s">
        <v>1848</v>
      </c>
    </row>
    <row r="208" spans="6:14" x14ac:dyDescent="0.2">
      <c r="F208" t="s">
        <v>1390</v>
      </c>
      <c r="G208" t="s">
        <v>1391</v>
      </c>
      <c r="J208" t="s">
        <v>506</v>
      </c>
      <c r="K208" t="s">
        <v>1279</v>
      </c>
      <c r="L208" t="s">
        <v>1029</v>
      </c>
      <c r="M208" t="s">
        <v>1321</v>
      </c>
      <c r="N208" t="s">
        <v>1848</v>
      </c>
    </row>
    <row r="209" spans="6:14" x14ac:dyDescent="0.2">
      <c r="F209" t="s">
        <v>1392</v>
      </c>
      <c r="G209" t="s">
        <v>1393</v>
      </c>
      <c r="J209" t="s">
        <v>506</v>
      </c>
      <c r="K209" t="s">
        <v>1279</v>
      </c>
      <c r="L209" t="s">
        <v>1029</v>
      </c>
      <c r="M209" t="s">
        <v>1321</v>
      </c>
      <c r="N209" t="s">
        <v>1848</v>
      </c>
    </row>
    <row r="210" spans="6:14" x14ac:dyDescent="0.2">
      <c r="F210" t="s">
        <v>1394</v>
      </c>
      <c r="G210" t="s">
        <v>1395</v>
      </c>
      <c r="H210" t="s">
        <v>1396</v>
      </c>
      <c r="J210" t="s">
        <v>506</v>
      </c>
      <c r="K210" t="s">
        <v>1279</v>
      </c>
      <c r="L210" t="s">
        <v>1029</v>
      </c>
      <c r="M210" t="s">
        <v>1321</v>
      </c>
      <c r="N210" t="s">
        <v>1848</v>
      </c>
    </row>
    <row r="211" spans="6:14" x14ac:dyDescent="0.2">
      <c r="F211" t="s">
        <v>1397</v>
      </c>
      <c r="G211" t="s">
        <v>1398</v>
      </c>
      <c r="J211" t="s">
        <v>506</v>
      </c>
      <c r="K211" t="s">
        <v>1279</v>
      </c>
      <c r="L211" t="s">
        <v>1029</v>
      </c>
      <c r="M211" t="s">
        <v>1321</v>
      </c>
      <c r="N211" t="s">
        <v>1848</v>
      </c>
    </row>
    <row r="212" spans="6:14" x14ac:dyDescent="0.2">
      <c r="F212" t="s">
        <v>1399</v>
      </c>
      <c r="G212" t="s">
        <v>1400</v>
      </c>
      <c r="J212" t="s">
        <v>506</v>
      </c>
      <c r="K212" t="s">
        <v>1279</v>
      </c>
      <c r="L212" t="s">
        <v>1029</v>
      </c>
      <c r="M212" t="s">
        <v>1321</v>
      </c>
      <c r="N212" t="s">
        <v>1848</v>
      </c>
    </row>
    <row r="213" spans="6:14" x14ac:dyDescent="0.2">
      <c r="F213" t="s">
        <v>1401</v>
      </c>
      <c r="G213" t="s">
        <v>1402</v>
      </c>
      <c r="J213" t="s">
        <v>506</v>
      </c>
      <c r="K213" t="s">
        <v>1279</v>
      </c>
      <c r="L213" t="s">
        <v>1029</v>
      </c>
      <c r="M213" t="s">
        <v>1321</v>
      </c>
      <c r="N213" t="s">
        <v>1848</v>
      </c>
    </row>
    <row r="214" spans="6:14" x14ac:dyDescent="0.2">
      <c r="F214" t="s">
        <v>1403</v>
      </c>
      <c r="G214" t="s">
        <v>1404</v>
      </c>
      <c r="J214" t="s">
        <v>506</v>
      </c>
      <c r="K214" t="s">
        <v>1279</v>
      </c>
      <c r="L214" t="s">
        <v>1029</v>
      </c>
      <c r="M214" t="s">
        <v>1321</v>
      </c>
      <c r="N214" t="s">
        <v>1848</v>
      </c>
    </row>
    <row r="215" spans="6:14" x14ac:dyDescent="0.2">
      <c r="F215" t="s">
        <v>1405</v>
      </c>
      <c r="G215" t="s">
        <v>1406</v>
      </c>
      <c r="J215" t="s">
        <v>506</v>
      </c>
      <c r="K215" t="s">
        <v>1279</v>
      </c>
      <c r="L215" t="s">
        <v>1029</v>
      </c>
      <c r="M215" t="s">
        <v>1321</v>
      </c>
      <c r="N215" t="s">
        <v>1848</v>
      </c>
    </row>
    <row r="216" spans="6:14" x14ac:dyDescent="0.2">
      <c r="F216" t="s">
        <v>1407</v>
      </c>
      <c r="G216" t="s">
        <v>1408</v>
      </c>
      <c r="H216" t="s">
        <v>1409</v>
      </c>
      <c r="J216" t="s">
        <v>506</v>
      </c>
      <c r="K216" t="s">
        <v>1279</v>
      </c>
      <c r="L216" t="s">
        <v>1029</v>
      </c>
      <c r="M216" t="s">
        <v>1321</v>
      </c>
      <c r="N216" t="s">
        <v>1848</v>
      </c>
    </row>
    <row r="217" spans="6:14" x14ac:dyDescent="0.2">
      <c r="F217" t="s">
        <v>1410</v>
      </c>
      <c r="G217" t="s">
        <v>1411</v>
      </c>
      <c r="J217" t="s">
        <v>506</v>
      </c>
      <c r="K217" t="s">
        <v>1279</v>
      </c>
      <c r="L217" t="s">
        <v>1029</v>
      </c>
      <c r="M217" t="s">
        <v>1321</v>
      </c>
      <c r="N217" t="s">
        <v>1848</v>
      </c>
    </row>
    <row r="218" spans="6:14" x14ac:dyDescent="0.2">
      <c r="F218" t="s">
        <v>1412</v>
      </c>
      <c r="G218" t="s">
        <v>1413</v>
      </c>
      <c r="J218" t="s">
        <v>506</v>
      </c>
      <c r="K218" t="s">
        <v>1279</v>
      </c>
      <c r="L218" t="s">
        <v>1029</v>
      </c>
      <c r="M218" t="s">
        <v>1321</v>
      </c>
      <c r="N218" t="s">
        <v>1848</v>
      </c>
    </row>
    <row r="219" spans="6:14" x14ac:dyDescent="0.2">
      <c r="F219" t="s">
        <v>1414</v>
      </c>
      <c r="G219" t="s">
        <v>1415</v>
      </c>
      <c r="J219" t="s">
        <v>506</v>
      </c>
      <c r="K219" t="s">
        <v>1279</v>
      </c>
      <c r="L219" t="s">
        <v>1029</v>
      </c>
      <c r="M219" t="s">
        <v>1321</v>
      </c>
      <c r="N219" t="s">
        <v>1848</v>
      </c>
    </row>
    <row r="220" spans="6:14" x14ac:dyDescent="0.2">
      <c r="F220" t="s">
        <v>1416</v>
      </c>
      <c r="G220" t="s">
        <v>1417</v>
      </c>
      <c r="H220" t="s">
        <v>1418</v>
      </c>
      <c r="J220" t="s">
        <v>506</v>
      </c>
      <c r="K220" t="s">
        <v>1279</v>
      </c>
      <c r="L220" t="s">
        <v>1029</v>
      </c>
      <c r="M220" t="s">
        <v>1321</v>
      </c>
      <c r="N220" t="s">
        <v>1848</v>
      </c>
    </row>
    <row r="221" spans="6:14" x14ac:dyDescent="0.2">
      <c r="F221" t="s">
        <v>1419</v>
      </c>
      <c r="G221" t="s">
        <v>1420</v>
      </c>
      <c r="J221" t="s">
        <v>506</v>
      </c>
      <c r="K221" t="s">
        <v>1279</v>
      </c>
      <c r="L221" t="s">
        <v>1029</v>
      </c>
      <c r="M221" t="s">
        <v>1321</v>
      </c>
      <c r="N221" t="s">
        <v>1848</v>
      </c>
    </row>
    <row r="222" spans="6:14" x14ac:dyDescent="0.2">
      <c r="F222" t="s">
        <v>1421</v>
      </c>
      <c r="G222" t="s">
        <v>1422</v>
      </c>
      <c r="J222" t="s">
        <v>506</v>
      </c>
      <c r="K222" t="s">
        <v>1279</v>
      </c>
      <c r="L222" t="s">
        <v>1029</v>
      </c>
      <c r="M222" t="s">
        <v>1257</v>
      </c>
      <c r="N222" t="s">
        <v>1848</v>
      </c>
    </row>
    <row r="223" spans="6:14" x14ac:dyDescent="0.2">
      <c r="F223" t="s">
        <v>1423</v>
      </c>
      <c r="G223" t="s">
        <v>1424</v>
      </c>
      <c r="J223" t="s">
        <v>506</v>
      </c>
      <c r="K223" t="s">
        <v>1279</v>
      </c>
      <c r="L223" t="s">
        <v>1029</v>
      </c>
      <c r="M223" t="s">
        <v>1257</v>
      </c>
      <c r="N223" t="s">
        <v>1848</v>
      </c>
    </row>
    <row r="224" spans="6:14" x14ac:dyDescent="0.2">
      <c r="F224" t="s">
        <v>1425</v>
      </c>
      <c r="G224" t="s">
        <v>1426</v>
      </c>
      <c r="J224" t="s">
        <v>506</v>
      </c>
      <c r="K224" t="s">
        <v>1279</v>
      </c>
      <c r="L224" t="s">
        <v>1029</v>
      </c>
      <c r="M224" t="s">
        <v>1257</v>
      </c>
      <c r="N224" t="s">
        <v>1848</v>
      </c>
    </row>
    <row r="225" spans="6:14" x14ac:dyDescent="0.2">
      <c r="F225" t="s">
        <v>1427</v>
      </c>
      <c r="G225" t="s">
        <v>1428</v>
      </c>
      <c r="J225" t="s">
        <v>506</v>
      </c>
      <c r="K225" t="s">
        <v>1279</v>
      </c>
      <c r="L225" t="s">
        <v>1029</v>
      </c>
      <c r="M225" t="s">
        <v>1257</v>
      </c>
      <c r="N225" t="s">
        <v>1848</v>
      </c>
    </row>
    <row r="226" spans="6:14" x14ac:dyDescent="0.2">
      <c r="F226" t="s">
        <v>1429</v>
      </c>
      <c r="G226" t="s">
        <v>1430</v>
      </c>
      <c r="J226" t="s">
        <v>506</v>
      </c>
      <c r="K226" t="s">
        <v>1279</v>
      </c>
      <c r="L226" t="s">
        <v>1029</v>
      </c>
      <c r="M226" t="s">
        <v>1257</v>
      </c>
      <c r="N226" t="s">
        <v>1848</v>
      </c>
    </row>
    <row r="227" spans="6:14" x14ac:dyDescent="0.2">
      <c r="F227" t="s">
        <v>1431</v>
      </c>
      <c r="G227" t="s">
        <v>1432</v>
      </c>
      <c r="J227" t="s">
        <v>506</v>
      </c>
      <c r="K227" t="s">
        <v>1279</v>
      </c>
      <c r="L227" t="s">
        <v>1029</v>
      </c>
      <c r="M227" t="s">
        <v>1257</v>
      </c>
      <c r="N227" t="s">
        <v>1848</v>
      </c>
    </row>
    <row r="228" spans="6:14" x14ac:dyDescent="0.2">
      <c r="F228" t="s">
        <v>1433</v>
      </c>
      <c r="G228" t="s">
        <v>1434</v>
      </c>
      <c r="J228" t="s">
        <v>506</v>
      </c>
      <c r="K228" t="s">
        <v>1279</v>
      </c>
      <c r="L228" t="s">
        <v>1029</v>
      </c>
      <c r="M228" t="s">
        <v>1257</v>
      </c>
      <c r="N228" t="s">
        <v>1848</v>
      </c>
    </row>
    <row r="229" spans="6:14" x14ac:dyDescent="0.2">
      <c r="F229" t="s">
        <v>1435</v>
      </c>
      <c r="G229" t="s">
        <v>1436</v>
      </c>
      <c r="J229" t="s">
        <v>506</v>
      </c>
      <c r="K229" t="s">
        <v>1279</v>
      </c>
      <c r="L229" t="s">
        <v>1029</v>
      </c>
      <c r="M229" t="s">
        <v>1257</v>
      </c>
      <c r="N229" t="s">
        <v>1848</v>
      </c>
    </row>
    <row r="230" spans="6:14" x14ac:dyDescent="0.2">
      <c r="F230" t="s">
        <v>1437</v>
      </c>
      <c r="G230" t="s">
        <v>1438</v>
      </c>
      <c r="J230" t="s">
        <v>506</v>
      </c>
      <c r="K230" t="s">
        <v>1279</v>
      </c>
      <c r="L230" t="s">
        <v>1029</v>
      </c>
      <c r="M230" t="s">
        <v>1257</v>
      </c>
      <c r="N230" t="s">
        <v>1848</v>
      </c>
    </row>
    <row r="231" spans="6:14" x14ac:dyDescent="0.2">
      <c r="F231" t="s">
        <v>1439</v>
      </c>
      <c r="G231" t="s">
        <v>1440</v>
      </c>
      <c r="J231" t="s">
        <v>506</v>
      </c>
      <c r="K231" t="s">
        <v>1279</v>
      </c>
      <c r="L231" t="s">
        <v>1029</v>
      </c>
      <c r="M231" t="s">
        <v>1257</v>
      </c>
      <c r="N231" t="s">
        <v>1848</v>
      </c>
    </row>
    <row r="232" spans="6:14" x14ac:dyDescent="0.2">
      <c r="F232" t="s">
        <v>1441</v>
      </c>
      <c r="G232" t="s">
        <v>1442</v>
      </c>
      <c r="J232" t="s">
        <v>506</v>
      </c>
      <c r="K232" t="s">
        <v>1279</v>
      </c>
      <c r="L232" t="s">
        <v>1029</v>
      </c>
      <c r="M232" t="s">
        <v>1257</v>
      </c>
      <c r="N232" t="s">
        <v>1848</v>
      </c>
    </row>
    <row r="233" spans="6:14" x14ac:dyDescent="0.2">
      <c r="F233" t="s">
        <v>1443</v>
      </c>
      <c r="G233" t="s">
        <v>1444</v>
      </c>
      <c r="J233" t="s">
        <v>506</v>
      </c>
      <c r="K233" t="s">
        <v>1279</v>
      </c>
      <c r="L233" t="s">
        <v>1029</v>
      </c>
      <c r="M233" t="s">
        <v>1257</v>
      </c>
      <c r="N233" t="s">
        <v>1848</v>
      </c>
    </row>
    <row r="234" spans="6:14" x14ac:dyDescent="0.2">
      <c r="F234" t="s">
        <v>1445</v>
      </c>
      <c r="G234" t="s">
        <v>1446</v>
      </c>
      <c r="J234" t="s">
        <v>506</v>
      </c>
      <c r="K234" t="s">
        <v>1279</v>
      </c>
      <c r="L234" t="s">
        <v>1029</v>
      </c>
      <c r="M234" t="s">
        <v>1257</v>
      </c>
      <c r="N234" t="s">
        <v>1848</v>
      </c>
    </row>
    <row r="235" spans="6:14" x14ac:dyDescent="0.2">
      <c r="F235" t="s">
        <v>1447</v>
      </c>
      <c r="G235" t="s">
        <v>1448</v>
      </c>
      <c r="J235" t="s">
        <v>506</v>
      </c>
      <c r="K235" t="s">
        <v>1279</v>
      </c>
      <c r="L235" t="s">
        <v>1029</v>
      </c>
      <c r="M235" t="s">
        <v>1257</v>
      </c>
      <c r="N235" t="s">
        <v>1848</v>
      </c>
    </row>
    <row r="236" spans="6:14" x14ac:dyDescent="0.2">
      <c r="F236" t="s">
        <v>1449</v>
      </c>
      <c r="G236" t="s">
        <v>1450</v>
      </c>
      <c r="J236" t="s">
        <v>506</v>
      </c>
      <c r="K236" t="s">
        <v>1279</v>
      </c>
      <c r="L236" t="s">
        <v>1029</v>
      </c>
      <c r="M236" t="s">
        <v>1257</v>
      </c>
      <c r="N236" t="s">
        <v>1848</v>
      </c>
    </row>
    <row r="237" spans="6:14" x14ac:dyDescent="0.2">
      <c r="F237" t="s">
        <v>1451</v>
      </c>
      <c r="G237" t="s">
        <v>1452</v>
      </c>
      <c r="J237" t="s">
        <v>506</v>
      </c>
      <c r="K237" t="s">
        <v>1279</v>
      </c>
      <c r="L237" t="s">
        <v>1029</v>
      </c>
      <c r="M237" t="s">
        <v>1257</v>
      </c>
      <c r="N237" t="s">
        <v>1848</v>
      </c>
    </row>
    <row r="238" spans="6:14" x14ac:dyDescent="0.2">
      <c r="F238" t="s">
        <v>1453</v>
      </c>
      <c r="G238" t="s">
        <v>1454</v>
      </c>
      <c r="J238" t="s">
        <v>506</v>
      </c>
      <c r="K238" t="s">
        <v>1279</v>
      </c>
      <c r="L238" t="s">
        <v>1029</v>
      </c>
      <c r="M238" t="s">
        <v>1257</v>
      </c>
      <c r="N238" t="s">
        <v>1848</v>
      </c>
    </row>
    <row r="239" spans="6:14" x14ac:dyDescent="0.2">
      <c r="F239" t="s">
        <v>1455</v>
      </c>
      <c r="G239" t="s">
        <v>1456</v>
      </c>
      <c r="J239" t="s">
        <v>506</v>
      </c>
      <c r="K239" t="s">
        <v>1279</v>
      </c>
      <c r="L239" t="s">
        <v>1029</v>
      </c>
      <c r="M239" t="s">
        <v>1257</v>
      </c>
      <c r="N239" t="s">
        <v>1848</v>
      </c>
    </row>
    <row r="240" spans="6:14" x14ac:dyDescent="0.2">
      <c r="F240" t="s">
        <v>1457</v>
      </c>
      <c r="G240" t="s">
        <v>1458</v>
      </c>
      <c r="J240" t="s">
        <v>506</v>
      </c>
      <c r="K240" t="s">
        <v>1279</v>
      </c>
      <c r="L240" t="s">
        <v>1029</v>
      </c>
      <c r="M240" t="s">
        <v>1257</v>
      </c>
      <c r="N240" t="s">
        <v>1848</v>
      </c>
    </row>
    <row r="241" spans="6:14" x14ac:dyDescent="0.2">
      <c r="F241" t="s">
        <v>1459</v>
      </c>
      <c r="G241" t="s">
        <v>1460</v>
      </c>
      <c r="J241" t="s">
        <v>506</v>
      </c>
      <c r="K241" t="s">
        <v>1279</v>
      </c>
      <c r="L241" t="s">
        <v>1029</v>
      </c>
      <c r="M241" t="s">
        <v>1257</v>
      </c>
      <c r="N241" t="s">
        <v>1848</v>
      </c>
    </row>
    <row r="242" spans="6:14" x14ac:dyDescent="0.2">
      <c r="F242" t="s">
        <v>1461</v>
      </c>
      <c r="G242" t="s">
        <v>1462</v>
      </c>
      <c r="J242" t="s">
        <v>506</v>
      </c>
      <c r="K242" t="s">
        <v>1279</v>
      </c>
      <c r="L242" t="s">
        <v>1029</v>
      </c>
      <c r="M242" t="s">
        <v>1257</v>
      </c>
      <c r="N242" t="s">
        <v>1848</v>
      </c>
    </row>
    <row r="243" spans="6:14" x14ac:dyDescent="0.2">
      <c r="F243" t="s">
        <v>1463</v>
      </c>
      <c r="G243" t="s">
        <v>1464</v>
      </c>
      <c r="J243" t="s">
        <v>506</v>
      </c>
      <c r="K243" t="s">
        <v>1279</v>
      </c>
      <c r="L243" t="s">
        <v>1029</v>
      </c>
      <c r="M243" t="s">
        <v>1257</v>
      </c>
      <c r="N243" t="s">
        <v>1848</v>
      </c>
    </row>
    <row r="244" spans="6:14" x14ac:dyDescent="0.2">
      <c r="F244" t="s">
        <v>1465</v>
      </c>
      <c r="G244" t="s">
        <v>1466</v>
      </c>
      <c r="J244" t="s">
        <v>506</v>
      </c>
      <c r="K244" t="s">
        <v>1279</v>
      </c>
      <c r="L244" t="s">
        <v>1029</v>
      </c>
      <c r="M244" t="s">
        <v>1257</v>
      </c>
      <c r="N244" t="s">
        <v>1848</v>
      </c>
    </row>
    <row r="245" spans="6:14" x14ac:dyDescent="0.2">
      <c r="F245" t="s">
        <v>1467</v>
      </c>
      <c r="G245" t="s">
        <v>1468</v>
      </c>
      <c r="J245" t="s">
        <v>506</v>
      </c>
      <c r="K245" t="s">
        <v>1279</v>
      </c>
      <c r="L245" t="s">
        <v>1029</v>
      </c>
      <c r="M245" t="s">
        <v>1257</v>
      </c>
      <c r="N245" t="s">
        <v>1848</v>
      </c>
    </row>
    <row r="246" spans="6:14" x14ac:dyDescent="0.2">
      <c r="F246" t="s">
        <v>1469</v>
      </c>
      <c r="G246" t="s">
        <v>1470</v>
      </c>
      <c r="J246" t="s">
        <v>506</v>
      </c>
      <c r="K246" t="s">
        <v>1279</v>
      </c>
      <c r="L246" t="s">
        <v>1029</v>
      </c>
      <c r="M246" t="s">
        <v>1257</v>
      </c>
      <c r="N246" t="s">
        <v>1848</v>
      </c>
    </row>
    <row r="247" spans="6:14" x14ac:dyDescent="0.2">
      <c r="F247" t="s">
        <v>1471</v>
      </c>
      <c r="G247" t="s">
        <v>1472</v>
      </c>
      <c r="J247" t="s">
        <v>506</v>
      </c>
      <c r="K247" t="s">
        <v>1279</v>
      </c>
      <c r="L247" t="s">
        <v>1029</v>
      </c>
      <c r="M247" t="s">
        <v>1257</v>
      </c>
      <c r="N247" t="s">
        <v>1848</v>
      </c>
    </row>
    <row r="248" spans="6:14" x14ac:dyDescent="0.2">
      <c r="F248" t="s">
        <v>1473</v>
      </c>
      <c r="G248" t="s">
        <v>1474</v>
      </c>
      <c r="J248" t="s">
        <v>506</v>
      </c>
      <c r="K248" t="s">
        <v>1279</v>
      </c>
      <c r="L248" t="s">
        <v>1029</v>
      </c>
      <c r="M248" t="s">
        <v>1257</v>
      </c>
      <c r="N248" t="s">
        <v>1848</v>
      </c>
    </row>
    <row r="249" spans="6:14" x14ac:dyDescent="0.2">
      <c r="F249" t="s">
        <v>1475</v>
      </c>
      <c r="G249" t="s">
        <v>1476</v>
      </c>
      <c r="J249" t="s">
        <v>506</v>
      </c>
      <c r="K249" t="s">
        <v>1279</v>
      </c>
      <c r="L249" t="s">
        <v>1029</v>
      </c>
      <c r="M249" t="s">
        <v>1257</v>
      </c>
      <c r="N249" t="s">
        <v>1848</v>
      </c>
    </row>
    <row r="250" spans="6:14" x14ac:dyDescent="0.2">
      <c r="F250" t="s">
        <v>1477</v>
      </c>
      <c r="G250" t="s">
        <v>1478</v>
      </c>
      <c r="J250" t="s">
        <v>506</v>
      </c>
      <c r="K250" t="s">
        <v>1279</v>
      </c>
      <c r="L250" t="s">
        <v>1029</v>
      </c>
      <c r="M250" t="s">
        <v>1257</v>
      </c>
      <c r="N250" t="s">
        <v>1848</v>
      </c>
    </row>
    <row r="251" spans="6:14" x14ac:dyDescent="0.2">
      <c r="F251" t="s">
        <v>1479</v>
      </c>
      <c r="G251" t="s">
        <v>1480</v>
      </c>
      <c r="J251" t="s">
        <v>506</v>
      </c>
      <c r="K251" t="s">
        <v>1279</v>
      </c>
      <c r="L251" t="s">
        <v>1029</v>
      </c>
      <c r="M251" t="s">
        <v>1257</v>
      </c>
      <c r="N251" t="s">
        <v>1848</v>
      </c>
    </row>
    <row r="252" spans="6:14" x14ac:dyDescent="0.2">
      <c r="F252" t="s">
        <v>1481</v>
      </c>
      <c r="G252" t="s">
        <v>1482</v>
      </c>
      <c r="J252" t="s">
        <v>506</v>
      </c>
      <c r="K252" t="s">
        <v>1279</v>
      </c>
      <c r="L252" t="s">
        <v>1029</v>
      </c>
      <c r="M252" t="s">
        <v>1257</v>
      </c>
      <c r="N252" t="s">
        <v>1848</v>
      </c>
    </row>
    <row r="253" spans="6:14" x14ac:dyDescent="0.2">
      <c r="F253" t="s">
        <v>1483</v>
      </c>
      <c r="G253" t="s">
        <v>1484</v>
      </c>
      <c r="J253" t="s">
        <v>506</v>
      </c>
      <c r="K253" t="s">
        <v>1279</v>
      </c>
      <c r="L253" t="s">
        <v>1029</v>
      </c>
      <c r="M253" t="s">
        <v>1257</v>
      </c>
      <c r="N253" t="s">
        <v>1848</v>
      </c>
    </row>
    <row r="254" spans="6:14" x14ac:dyDescent="0.2">
      <c r="F254" t="s">
        <v>1485</v>
      </c>
      <c r="G254" t="s">
        <v>1486</v>
      </c>
      <c r="J254" t="s">
        <v>506</v>
      </c>
      <c r="K254" t="s">
        <v>1279</v>
      </c>
      <c r="L254" t="s">
        <v>1029</v>
      </c>
      <c r="M254" t="s">
        <v>1257</v>
      </c>
      <c r="N254" t="s">
        <v>1848</v>
      </c>
    </row>
    <row r="255" spans="6:14" x14ac:dyDescent="0.2">
      <c r="F255" t="s">
        <v>1487</v>
      </c>
      <c r="G255" t="s">
        <v>1488</v>
      </c>
      <c r="J255" t="s">
        <v>506</v>
      </c>
      <c r="K255" t="s">
        <v>1279</v>
      </c>
      <c r="L255" t="s">
        <v>1029</v>
      </c>
      <c r="M255" t="s">
        <v>1257</v>
      </c>
      <c r="N255" t="s">
        <v>1848</v>
      </c>
    </row>
    <row r="256" spans="6:14" x14ac:dyDescent="0.2">
      <c r="F256" t="s">
        <v>1489</v>
      </c>
      <c r="G256" t="s">
        <v>1490</v>
      </c>
      <c r="J256" t="s">
        <v>506</v>
      </c>
      <c r="K256" t="s">
        <v>1279</v>
      </c>
      <c r="L256" t="s">
        <v>1029</v>
      </c>
      <c r="M256" t="s">
        <v>1257</v>
      </c>
      <c r="N256" t="s">
        <v>1848</v>
      </c>
    </row>
    <row r="257" spans="6:14" x14ac:dyDescent="0.2">
      <c r="F257" t="s">
        <v>1491</v>
      </c>
      <c r="G257" t="s">
        <v>1492</v>
      </c>
      <c r="J257" t="s">
        <v>506</v>
      </c>
      <c r="K257" t="s">
        <v>1279</v>
      </c>
      <c r="L257" t="s">
        <v>1029</v>
      </c>
      <c r="M257" t="s">
        <v>1257</v>
      </c>
      <c r="N257" t="s">
        <v>1848</v>
      </c>
    </row>
    <row r="258" spans="6:14" x14ac:dyDescent="0.2">
      <c r="F258" t="s">
        <v>1493</v>
      </c>
      <c r="G258" t="s">
        <v>1494</v>
      </c>
      <c r="J258" t="s">
        <v>506</v>
      </c>
      <c r="K258" t="s">
        <v>1279</v>
      </c>
      <c r="L258" t="s">
        <v>1029</v>
      </c>
      <c r="M258" t="s">
        <v>1257</v>
      </c>
      <c r="N258" t="s">
        <v>1848</v>
      </c>
    </row>
    <row r="259" spans="6:14" x14ac:dyDescent="0.2">
      <c r="F259" t="s">
        <v>1495</v>
      </c>
      <c r="G259" t="s">
        <v>1496</v>
      </c>
      <c r="J259" t="s">
        <v>506</v>
      </c>
      <c r="K259" t="s">
        <v>1279</v>
      </c>
      <c r="L259" t="s">
        <v>1029</v>
      </c>
      <c r="M259" t="s">
        <v>1257</v>
      </c>
      <c r="N259" t="s">
        <v>1848</v>
      </c>
    </row>
    <row r="260" spans="6:14" x14ac:dyDescent="0.2">
      <c r="F260" t="s">
        <v>1497</v>
      </c>
      <c r="G260" t="s">
        <v>1498</v>
      </c>
      <c r="J260" t="s">
        <v>506</v>
      </c>
      <c r="K260" t="s">
        <v>1279</v>
      </c>
      <c r="L260" t="s">
        <v>1029</v>
      </c>
      <c r="M260" t="s">
        <v>1257</v>
      </c>
      <c r="N260" t="s">
        <v>1848</v>
      </c>
    </row>
    <row r="261" spans="6:14" x14ac:dyDescent="0.2">
      <c r="F261" t="s">
        <v>1499</v>
      </c>
      <c r="G261" t="s">
        <v>1500</v>
      </c>
      <c r="J261" t="s">
        <v>506</v>
      </c>
      <c r="K261" t="s">
        <v>1279</v>
      </c>
      <c r="L261" t="s">
        <v>1029</v>
      </c>
      <c r="M261" t="s">
        <v>1257</v>
      </c>
      <c r="N261" t="s">
        <v>1848</v>
      </c>
    </row>
    <row r="262" spans="6:14" x14ac:dyDescent="0.2">
      <c r="F262" t="s">
        <v>1501</v>
      </c>
      <c r="G262" t="s">
        <v>1402</v>
      </c>
      <c r="J262" t="s">
        <v>506</v>
      </c>
      <c r="K262" t="s">
        <v>1279</v>
      </c>
      <c r="L262" t="s">
        <v>1029</v>
      </c>
      <c r="M262" t="s">
        <v>1257</v>
      </c>
      <c r="N262" t="s">
        <v>1848</v>
      </c>
    </row>
    <row r="263" spans="6:14" x14ac:dyDescent="0.2">
      <c r="F263" t="s">
        <v>1502</v>
      </c>
      <c r="G263" t="s">
        <v>1503</v>
      </c>
      <c r="J263" t="s">
        <v>506</v>
      </c>
      <c r="K263" t="s">
        <v>1279</v>
      </c>
      <c r="L263" t="s">
        <v>1029</v>
      </c>
      <c r="M263" t="s">
        <v>1257</v>
      </c>
      <c r="N263" t="s">
        <v>1848</v>
      </c>
    </row>
    <row r="264" spans="6:14" x14ac:dyDescent="0.2">
      <c r="F264" t="s">
        <v>1504</v>
      </c>
      <c r="G264" t="s">
        <v>1505</v>
      </c>
      <c r="J264" t="s">
        <v>506</v>
      </c>
      <c r="K264" t="s">
        <v>1279</v>
      </c>
      <c r="L264" t="s">
        <v>1029</v>
      </c>
      <c r="M264" t="s">
        <v>1257</v>
      </c>
      <c r="N264" t="s">
        <v>1848</v>
      </c>
    </row>
    <row r="265" spans="6:14" x14ac:dyDescent="0.2">
      <c r="F265" t="s">
        <v>1506</v>
      </c>
      <c r="G265" t="s">
        <v>1507</v>
      </c>
      <c r="J265" t="s">
        <v>506</v>
      </c>
      <c r="K265" t="s">
        <v>1279</v>
      </c>
      <c r="L265" t="s">
        <v>1029</v>
      </c>
      <c r="M265" t="s">
        <v>1257</v>
      </c>
      <c r="N265" t="s">
        <v>1848</v>
      </c>
    </row>
    <row r="266" spans="6:14" x14ac:dyDescent="0.2">
      <c r="F266" t="s">
        <v>1508</v>
      </c>
      <c r="G266" t="s">
        <v>1509</v>
      </c>
      <c r="J266" t="s">
        <v>506</v>
      </c>
      <c r="K266" t="s">
        <v>1279</v>
      </c>
      <c r="L266" t="s">
        <v>1029</v>
      </c>
      <c r="M266" t="s">
        <v>1257</v>
      </c>
      <c r="N266" t="s">
        <v>1848</v>
      </c>
    </row>
    <row r="267" spans="6:14" x14ac:dyDescent="0.2">
      <c r="F267" t="s">
        <v>1510</v>
      </c>
      <c r="G267" t="s">
        <v>1511</v>
      </c>
      <c r="J267" t="s">
        <v>506</v>
      </c>
      <c r="K267" t="s">
        <v>1279</v>
      </c>
      <c r="L267" t="s">
        <v>1029</v>
      </c>
      <c r="M267" t="s">
        <v>1257</v>
      </c>
      <c r="N267" t="s">
        <v>1848</v>
      </c>
    </row>
    <row r="268" spans="6:14" x14ac:dyDescent="0.2">
      <c r="F268" t="s">
        <v>1512</v>
      </c>
      <c r="G268" t="s">
        <v>1513</v>
      </c>
      <c r="J268" t="s">
        <v>506</v>
      </c>
      <c r="K268" t="s">
        <v>1279</v>
      </c>
      <c r="L268" t="s">
        <v>1029</v>
      </c>
      <c r="M268" t="s">
        <v>1257</v>
      </c>
      <c r="N268" t="s">
        <v>1848</v>
      </c>
    </row>
    <row r="269" spans="6:14" x14ac:dyDescent="0.2">
      <c r="F269" t="s">
        <v>1514</v>
      </c>
      <c r="G269" t="s">
        <v>1515</v>
      </c>
      <c r="J269" t="s">
        <v>506</v>
      </c>
      <c r="K269" t="s">
        <v>1279</v>
      </c>
      <c r="L269" t="s">
        <v>1029</v>
      </c>
      <c r="M269" t="s">
        <v>1257</v>
      </c>
      <c r="N269" t="s">
        <v>1848</v>
      </c>
    </row>
    <row r="270" spans="6:14" x14ac:dyDescent="0.2">
      <c r="F270" t="s">
        <v>1516</v>
      </c>
      <c r="G270" t="s">
        <v>1517</v>
      </c>
      <c r="J270" t="s">
        <v>506</v>
      </c>
      <c r="K270" t="s">
        <v>1279</v>
      </c>
      <c r="L270" t="s">
        <v>1029</v>
      </c>
      <c r="M270" t="s">
        <v>1257</v>
      </c>
      <c r="N270" t="s">
        <v>1848</v>
      </c>
    </row>
    <row r="271" spans="6:14" x14ac:dyDescent="0.2">
      <c r="F271" t="s">
        <v>1518</v>
      </c>
      <c r="G271" t="s">
        <v>1519</v>
      </c>
      <c r="J271" t="s">
        <v>506</v>
      </c>
      <c r="K271" t="s">
        <v>1279</v>
      </c>
      <c r="L271" t="s">
        <v>1029</v>
      </c>
      <c r="M271" t="s">
        <v>1257</v>
      </c>
      <c r="N271" t="s">
        <v>1848</v>
      </c>
    </row>
    <row r="272" spans="6:14" x14ac:dyDescent="0.2">
      <c r="F272" t="s">
        <v>1520</v>
      </c>
      <c r="G272" t="s">
        <v>1521</v>
      </c>
      <c r="J272" t="s">
        <v>506</v>
      </c>
      <c r="K272" t="s">
        <v>1279</v>
      </c>
      <c r="L272" t="s">
        <v>1029</v>
      </c>
      <c r="M272" t="s">
        <v>1257</v>
      </c>
      <c r="N272" t="s">
        <v>1848</v>
      </c>
    </row>
    <row r="273" spans="6:17" x14ac:dyDescent="0.2">
      <c r="F273" t="s">
        <v>1522</v>
      </c>
      <c r="G273" t="s">
        <v>1523</v>
      </c>
      <c r="J273" t="s">
        <v>506</v>
      </c>
      <c r="K273" t="s">
        <v>1279</v>
      </c>
      <c r="L273" t="s">
        <v>1029</v>
      </c>
      <c r="M273" t="s">
        <v>1257</v>
      </c>
      <c r="N273" t="s">
        <v>1848</v>
      </c>
    </row>
    <row r="274" spans="6:17" x14ac:dyDescent="0.2">
      <c r="J274" t="s">
        <v>506</v>
      </c>
      <c r="K274" t="s">
        <v>1279</v>
      </c>
      <c r="L274" t="s">
        <v>1524</v>
      </c>
    </row>
    <row r="275" spans="6:17" x14ac:dyDescent="0.2">
      <c r="F275" t="s">
        <v>1525</v>
      </c>
      <c r="G275" t="s">
        <v>1526</v>
      </c>
      <c r="H275" t="s">
        <v>1527</v>
      </c>
      <c r="I275" t="s">
        <v>1528</v>
      </c>
      <c r="J275" t="s">
        <v>506</v>
      </c>
      <c r="K275" t="s">
        <v>1279</v>
      </c>
      <c r="L275" t="s">
        <v>1524</v>
      </c>
      <c r="N275" t="s">
        <v>1848</v>
      </c>
      <c r="O275" t="s">
        <v>1166</v>
      </c>
    </row>
    <row r="276" spans="6:17" x14ac:dyDescent="0.2">
      <c r="F276" t="s">
        <v>1529</v>
      </c>
      <c r="G276" t="s">
        <v>1530</v>
      </c>
      <c r="I276" t="s">
        <v>1531</v>
      </c>
      <c r="J276" t="s">
        <v>506</v>
      </c>
      <c r="K276" t="s">
        <v>1279</v>
      </c>
      <c r="L276" t="s">
        <v>1524</v>
      </c>
      <c r="N276" t="s">
        <v>1848</v>
      </c>
      <c r="O276" t="s">
        <v>1166</v>
      </c>
    </row>
    <row r="277" spans="6:17" x14ac:dyDescent="0.2">
      <c r="F277" t="s">
        <v>1532</v>
      </c>
      <c r="G277" t="s">
        <v>1533</v>
      </c>
      <c r="H277" t="s">
        <v>1534</v>
      </c>
      <c r="I277" t="s">
        <v>1535</v>
      </c>
      <c r="J277" t="s">
        <v>506</v>
      </c>
      <c r="K277" t="s">
        <v>1279</v>
      </c>
      <c r="L277" t="s">
        <v>1524</v>
      </c>
      <c r="N277" t="s">
        <v>1848</v>
      </c>
      <c r="O277" t="s">
        <v>1166</v>
      </c>
    </row>
    <row r="278" spans="6:17" x14ac:dyDescent="0.2">
      <c r="F278" t="s">
        <v>1536</v>
      </c>
      <c r="G278" t="s">
        <v>1537</v>
      </c>
      <c r="H278" t="s">
        <v>1538</v>
      </c>
      <c r="I278" t="s">
        <v>1539</v>
      </c>
      <c r="J278" t="s">
        <v>506</v>
      </c>
      <c r="K278" t="s">
        <v>1279</v>
      </c>
      <c r="L278" t="s">
        <v>1524</v>
      </c>
      <c r="N278" t="s">
        <v>1848</v>
      </c>
      <c r="O278" t="s">
        <v>1166</v>
      </c>
    </row>
    <row r="279" spans="6:17" x14ac:dyDescent="0.2">
      <c r="F279" t="s">
        <v>1540</v>
      </c>
      <c r="G279" t="s">
        <v>1541</v>
      </c>
      <c r="H279" t="s">
        <v>1542</v>
      </c>
      <c r="I279" t="s">
        <v>1543</v>
      </c>
      <c r="J279" t="s">
        <v>506</v>
      </c>
      <c r="K279" t="s">
        <v>1279</v>
      </c>
      <c r="L279" t="s">
        <v>1524</v>
      </c>
      <c r="N279" t="s">
        <v>1848</v>
      </c>
      <c r="O279" t="s">
        <v>1166</v>
      </c>
    </row>
    <row r="280" spans="6:17" x14ac:dyDescent="0.2">
      <c r="F280" t="s">
        <v>1550</v>
      </c>
      <c r="G280" t="s">
        <v>1551</v>
      </c>
      <c r="H280" t="s">
        <v>29</v>
      </c>
      <c r="J280" t="s">
        <v>506</v>
      </c>
      <c r="K280" t="s">
        <v>1279</v>
      </c>
      <c r="L280" t="s">
        <v>1524</v>
      </c>
      <c r="M280" t="s">
        <v>1257</v>
      </c>
      <c r="N280" t="s">
        <v>1848</v>
      </c>
    </row>
    <row r="281" spans="6:17" x14ac:dyDescent="0.2">
      <c r="F281" t="s">
        <v>1552</v>
      </c>
      <c r="G281" t="s">
        <v>1553</v>
      </c>
      <c r="H281" t="s">
        <v>29</v>
      </c>
      <c r="J281" t="s">
        <v>506</v>
      </c>
      <c r="K281" t="s">
        <v>1279</v>
      </c>
      <c r="L281" t="s">
        <v>1524</v>
      </c>
      <c r="M281" t="s">
        <v>1257</v>
      </c>
      <c r="N281" t="s">
        <v>1848</v>
      </c>
    </row>
    <row r="282" spans="6:17" x14ac:dyDescent="0.2">
      <c r="F282" t="s">
        <v>1544</v>
      </c>
      <c r="G282" t="s">
        <v>1545</v>
      </c>
      <c r="H282" t="s">
        <v>29</v>
      </c>
      <c r="J282" t="s">
        <v>506</v>
      </c>
      <c r="K282" t="s">
        <v>1279</v>
      </c>
      <c r="L282" t="s">
        <v>1524</v>
      </c>
      <c r="M282" t="s">
        <v>1546</v>
      </c>
      <c r="N282" t="s">
        <v>1848</v>
      </c>
    </row>
    <row r="283" spans="6:17" x14ac:dyDescent="0.2">
      <c r="F283" t="s">
        <v>1547</v>
      </c>
      <c r="G283" t="s">
        <v>1548</v>
      </c>
      <c r="H283" t="s">
        <v>29</v>
      </c>
      <c r="J283" t="s">
        <v>506</v>
      </c>
      <c r="K283" t="s">
        <v>1279</v>
      </c>
      <c r="L283" t="s">
        <v>1524</v>
      </c>
      <c r="M283" t="s">
        <v>1549</v>
      </c>
      <c r="N283" t="s">
        <v>1848</v>
      </c>
    </row>
    <row r="284" spans="6:17" x14ac:dyDescent="0.2">
      <c r="F284" t="s">
        <v>1620</v>
      </c>
      <c r="G284" t="s">
        <v>1621</v>
      </c>
      <c r="J284" t="s">
        <v>506</v>
      </c>
      <c r="K284" t="s">
        <v>1279</v>
      </c>
      <c r="L284" t="s">
        <v>1622</v>
      </c>
      <c r="N284" t="s">
        <v>1848</v>
      </c>
    </row>
    <row r="285" spans="6:17" x14ac:dyDescent="0.2">
      <c r="F285" t="s">
        <v>1623</v>
      </c>
      <c r="G285" t="s">
        <v>1624</v>
      </c>
      <c r="H285" t="s">
        <v>1625</v>
      </c>
      <c r="I285" t="s">
        <v>1626</v>
      </c>
      <c r="J285" t="s">
        <v>506</v>
      </c>
      <c r="K285" t="s">
        <v>1279</v>
      </c>
      <c r="L285" t="s">
        <v>1622</v>
      </c>
      <c r="M285" t="s">
        <v>1627</v>
      </c>
      <c r="N285" t="s">
        <v>1848</v>
      </c>
      <c r="O285" t="s">
        <v>1166</v>
      </c>
      <c r="Q285">
        <v>256</v>
      </c>
    </row>
    <row r="286" spans="6:17" x14ac:dyDescent="0.2">
      <c r="F286" t="s">
        <v>1628</v>
      </c>
      <c r="G286" t="s">
        <v>1629</v>
      </c>
      <c r="H286" t="s">
        <v>1630</v>
      </c>
      <c r="I286" t="s">
        <v>1631</v>
      </c>
      <c r="J286" t="s">
        <v>506</v>
      </c>
      <c r="K286" t="s">
        <v>1279</v>
      </c>
      <c r="L286" t="s">
        <v>1622</v>
      </c>
      <c r="M286" t="s">
        <v>1166</v>
      </c>
      <c r="N286" t="s">
        <v>1848</v>
      </c>
      <c r="O286" t="s">
        <v>1166</v>
      </c>
      <c r="Q286">
        <v>32</v>
      </c>
    </row>
    <row r="287" spans="6:17" x14ac:dyDescent="0.2">
      <c r="F287" t="s">
        <v>1632</v>
      </c>
      <c r="G287" t="s">
        <v>1633</v>
      </c>
      <c r="H287" t="s">
        <v>1634</v>
      </c>
      <c r="I287" t="s">
        <v>1635</v>
      </c>
      <c r="J287" t="s">
        <v>506</v>
      </c>
      <c r="K287" t="s">
        <v>1279</v>
      </c>
      <c r="L287" t="s">
        <v>1622</v>
      </c>
      <c r="M287" t="s">
        <v>1636</v>
      </c>
      <c r="N287" t="s">
        <v>1848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网址</vt:lpstr>
      <vt:lpstr>暂时不录</vt:lpstr>
      <vt:lpstr>版层分类</vt:lpstr>
      <vt:lpstr>首次要关键词</vt:lpstr>
      <vt:lpstr>重点关键词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郑協</dc:creator>
  <cp:lastModifiedBy>郑協</cp:lastModifiedBy>
  <dcterms:created xsi:type="dcterms:W3CDTF">2021-04-03T08:53:12Z</dcterms:created>
  <dcterms:modified xsi:type="dcterms:W3CDTF">2021-04-06T08:32:34Z</dcterms:modified>
</cp:coreProperties>
</file>