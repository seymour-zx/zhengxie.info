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E2FF41A9-0AFD-4668-8FB7-17864C9AF5B2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暂时不录" sheetId="5" state="hidden" r:id="rId2"/>
    <sheet name="版层分类" sheetId="2" r:id="rId3"/>
    <sheet name="首次要关键词" sheetId="3" r:id="rId4"/>
    <sheet name="重点关键词" sheetId="4" r:id="rId5"/>
    <sheet name="Sheet2" sheetId="6" r:id="rId6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 l="1"/>
  <c r="A41" i="1" s="1"/>
  <c r="C41" i="1"/>
  <c r="D41" i="1"/>
  <c r="E41" i="1"/>
  <c r="C2" i="1"/>
  <c r="C10" i="1"/>
  <c r="C42" i="1"/>
  <c r="C43" i="1"/>
  <c r="C44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2" i="1"/>
  <c r="D43" i="1"/>
  <c r="D44" i="1"/>
  <c r="E2" i="1"/>
  <c r="E3" i="1"/>
  <c r="E4" i="1" s="1"/>
  <c r="E5" i="1"/>
  <c r="E6" i="1"/>
  <c r="E7" i="1"/>
  <c r="E8" i="1"/>
  <c r="E9" i="1"/>
  <c r="E10" i="1"/>
  <c r="E11" i="1"/>
  <c r="E12" i="1" s="1"/>
  <c r="E13" i="1" s="1"/>
  <c r="E16" i="1"/>
  <c r="E17" i="1" s="1"/>
  <c r="E18" i="1"/>
  <c r="E19" i="1" s="1"/>
  <c r="E20" i="1" s="1"/>
  <c r="E21" i="1"/>
  <c r="E22" i="1" s="1"/>
  <c r="E23" i="1" s="1"/>
  <c r="E24" i="1" s="1"/>
  <c r="E25" i="1" s="1"/>
  <c r="E42" i="1"/>
  <c r="E43" i="1" s="1"/>
  <c r="E44" i="1" s="1"/>
  <c r="D40" i="1"/>
  <c r="E40" i="1"/>
  <c r="C45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E45" i="1"/>
  <c r="E46" i="1"/>
  <c r="E47" i="1"/>
  <c r="E48" i="1" s="1"/>
  <c r="E49" i="1" s="1"/>
  <c r="E50" i="1"/>
  <c r="E51" i="1"/>
  <c r="E52" i="1" s="1"/>
  <c r="E56" i="1"/>
  <c r="E57" i="1" s="1"/>
  <c r="E58" i="1" s="1"/>
  <c r="E59" i="1" s="1"/>
  <c r="E60" i="1" s="1"/>
  <c r="E61" i="1" s="1"/>
  <c r="E62" i="1" s="1"/>
  <c r="E63" i="1" s="1"/>
  <c r="E64" i="1" s="1"/>
  <c r="E88" i="1"/>
  <c r="E89" i="1" s="1"/>
  <c r="E90" i="1" s="1"/>
  <c r="E91" i="1" s="1"/>
  <c r="E92" i="1" s="1"/>
  <c r="E93" i="1" s="1"/>
  <c r="E94" i="1" s="1"/>
  <c r="E95" i="1"/>
  <c r="E96" i="1" s="1"/>
  <c r="E97" i="1" s="1"/>
  <c r="E98" i="1" s="1"/>
  <c r="E99" i="1" s="1"/>
  <c r="E100" i="1" s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E106" i="1"/>
  <c r="E107" i="1" s="1"/>
  <c r="E108" i="1" s="1"/>
  <c r="E109" i="1" s="1"/>
  <c r="E110" i="1" s="1"/>
  <c r="E111" i="1" s="1"/>
  <c r="E112" i="1" s="1"/>
  <c r="E113" i="1"/>
  <c r="E114" i="1" s="1"/>
  <c r="E115" i="1" s="1"/>
  <c r="E116" i="1" s="1"/>
  <c r="E117" i="1" s="1"/>
  <c r="E118" i="1" s="1"/>
  <c r="E119" i="1" s="1"/>
  <c r="E120" i="1" s="1"/>
  <c r="E121" i="1"/>
  <c r="E122" i="1"/>
  <c r="E123" i="1"/>
  <c r="E295" i="1"/>
  <c r="E296" i="1" s="1"/>
  <c r="E297" i="1" s="1"/>
  <c r="E298" i="1" s="1"/>
  <c r="E277" i="1"/>
  <c r="E278" i="1" s="1"/>
  <c r="E279" i="1" s="1"/>
  <c r="E280" i="1" s="1"/>
  <c r="D276" i="1"/>
  <c r="E275" i="1"/>
  <c r="E276" i="1" s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C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E252" i="1"/>
  <c r="D252" i="1"/>
  <c r="E251" i="1"/>
  <c r="E250" i="1"/>
  <c r="D250" i="1"/>
  <c r="E249" i="1"/>
  <c r="D249" i="1"/>
  <c r="E248" i="1"/>
  <c r="D248" i="1"/>
  <c r="E247" i="1"/>
  <c r="D247" i="1"/>
  <c r="E246" i="1"/>
  <c r="D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8" i="1"/>
  <c r="E229" i="1" s="1"/>
  <c r="E227" i="1"/>
  <c r="E226" i="1"/>
  <c r="E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C211" i="1"/>
  <c r="E208" i="1"/>
  <c r="E209" i="1" s="1"/>
  <c r="E210" i="1" s="1"/>
  <c r="E188" i="1"/>
  <c r="E189" i="1" s="1"/>
  <c r="E190" i="1" s="1"/>
  <c r="E191" i="1" s="1"/>
  <c r="E192" i="1" s="1"/>
  <c r="E193" i="1" s="1"/>
  <c r="E194" i="1" s="1"/>
  <c r="E195" i="1" s="1"/>
  <c r="E196" i="1" s="1"/>
  <c r="E179" i="1"/>
  <c r="E180" i="1" s="1"/>
  <c r="E181" i="1" s="1"/>
  <c r="E182" i="1" s="1"/>
  <c r="E183" i="1" s="1"/>
  <c r="E184" i="1" s="1"/>
  <c r="E173" i="1"/>
  <c r="E174" i="1" s="1"/>
  <c r="E175" i="1" s="1"/>
  <c r="E159" i="1"/>
  <c r="E160" i="1" s="1"/>
  <c r="E161" i="1" s="1"/>
  <c r="E162" i="1" s="1"/>
  <c r="E163" i="1" s="1"/>
  <c r="E158" i="1"/>
  <c r="E128" i="1"/>
  <c r="E129" i="1" s="1"/>
  <c r="E130" i="1" s="1"/>
  <c r="E131" i="1" s="1"/>
  <c r="E132" i="1" s="1"/>
  <c r="E133" i="1" s="1"/>
  <c r="E134" i="1" s="1"/>
  <c r="E135" i="1" s="1"/>
  <c r="E136" i="1" s="1"/>
  <c r="E127" i="1"/>
  <c r="D127" i="1"/>
  <c r="E126" i="1"/>
  <c r="D126" i="1"/>
  <c r="C126" i="1"/>
  <c r="E125" i="1"/>
  <c r="D125" i="1"/>
  <c r="C125" i="1"/>
  <c r="E124" i="1"/>
  <c r="D124" i="1"/>
  <c r="C124" i="1"/>
  <c r="B38" i="4"/>
  <c r="B35" i="3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05" i="4"/>
  <c r="C12" i="3"/>
  <c r="B4" i="2"/>
  <c r="B5" i="2"/>
  <c r="E14" i="1" l="1"/>
  <c r="E15" i="1" s="1"/>
  <c r="E26" i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53" i="1"/>
  <c r="E54" i="1" s="1"/>
  <c r="E55" i="1" s="1"/>
  <c r="E65" i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101" i="1"/>
  <c r="E102" i="1" s="1"/>
  <c r="E103" i="1" s="1"/>
  <c r="E104" i="1" s="1"/>
  <c r="E105" i="1" s="1"/>
  <c r="E185" i="1"/>
  <c r="E186" i="1" s="1"/>
  <c r="E187" i="1" s="1"/>
  <c r="E281" i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164" i="1"/>
  <c r="E165" i="1" s="1"/>
  <c r="E166" i="1" s="1"/>
  <c r="E167" i="1" s="1"/>
  <c r="E168" i="1" s="1"/>
  <c r="E169" i="1" s="1"/>
  <c r="E170" i="1" s="1"/>
  <c r="E171" i="1" s="1"/>
  <c r="E172" i="1" s="1"/>
  <c r="E197" i="1"/>
  <c r="E198" i="1" s="1"/>
  <c r="E199" i="1" s="1"/>
  <c r="E176" i="1"/>
  <c r="E177" i="1" s="1"/>
  <c r="E178" i="1" s="1"/>
  <c r="E137" i="1"/>
  <c r="E138" i="1" s="1"/>
  <c r="E139" i="1" s="1"/>
  <c r="C14" i="3"/>
  <c r="C13" i="3"/>
  <c r="B6" i="2"/>
  <c r="B3" i="2"/>
  <c r="E38" i="5"/>
  <c r="D38" i="5"/>
  <c r="E37" i="5"/>
  <c r="D37" i="5"/>
  <c r="E36" i="5"/>
  <c r="D36" i="5"/>
  <c r="E35" i="5"/>
  <c r="D35" i="5"/>
  <c r="E34" i="5"/>
  <c r="D34" i="5"/>
  <c r="E33" i="5"/>
  <c r="D33" i="5"/>
  <c r="E32" i="5"/>
  <c r="D32" i="5"/>
  <c r="E31" i="5"/>
  <c r="D31" i="5"/>
  <c r="E30" i="5"/>
  <c r="D30" i="5"/>
  <c r="E29" i="5"/>
  <c r="D29" i="5"/>
  <c r="E28" i="5"/>
  <c r="D28" i="5"/>
  <c r="E27" i="5"/>
  <c r="D27" i="5"/>
  <c r="E26" i="5"/>
  <c r="D26" i="5"/>
  <c r="E25" i="5"/>
  <c r="D25" i="5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C10" i="5"/>
  <c r="E9" i="5"/>
  <c r="D9" i="5"/>
  <c r="E8" i="5"/>
  <c r="D8" i="5"/>
  <c r="E7" i="5"/>
  <c r="D7" i="5"/>
  <c r="E6" i="5"/>
  <c r="D6" i="5"/>
  <c r="E5" i="5"/>
  <c r="D5" i="5"/>
  <c r="E4" i="5"/>
  <c r="D4" i="5"/>
  <c r="E3" i="5"/>
  <c r="D3" i="5"/>
  <c r="E2" i="5"/>
  <c r="D2" i="5"/>
  <c r="C2" i="5"/>
  <c r="E1" i="5"/>
  <c r="D1" i="5"/>
  <c r="C1" i="5"/>
  <c r="B1" i="5"/>
  <c r="A1" i="5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40" i="4"/>
  <c r="B34" i="3"/>
  <c r="B2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" i="3"/>
  <c r="B4" i="3"/>
  <c r="B5" i="3"/>
  <c r="B6" i="3"/>
  <c r="B7" i="3"/>
  <c r="B8" i="3"/>
  <c r="B9" i="3"/>
  <c r="B10" i="3"/>
  <c r="B11" i="3"/>
  <c r="B12" i="3"/>
  <c r="C66" i="1" s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2" i="3"/>
  <c r="B9" i="2"/>
  <c r="B8" i="2"/>
  <c r="B7" i="2"/>
  <c r="B10" i="2"/>
  <c r="C21" i="1" l="1"/>
  <c r="C33" i="1"/>
  <c r="C40" i="1"/>
  <c r="C22" i="1"/>
  <c r="C34" i="1"/>
  <c r="C14" i="1"/>
  <c r="C11" i="1"/>
  <c r="C23" i="1"/>
  <c r="C35" i="1"/>
  <c r="C12" i="1"/>
  <c r="C24" i="1"/>
  <c r="C36" i="1"/>
  <c r="C13" i="1"/>
  <c r="C25" i="1"/>
  <c r="C37" i="1"/>
  <c r="C15" i="1"/>
  <c r="C27" i="1"/>
  <c r="C39" i="1"/>
  <c r="C38" i="1"/>
  <c r="C16" i="1"/>
  <c r="C28" i="1"/>
  <c r="C18" i="1"/>
  <c r="C17" i="1"/>
  <c r="C29" i="1"/>
  <c r="C30" i="1"/>
  <c r="C19" i="1"/>
  <c r="C31" i="1"/>
  <c r="C26" i="1"/>
  <c r="C20" i="1"/>
  <c r="C32" i="1"/>
  <c r="C9" i="1"/>
  <c r="C3" i="1"/>
  <c r="C4" i="1"/>
  <c r="C6" i="1"/>
  <c r="C5" i="1"/>
  <c r="C7" i="1"/>
  <c r="C8" i="1"/>
  <c r="C60" i="1"/>
  <c r="B2" i="1"/>
  <c r="A2" i="1" s="1"/>
  <c r="B14" i="1"/>
  <c r="B26" i="1"/>
  <c r="B38" i="1"/>
  <c r="B3" i="1"/>
  <c r="B15" i="1"/>
  <c r="B27" i="1"/>
  <c r="B39" i="1"/>
  <c r="B4" i="1"/>
  <c r="B16" i="1"/>
  <c r="B28" i="1"/>
  <c r="B42" i="1"/>
  <c r="A42" i="1" s="1"/>
  <c r="B5" i="1"/>
  <c r="B17" i="1"/>
  <c r="B29" i="1"/>
  <c r="B43" i="1"/>
  <c r="A43" i="1" s="1"/>
  <c r="B6" i="1"/>
  <c r="B18" i="1"/>
  <c r="B30" i="1"/>
  <c r="A30" i="1" s="1"/>
  <c r="B44" i="1"/>
  <c r="A44" i="1" s="1"/>
  <c r="B40" i="1"/>
  <c r="A40" i="1" s="1"/>
  <c r="B7" i="1"/>
  <c r="A7" i="1" s="1"/>
  <c r="B8" i="1"/>
  <c r="A8" i="1" s="1"/>
  <c r="B20" i="1"/>
  <c r="A20" i="1" s="1"/>
  <c r="B32" i="1"/>
  <c r="A32" i="1" s="1"/>
  <c r="B23" i="1"/>
  <c r="B9" i="1"/>
  <c r="A9" i="1" s="1"/>
  <c r="B21" i="1"/>
  <c r="A21" i="1" s="1"/>
  <c r="B33" i="1"/>
  <c r="B31" i="1"/>
  <c r="A31" i="1" s="1"/>
  <c r="B10" i="1"/>
  <c r="A10" i="1" s="1"/>
  <c r="B22" i="1"/>
  <c r="A22" i="1" s="1"/>
  <c r="B34" i="1"/>
  <c r="A34" i="1" s="1"/>
  <c r="B35" i="1"/>
  <c r="B11" i="1"/>
  <c r="A11" i="1" s="1"/>
  <c r="B12" i="1"/>
  <c r="B24" i="1"/>
  <c r="B36" i="1"/>
  <c r="B13" i="1"/>
  <c r="A13" i="1" s="1"/>
  <c r="B25" i="1"/>
  <c r="A25" i="1" s="1"/>
  <c r="B37" i="1"/>
  <c r="A37" i="1" s="1"/>
  <c r="B19" i="1"/>
  <c r="A19" i="1" s="1"/>
  <c r="A27" i="1"/>
  <c r="A14" i="1"/>
  <c r="E38" i="1"/>
  <c r="A26" i="1"/>
  <c r="C26" i="5"/>
  <c r="C68" i="1"/>
  <c r="C268" i="1"/>
  <c r="C48" i="1"/>
  <c r="C62" i="1"/>
  <c r="C74" i="1"/>
  <c r="C77" i="1"/>
  <c r="D251" i="1"/>
  <c r="D245" i="1"/>
  <c r="D242" i="1"/>
  <c r="D239" i="1"/>
  <c r="D236" i="1"/>
  <c r="D233" i="1"/>
  <c r="D230" i="1"/>
  <c r="C227" i="1"/>
  <c r="C224" i="1"/>
  <c r="C221" i="1"/>
  <c r="C218" i="1"/>
  <c r="C215" i="1"/>
  <c r="C212" i="1"/>
  <c r="C263" i="1"/>
  <c r="C260" i="1"/>
  <c r="C257" i="1"/>
  <c r="C254" i="1"/>
  <c r="C251" i="1"/>
  <c r="C248" i="1"/>
  <c r="C245" i="1"/>
  <c r="C242" i="1"/>
  <c r="C239" i="1"/>
  <c r="C236" i="1"/>
  <c r="C233" i="1"/>
  <c r="C230" i="1"/>
  <c r="D229" i="1"/>
  <c r="D226" i="1"/>
  <c r="D253" i="1"/>
  <c r="D244" i="1"/>
  <c r="D241" i="1"/>
  <c r="D238" i="1"/>
  <c r="D235" i="1"/>
  <c r="D232" i="1"/>
  <c r="C229" i="1"/>
  <c r="C226" i="1"/>
  <c r="C223" i="1"/>
  <c r="C220" i="1"/>
  <c r="C217" i="1"/>
  <c r="C214" i="1"/>
  <c r="C265" i="1"/>
  <c r="C262" i="1"/>
  <c r="C259" i="1"/>
  <c r="C256" i="1"/>
  <c r="C253" i="1"/>
  <c r="C250" i="1"/>
  <c r="C247" i="1"/>
  <c r="C244" i="1"/>
  <c r="C241" i="1"/>
  <c r="C238" i="1"/>
  <c r="C235" i="1"/>
  <c r="C232" i="1"/>
  <c r="D228" i="1"/>
  <c r="D225" i="1"/>
  <c r="D243" i="1"/>
  <c r="D240" i="1"/>
  <c r="D237" i="1"/>
  <c r="D234" i="1"/>
  <c r="D231" i="1"/>
  <c r="C228" i="1"/>
  <c r="C225" i="1"/>
  <c r="C222" i="1"/>
  <c r="C219" i="1"/>
  <c r="C216" i="1"/>
  <c r="C213" i="1"/>
  <c r="C264" i="1"/>
  <c r="C261" i="1"/>
  <c r="C258" i="1"/>
  <c r="C255" i="1"/>
  <c r="C252" i="1"/>
  <c r="C249" i="1"/>
  <c r="C246" i="1"/>
  <c r="C243" i="1"/>
  <c r="C240" i="1"/>
  <c r="C237" i="1"/>
  <c r="C234" i="1"/>
  <c r="C231" i="1"/>
  <c r="D227" i="1"/>
  <c r="B45" i="1"/>
  <c r="A45" i="1" s="1"/>
  <c r="B57" i="1"/>
  <c r="B69" i="1"/>
  <c r="B81" i="1"/>
  <c r="B93" i="1"/>
  <c r="A93" i="1" s="1"/>
  <c r="B105" i="1"/>
  <c r="A105" i="1" s="1"/>
  <c r="B83" i="1"/>
  <c r="B46" i="1"/>
  <c r="B58" i="1"/>
  <c r="B70" i="1"/>
  <c r="B82" i="1"/>
  <c r="B94" i="1"/>
  <c r="A94" i="1" s="1"/>
  <c r="B59" i="1"/>
  <c r="B95" i="1"/>
  <c r="A95" i="1" s="1"/>
  <c r="B47" i="1"/>
  <c r="B48" i="1"/>
  <c r="A48" i="1" s="1"/>
  <c r="B60" i="1"/>
  <c r="A60" i="1" s="1"/>
  <c r="B72" i="1"/>
  <c r="B84" i="1"/>
  <c r="B96" i="1"/>
  <c r="A96" i="1" s="1"/>
  <c r="B49" i="1"/>
  <c r="B61" i="1"/>
  <c r="B73" i="1"/>
  <c r="B85" i="1"/>
  <c r="B97" i="1"/>
  <c r="A97" i="1" s="1"/>
  <c r="B50" i="1"/>
  <c r="B62" i="1"/>
  <c r="B74" i="1"/>
  <c r="B86" i="1"/>
  <c r="B98" i="1"/>
  <c r="A98" i="1" s="1"/>
  <c r="B51" i="1"/>
  <c r="B63" i="1"/>
  <c r="B75" i="1"/>
  <c r="B87" i="1"/>
  <c r="B99" i="1"/>
  <c r="A99" i="1" s="1"/>
  <c r="B52" i="1"/>
  <c r="B64" i="1"/>
  <c r="B76" i="1"/>
  <c r="B88" i="1"/>
  <c r="A88" i="1" s="1"/>
  <c r="B100" i="1"/>
  <c r="A100" i="1" s="1"/>
  <c r="B53" i="1"/>
  <c r="B65" i="1"/>
  <c r="B77" i="1"/>
  <c r="B89" i="1"/>
  <c r="A89" i="1" s="1"/>
  <c r="B101" i="1"/>
  <c r="A101" i="1" s="1"/>
  <c r="B54" i="1"/>
  <c r="B66" i="1"/>
  <c r="A66" i="1" s="1"/>
  <c r="B78" i="1"/>
  <c r="B90" i="1"/>
  <c r="A90" i="1" s="1"/>
  <c r="B102" i="1"/>
  <c r="B55" i="1"/>
  <c r="B67" i="1"/>
  <c r="B79" i="1"/>
  <c r="B91" i="1"/>
  <c r="A91" i="1" s="1"/>
  <c r="B103" i="1"/>
  <c r="A103" i="1" s="1"/>
  <c r="B56" i="1"/>
  <c r="B68" i="1"/>
  <c r="B80" i="1"/>
  <c r="B92" i="1"/>
  <c r="A92" i="1" s="1"/>
  <c r="B104" i="1"/>
  <c r="A104" i="1" s="1"/>
  <c r="B71" i="1"/>
  <c r="D298" i="1"/>
  <c r="C282" i="1"/>
  <c r="C298" i="1"/>
  <c r="D294" i="1"/>
  <c r="D290" i="1"/>
  <c r="D286" i="1"/>
  <c r="D282" i="1"/>
  <c r="D278" i="1"/>
  <c r="C275" i="1"/>
  <c r="D297" i="1"/>
  <c r="C286" i="1"/>
  <c r="C297" i="1"/>
  <c r="D293" i="1"/>
  <c r="D289" i="1"/>
  <c r="D285" i="1"/>
  <c r="D281" i="1"/>
  <c r="C294" i="1"/>
  <c r="C278" i="1"/>
  <c r="C293" i="1"/>
  <c r="C289" i="1"/>
  <c r="C285" i="1"/>
  <c r="C281" i="1"/>
  <c r="D277" i="1"/>
  <c r="D296" i="1"/>
  <c r="C277" i="1"/>
  <c r="C290" i="1"/>
  <c r="C296" i="1"/>
  <c r="D292" i="1"/>
  <c r="D288" i="1"/>
  <c r="D284" i="1"/>
  <c r="D280" i="1"/>
  <c r="C292" i="1"/>
  <c r="C288" i="1"/>
  <c r="C284" i="1"/>
  <c r="C280" i="1"/>
  <c r="C276" i="1"/>
  <c r="D295" i="1"/>
  <c r="D291" i="1"/>
  <c r="D287" i="1"/>
  <c r="D283" i="1"/>
  <c r="D279" i="1"/>
  <c r="C295" i="1"/>
  <c r="C291" i="1"/>
  <c r="C287" i="1"/>
  <c r="C283" i="1"/>
  <c r="C279" i="1"/>
  <c r="C83" i="1"/>
  <c r="C50" i="1"/>
  <c r="C65" i="1"/>
  <c r="C80" i="1"/>
  <c r="C72" i="1"/>
  <c r="C86" i="1"/>
  <c r="C270" i="1"/>
  <c r="C57" i="1"/>
  <c r="C84" i="1"/>
  <c r="C51" i="1"/>
  <c r="C267" i="1"/>
  <c r="B117" i="1"/>
  <c r="A117" i="1" s="1"/>
  <c r="B106" i="1"/>
  <c r="A106" i="1" s="1"/>
  <c r="B118" i="1"/>
  <c r="A118" i="1" s="1"/>
  <c r="B107" i="1"/>
  <c r="A107" i="1" s="1"/>
  <c r="B108" i="1"/>
  <c r="A108" i="1" s="1"/>
  <c r="B120" i="1"/>
  <c r="A120" i="1" s="1"/>
  <c r="B109" i="1"/>
  <c r="A109" i="1" s="1"/>
  <c r="B121" i="1"/>
  <c r="A121" i="1" s="1"/>
  <c r="B110" i="1"/>
  <c r="A110" i="1" s="1"/>
  <c r="B122" i="1"/>
  <c r="A122" i="1" s="1"/>
  <c r="B111" i="1"/>
  <c r="A111" i="1" s="1"/>
  <c r="B123" i="1"/>
  <c r="A123" i="1" s="1"/>
  <c r="B112" i="1"/>
  <c r="A112" i="1" s="1"/>
  <c r="B113" i="1"/>
  <c r="A113" i="1" s="1"/>
  <c r="B114" i="1"/>
  <c r="A114" i="1" s="1"/>
  <c r="B115" i="1"/>
  <c r="A115" i="1" s="1"/>
  <c r="B116" i="1"/>
  <c r="A116" i="1" s="1"/>
  <c r="B119" i="1"/>
  <c r="A119" i="1" s="1"/>
  <c r="B295" i="1"/>
  <c r="B291" i="1"/>
  <c r="B287" i="1"/>
  <c r="B283" i="1"/>
  <c r="B279" i="1"/>
  <c r="B205" i="1"/>
  <c r="B193" i="1"/>
  <c r="B170" i="1"/>
  <c r="B185" i="1"/>
  <c r="B124" i="1"/>
  <c r="A124" i="1" s="1"/>
  <c r="B272" i="1"/>
  <c r="B242" i="1"/>
  <c r="B130" i="1"/>
  <c r="B227" i="1"/>
  <c r="B224" i="1"/>
  <c r="B221" i="1"/>
  <c r="B218" i="1"/>
  <c r="B215" i="1"/>
  <c r="B212" i="1"/>
  <c r="B181" i="1"/>
  <c r="B251" i="1"/>
  <c r="B150" i="1"/>
  <c r="B294" i="1"/>
  <c r="B290" i="1"/>
  <c r="B286" i="1"/>
  <c r="B282" i="1"/>
  <c r="B278" i="1"/>
  <c r="B208" i="1"/>
  <c r="B204" i="1"/>
  <c r="B200" i="1"/>
  <c r="B196" i="1"/>
  <c r="B192" i="1"/>
  <c r="B173" i="1"/>
  <c r="B169" i="1"/>
  <c r="B165" i="1"/>
  <c r="B161" i="1"/>
  <c r="B141" i="1"/>
  <c r="B129" i="1"/>
  <c r="B266" i="1"/>
  <c r="A266" i="1" s="1"/>
  <c r="B239" i="1"/>
  <c r="B154" i="1"/>
  <c r="B188" i="1"/>
  <c r="B184" i="1"/>
  <c r="B180" i="1"/>
  <c r="B153" i="1"/>
  <c r="B145" i="1"/>
  <c r="B133" i="1"/>
  <c r="B164" i="1"/>
  <c r="B260" i="1"/>
  <c r="B142" i="1"/>
  <c r="B297" i="1"/>
  <c r="B229" i="1"/>
  <c r="B226" i="1"/>
  <c r="B223" i="1"/>
  <c r="B220" i="1"/>
  <c r="B217" i="1"/>
  <c r="B214" i="1"/>
  <c r="B211" i="1"/>
  <c r="A211" i="1" s="1"/>
  <c r="B176" i="1"/>
  <c r="B157" i="1"/>
  <c r="B149" i="1"/>
  <c r="B137" i="1"/>
  <c r="B126" i="1"/>
  <c r="A126" i="1" s="1"/>
  <c r="B172" i="1"/>
  <c r="B160" i="1"/>
  <c r="B257" i="1"/>
  <c r="B138" i="1"/>
  <c r="B293" i="1"/>
  <c r="B289" i="1"/>
  <c r="B285" i="1"/>
  <c r="B281" i="1"/>
  <c r="B274" i="1"/>
  <c r="B271" i="1"/>
  <c r="B268" i="1"/>
  <c r="A268" i="1" s="1"/>
  <c r="B265" i="1"/>
  <c r="B262" i="1"/>
  <c r="B259" i="1"/>
  <c r="A259" i="1" s="1"/>
  <c r="B256" i="1"/>
  <c r="B253" i="1"/>
  <c r="A253" i="1" s="1"/>
  <c r="B250" i="1"/>
  <c r="B247" i="1"/>
  <c r="B244" i="1"/>
  <c r="B241" i="1"/>
  <c r="B238" i="1"/>
  <c r="B235" i="1"/>
  <c r="B232" i="1"/>
  <c r="B207" i="1"/>
  <c r="B203" i="1"/>
  <c r="B199" i="1"/>
  <c r="B195" i="1"/>
  <c r="B191" i="1"/>
  <c r="B168" i="1"/>
  <c r="B275" i="1"/>
  <c r="B245" i="1"/>
  <c r="B146" i="1"/>
  <c r="B277" i="1"/>
  <c r="B187" i="1"/>
  <c r="B183" i="1"/>
  <c r="B144" i="1"/>
  <c r="B136" i="1"/>
  <c r="B171" i="1"/>
  <c r="B231" i="1"/>
  <c r="B186" i="1"/>
  <c r="B269" i="1"/>
  <c r="B236" i="1"/>
  <c r="B134" i="1"/>
  <c r="B296" i="1"/>
  <c r="B210" i="1"/>
  <c r="B179" i="1"/>
  <c r="B175" i="1"/>
  <c r="B156" i="1"/>
  <c r="B152" i="1"/>
  <c r="B148" i="1"/>
  <c r="B140" i="1"/>
  <c r="B132" i="1"/>
  <c r="B167" i="1"/>
  <c r="B125" i="1"/>
  <c r="A125" i="1" s="1"/>
  <c r="B263" i="1"/>
  <c r="B233" i="1"/>
  <c r="B158" i="1"/>
  <c r="B292" i="1"/>
  <c r="B288" i="1"/>
  <c r="B284" i="1"/>
  <c r="B280" i="1"/>
  <c r="B228" i="1"/>
  <c r="B225" i="1"/>
  <c r="B222" i="1"/>
  <c r="B219" i="1"/>
  <c r="B216" i="1"/>
  <c r="B213" i="1"/>
  <c r="B206" i="1"/>
  <c r="B202" i="1"/>
  <c r="B198" i="1"/>
  <c r="B194" i="1"/>
  <c r="B190" i="1"/>
  <c r="B163" i="1"/>
  <c r="B128" i="1"/>
  <c r="B276" i="1"/>
  <c r="A276" i="1" s="1"/>
  <c r="B273" i="1"/>
  <c r="B270" i="1"/>
  <c r="B267" i="1"/>
  <c r="B264" i="1"/>
  <c r="B261" i="1"/>
  <c r="A261" i="1" s="1"/>
  <c r="B258" i="1"/>
  <c r="B255" i="1"/>
  <c r="A255" i="1" s="1"/>
  <c r="B252" i="1"/>
  <c r="B249" i="1"/>
  <c r="B246" i="1"/>
  <c r="B243" i="1"/>
  <c r="B240" i="1"/>
  <c r="B237" i="1"/>
  <c r="B234" i="1"/>
  <c r="B182" i="1"/>
  <c r="B159" i="1"/>
  <c r="B298" i="1"/>
  <c r="B248" i="1"/>
  <c r="A248" i="1" s="1"/>
  <c r="B177" i="1"/>
  <c r="B209" i="1"/>
  <c r="B178" i="1"/>
  <c r="B174" i="1"/>
  <c r="B155" i="1"/>
  <c r="B151" i="1"/>
  <c r="B147" i="1"/>
  <c r="B143" i="1"/>
  <c r="B139" i="1"/>
  <c r="B135" i="1"/>
  <c r="B131" i="1"/>
  <c r="B201" i="1"/>
  <c r="B197" i="1"/>
  <c r="B189" i="1"/>
  <c r="B166" i="1"/>
  <c r="B162" i="1"/>
  <c r="B127" i="1"/>
  <c r="B254" i="1"/>
  <c r="B230" i="1"/>
  <c r="C69" i="1"/>
  <c r="A69" i="1" s="1"/>
  <c r="C49" i="1"/>
  <c r="C63" i="1"/>
  <c r="C54" i="1"/>
  <c r="B10" i="5"/>
  <c r="C185" i="1"/>
  <c r="C181" i="1"/>
  <c r="D177" i="1"/>
  <c r="D158" i="1"/>
  <c r="D154" i="1"/>
  <c r="D146" i="1"/>
  <c r="D138" i="1"/>
  <c r="C127" i="1"/>
  <c r="D200" i="1"/>
  <c r="D173" i="1"/>
  <c r="D161" i="1"/>
  <c r="C150" i="1"/>
  <c r="C134" i="1"/>
  <c r="D184" i="1"/>
  <c r="D208" i="1"/>
  <c r="D204" i="1"/>
  <c r="D192" i="1"/>
  <c r="D165" i="1"/>
  <c r="C154" i="1"/>
  <c r="C142" i="1"/>
  <c r="C130" i="1"/>
  <c r="C208" i="1"/>
  <c r="C173" i="1"/>
  <c r="C188" i="1"/>
  <c r="C184" i="1"/>
  <c r="C180" i="1"/>
  <c r="D176" i="1"/>
  <c r="D157" i="1"/>
  <c r="D153" i="1"/>
  <c r="D149" i="1"/>
  <c r="D145" i="1"/>
  <c r="D141" i="1"/>
  <c r="D137" i="1"/>
  <c r="D133" i="1"/>
  <c r="D129" i="1"/>
  <c r="C187" i="1"/>
  <c r="C192" i="1"/>
  <c r="D207" i="1"/>
  <c r="D203" i="1"/>
  <c r="D199" i="1"/>
  <c r="D195" i="1"/>
  <c r="D191" i="1"/>
  <c r="C176" i="1"/>
  <c r="D172" i="1"/>
  <c r="D168" i="1"/>
  <c r="D164" i="1"/>
  <c r="D160" i="1"/>
  <c r="C157" i="1"/>
  <c r="C153" i="1"/>
  <c r="C149" i="1"/>
  <c r="C145" i="1"/>
  <c r="C141" i="1"/>
  <c r="C137" i="1"/>
  <c r="C133" i="1"/>
  <c r="C129" i="1"/>
  <c r="C183" i="1"/>
  <c r="D175" i="1"/>
  <c r="D156" i="1"/>
  <c r="D152" i="1"/>
  <c r="D144" i="1"/>
  <c r="D136" i="1"/>
  <c r="C200" i="1"/>
  <c r="C169" i="1"/>
  <c r="C207" i="1"/>
  <c r="C203" i="1"/>
  <c r="C199" i="1"/>
  <c r="C195" i="1"/>
  <c r="C191" i="1"/>
  <c r="D187" i="1"/>
  <c r="D183" i="1"/>
  <c r="C172" i="1"/>
  <c r="C168" i="1"/>
  <c r="C164" i="1"/>
  <c r="C160" i="1"/>
  <c r="D148" i="1"/>
  <c r="D140" i="1"/>
  <c r="C196" i="1"/>
  <c r="C165" i="1"/>
  <c r="D210" i="1"/>
  <c r="D179" i="1"/>
  <c r="D132" i="1"/>
  <c r="D188" i="1"/>
  <c r="C210" i="1"/>
  <c r="D206" i="1"/>
  <c r="D202" i="1"/>
  <c r="D198" i="1"/>
  <c r="D194" i="1"/>
  <c r="D190" i="1"/>
  <c r="C179" i="1"/>
  <c r="C175" i="1"/>
  <c r="D171" i="1"/>
  <c r="D167" i="1"/>
  <c r="D163" i="1"/>
  <c r="C156" i="1"/>
  <c r="C152" i="1"/>
  <c r="C148" i="1"/>
  <c r="C144" i="1"/>
  <c r="C140" i="1"/>
  <c r="C136" i="1"/>
  <c r="C132" i="1"/>
  <c r="D128" i="1"/>
  <c r="C128" i="1"/>
  <c r="C182" i="1"/>
  <c r="D178" i="1"/>
  <c r="D155" i="1"/>
  <c r="D143" i="1"/>
  <c r="D131" i="1"/>
  <c r="D201" i="1"/>
  <c r="D166" i="1"/>
  <c r="C155" i="1"/>
  <c r="C147" i="1"/>
  <c r="C135" i="1"/>
  <c r="D180" i="1"/>
  <c r="C206" i="1"/>
  <c r="C202" i="1"/>
  <c r="C198" i="1"/>
  <c r="C194" i="1"/>
  <c r="C190" i="1"/>
  <c r="D186" i="1"/>
  <c r="D182" i="1"/>
  <c r="C171" i="1"/>
  <c r="C167" i="1"/>
  <c r="C163" i="1"/>
  <c r="D159" i="1"/>
  <c r="C186" i="1"/>
  <c r="D174" i="1"/>
  <c r="C159" i="1"/>
  <c r="D147" i="1"/>
  <c r="D135" i="1"/>
  <c r="C209" i="1"/>
  <c r="D197" i="1"/>
  <c r="D189" i="1"/>
  <c r="C178" i="1"/>
  <c r="C174" i="1"/>
  <c r="D170" i="1"/>
  <c r="D162" i="1"/>
  <c r="C151" i="1"/>
  <c r="C143" i="1"/>
  <c r="C139" i="1"/>
  <c r="D209" i="1"/>
  <c r="D151" i="1"/>
  <c r="D139" i="1"/>
  <c r="D205" i="1"/>
  <c r="D193" i="1"/>
  <c r="C131" i="1"/>
  <c r="C204" i="1"/>
  <c r="C205" i="1"/>
  <c r="C201" i="1"/>
  <c r="C197" i="1"/>
  <c r="C193" i="1"/>
  <c r="C189" i="1"/>
  <c r="D185" i="1"/>
  <c r="D181" i="1"/>
  <c r="C170" i="1"/>
  <c r="C166" i="1"/>
  <c r="C162" i="1"/>
  <c r="D150" i="1"/>
  <c r="D142" i="1"/>
  <c r="D134" i="1"/>
  <c r="D130" i="1"/>
  <c r="D196" i="1"/>
  <c r="C177" i="1"/>
  <c r="D169" i="1"/>
  <c r="C158" i="1"/>
  <c r="C146" i="1"/>
  <c r="C138" i="1"/>
  <c r="C161" i="1"/>
  <c r="C81" i="1"/>
  <c r="C61" i="1"/>
  <c r="C75" i="1"/>
  <c r="C58" i="1"/>
  <c r="C70" i="1"/>
  <c r="C82" i="1"/>
  <c r="C46" i="1"/>
  <c r="C272" i="1"/>
  <c r="C73" i="1"/>
  <c r="C87" i="1"/>
  <c r="C78" i="1"/>
  <c r="C269" i="1"/>
  <c r="C85" i="1"/>
  <c r="C52" i="1"/>
  <c r="C55" i="1"/>
  <c r="A55" i="1" s="1"/>
  <c r="C47" i="1"/>
  <c r="C274" i="1"/>
  <c r="C64" i="1"/>
  <c r="C67" i="1"/>
  <c r="C59" i="1"/>
  <c r="C271" i="1"/>
  <c r="C76" i="1"/>
  <c r="A76" i="1" s="1"/>
  <c r="C79" i="1"/>
  <c r="C273" i="1"/>
  <c r="C71" i="1"/>
  <c r="A71" i="1" s="1"/>
  <c r="C53" i="1"/>
  <c r="A53" i="1" s="1"/>
  <c r="C56" i="1"/>
  <c r="A102" i="1"/>
  <c r="E77" i="1"/>
  <c r="E140" i="1"/>
  <c r="E293" i="1"/>
  <c r="E200" i="1"/>
  <c r="B12" i="5"/>
  <c r="C12" i="5"/>
  <c r="C24" i="5"/>
  <c r="C11" i="5"/>
  <c r="C16" i="5"/>
  <c r="C28" i="5"/>
  <c r="A39" i="4"/>
  <c r="A38" i="4"/>
  <c r="C20" i="5"/>
  <c r="C13" i="5"/>
  <c r="C17" i="5"/>
  <c r="C21" i="5"/>
  <c r="C25" i="5"/>
  <c r="C30" i="5"/>
  <c r="B5" i="5"/>
  <c r="C14" i="5"/>
  <c r="C18" i="5"/>
  <c r="C22" i="5"/>
  <c r="C37" i="5"/>
  <c r="C15" i="5"/>
  <c r="C19" i="5"/>
  <c r="C23" i="5"/>
  <c r="C32" i="5"/>
  <c r="C4" i="5"/>
  <c r="B13" i="5"/>
  <c r="C36" i="5"/>
  <c r="C29" i="5"/>
  <c r="C33" i="5"/>
  <c r="C34" i="5"/>
  <c r="C38" i="5"/>
  <c r="C27" i="5"/>
  <c r="C31" i="5"/>
  <c r="C35" i="5"/>
  <c r="C3" i="5"/>
  <c r="B11" i="5"/>
  <c r="B14" i="5"/>
  <c r="B7" i="5"/>
  <c r="B16" i="5"/>
  <c r="B21" i="5"/>
  <c r="B9" i="5"/>
  <c r="B2" i="5"/>
  <c r="B22" i="5"/>
  <c r="B25" i="5"/>
  <c r="B28" i="5"/>
  <c r="B31" i="5"/>
  <c r="B34" i="5"/>
  <c r="B6" i="5"/>
  <c r="B19" i="5"/>
  <c r="B3" i="5"/>
  <c r="B17" i="5"/>
  <c r="B20" i="5"/>
  <c r="B23" i="5"/>
  <c r="B26" i="5"/>
  <c r="B29" i="5"/>
  <c r="B32" i="5"/>
  <c r="B35" i="5"/>
  <c r="B4" i="5"/>
  <c r="B24" i="5"/>
  <c r="B33" i="5"/>
  <c r="B15" i="5"/>
  <c r="B30" i="5"/>
  <c r="B18" i="5"/>
  <c r="B27" i="5"/>
  <c r="B36" i="5"/>
  <c r="B8" i="5"/>
  <c r="C7" i="5"/>
  <c r="C5" i="5"/>
  <c r="C8" i="5"/>
  <c r="C6" i="5"/>
  <c r="C9" i="5"/>
  <c r="B37" i="5"/>
  <c r="B38" i="5"/>
  <c r="A72" i="4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40" i="4"/>
  <c r="A41" i="4" s="1"/>
  <c r="A42" i="4" s="1"/>
  <c r="A43" i="4" s="1"/>
  <c r="A44" i="4" s="1"/>
  <c r="A45" i="4" s="1"/>
  <c r="A46" i="4" s="1"/>
  <c r="A47" i="4" s="1"/>
  <c r="A48" i="4" s="1"/>
  <c r="A2" i="5"/>
  <c r="A74" i="1" l="1"/>
  <c r="A28" i="1"/>
  <c r="A35" i="1"/>
  <c r="A4" i="1"/>
  <c r="A15" i="1"/>
  <c r="A29" i="1"/>
  <c r="A221" i="1"/>
  <c r="A249" i="1"/>
  <c r="A33" i="1"/>
  <c r="A62" i="1"/>
  <c r="A23" i="1"/>
  <c r="A247" i="1"/>
  <c r="A238" i="1"/>
  <c r="A36" i="1"/>
  <c r="A230" i="1"/>
  <c r="A16" i="1"/>
  <c r="A250" i="1"/>
  <c r="A3" i="1"/>
  <c r="A67" i="1"/>
  <c r="A224" i="1"/>
  <c r="A252" i="1"/>
  <c r="A68" i="1"/>
  <c r="A17" i="1"/>
  <c r="A24" i="1"/>
  <c r="A5" i="1"/>
  <c r="A18" i="1"/>
  <c r="A6" i="1"/>
  <c r="A12" i="1"/>
  <c r="A251" i="1"/>
  <c r="A222" i="1"/>
  <c r="A220" i="1"/>
  <c r="A212" i="1"/>
  <c r="A240" i="1"/>
  <c r="A256" i="1"/>
  <c r="A258" i="1"/>
  <c r="A298" i="1"/>
  <c r="A296" i="1"/>
  <c r="A289" i="1"/>
  <c r="A237" i="1"/>
  <c r="A229" i="1"/>
  <c r="A278" i="1"/>
  <c r="A292" i="1"/>
  <c r="A235" i="1"/>
  <c r="A263" i="1"/>
  <c r="A245" i="1"/>
  <c r="A275" i="1"/>
  <c r="A219" i="1"/>
  <c r="A217" i="1"/>
  <c r="A165" i="1"/>
  <c r="A282" i="1"/>
  <c r="A291" i="1"/>
  <c r="E39" i="1"/>
  <c r="A39" i="1" s="1"/>
  <c r="A38" i="1"/>
  <c r="A281" i="1"/>
  <c r="A283" i="1"/>
  <c r="A285" i="1"/>
  <c r="A54" i="1"/>
  <c r="A234" i="1"/>
  <c r="A232" i="1"/>
  <c r="A260" i="1"/>
  <c r="A242" i="1"/>
  <c r="A267" i="1"/>
  <c r="A216" i="1"/>
  <c r="A214" i="1"/>
  <c r="A164" i="1"/>
  <c r="A199" i="1"/>
  <c r="A186" i="1"/>
  <c r="A284" i="1"/>
  <c r="A231" i="1"/>
  <c r="A257" i="1"/>
  <c r="A239" i="1"/>
  <c r="A265" i="1"/>
  <c r="A138" i="1"/>
  <c r="A213" i="1"/>
  <c r="A137" i="1"/>
  <c r="A254" i="1"/>
  <c r="A280" i="1"/>
  <c r="A262" i="1"/>
  <c r="A167" i="1"/>
  <c r="A227" i="1"/>
  <c r="A290" i="1"/>
  <c r="A277" i="1"/>
  <c r="A264" i="1"/>
  <c r="A176" i="1"/>
  <c r="A297" i="1"/>
  <c r="A287" i="1"/>
  <c r="A168" i="1"/>
  <c r="A270" i="1"/>
  <c r="A288" i="1"/>
  <c r="A65" i="1"/>
  <c r="A72" i="1"/>
  <c r="A197" i="1"/>
  <c r="A177" i="1"/>
  <c r="A198" i="1"/>
  <c r="A179" i="1"/>
  <c r="A187" i="1"/>
  <c r="A271" i="1"/>
  <c r="A286" i="1"/>
  <c r="A130" i="1"/>
  <c r="A295" i="1"/>
  <c r="A166" i="1"/>
  <c r="A233" i="1"/>
  <c r="A241" i="1"/>
  <c r="A170" i="1"/>
  <c r="A178" i="1"/>
  <c r="A169" i="1"/>
  <c r="A139" i="1"/>
  <c r="A171" i="1"/>
  <c r="A225" i="1"/>
  <c r="A223" i="1"/>
  <c r="A215" i="1"/>
  <c r="A243" i="1"/>
  <c r="A172" i="1"/>
  <c r="A189" i="1"/>
  <c r="A209" i="1"/>
  <c r="A194" i="1"/>
  <c r="A175" i="1"/>
  <c r="A183" i="1"/>
  <c r="A129" i="1"/>
  <c r="A51" i="1"/>
  <c r="A158" i="1"/>
  <c r="A210" i="1"/>
  <c r="A274" i="1"/>
  <c r="A161" i="1"/>
  <c r="A131" i="1"/>
  <c r="A133" i="1"/>
  <c r="A272" i="1"/>
  <c r="A135" i="1"/>
  <c r="A159" i="1"/>
  <c r="A134" i="1"/>
  <c r="A244" i="1"/>
  <c r="A47" i="1"/>
  <c r="A182" i="1"/>
  <c r="A236" i="1"/>
  <c r="A173" i="1"/>
  <c r="A185" i="1"/>
  <c r="A50" i="1"/>
  <c r="A57" i="1"/>
  <c r="A269" i="1"/>
  <c r="A180" i="1"/>
  <c r="A192" i="1"/>
  <c r="A181" i="1"/>
  <c r="A64" i="1"/>
  <c r="A59" i="1"/>
  <c r="A273" i="1"/>
  <c r="A132" i="1"/>
  <c r="A191" i="1"/>
  <c r="A184" i="1"/>
  <c r="A196" i="1"/>
  <c r="A193" i="1"/>
  <c r="A52" i="1"/>
  <c r="A195" i="1"/>
  <c r="A188" i="1"/>
  <c r="A73" i="1"/>
  <c r="A127" i="1"/>
  <c r="A128" i="1"/>
  <c r="A228" i="1"/>
  <c r="A160" i="1"/>
  <c r="A226" i="1"/>
  <c r="A218" i="1"/>
  <c r="A279" i="1"/>
  <c r="A61" i="1"/>
  <c r="A70" i="1"/>
  <c r="A162" i="1"/>
  <c r="A174" i="1"/>
  <c r="A246" i="1"/>
  <c r="A163" i="1"/>
  <c r="A136" i="1"/>
  <c r="A208" i="1"/>
  <c r="A75" i="1"/>
  <c r="A49" i="1"/>
  <c r="A58" i="1"/>
  <c r="A190" i="1"/>
  <c r="A56" i="1"/>
  <c r="A63" i="1"/>
  <c r="A46" i="1"/>
  <c r="E78" i="1"/>
  <c r="A77" i="1"/>
  <c r="E201" i="1"/>
  <c r="A200" i="1"/>
  <c r="E294" i="1"/>
  <c r="A294" i="1" s="1"/>
  <c r="A293" i="1"/>
  <c r="E141" i="1"/>
  <c r="A140" i="1"/>
  <c r="A3" i="5"/>
  <c r="A5" i="5"/>
  <c r="A106" i="4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8" i="5"/>
  <c r="A10" i="5"/>
  <c r="A4" i="5"/>
  <c r="A7" i="5"/>
  <c r="A6" i="5"/>
  <c r="A9" i="5"/>
  <c r="A57" i="4"/>
  <c r="A58" i="4" s="1"/>
  <c r="A59" i="4" s="1"/>
  <c r="A60" i="4" s="1"/>
  <c r="A61" i="4" s="1"/>
  <c r="A62" i="4" s="1"/>
  <c r="A63" i="4" s="1"/>
  <c r="A64" i="4" s="1"/>
  <c r="A49" i="4"/>
  <c r="A50" i="4" s="1"/>
  <c r="A51" i="4" s="1"/>
  <c r="A52" i="4" s="1"/>
  <c r="A53" i="4" s="1"/>
  <c r="A54" i="4" s="1"/>
  <c r="A55" i="4" s="1"/>
  <c r="A56" i="4" s="1"/>
  <c r="A65" i="4"/>
  <c r="A66" i="4" s="1"/>
  <c r="A67" i="4" s="1"/>
  <c r="A68" i="4" s="1"/>
  <c r="A69" i="4" s="1"/>
  <c r="A70" i="4" s="1"/>
  <c r="A71" i="4" s="1"/>
  <c r="E79" i="1" l="1"/>
  <c r="A78" i="1"/>
  <c r="E142" i="1"/>
  <c r="A141" i="1"/>
  <c r="E202" i="1"/>
  <c r="A201" i="1"/>
  <c r="A121" i="4"/>
  <c r="A122" i="4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E80" i="1" l="1"/>
  <c r="A79" i="1"/>
  <c r="E203" i="1"/>
  <c r="A202" i="1"/>
  <c r="E143" i="1"/>
  <c r="A142" i="1"/>
  <c r="A11" i="5"/>
  <c r="E81" i="1" l="1"/>
  <c r="A80" i="1"/>
  <c r="E144" i="1"/>
  <c r="A143" i="1"/>
  <c r="E204" i="1"/>
  <c r="A203" i="1"/>
  <c r="A12" i="5"/>
  <c r="A14" i="5"/>
  <c r="E82" i="1" l="1"/>
  <c r="A81" i="1"/>
  <c r="E205" i="1"/>
  <c r="A204" i="1"/>
  <c r="E145" i="1"/>
  <c r="A144" i="1"/>
  <c r="A13" i="5"/>
  <c r="E83" i="1" l="1"/>
  <c r="A82" i="1"/>
  <c r="E146" i="1"/>
  <c r="A145" i="1"/>
  <c r="E206" i="1"/>
  <c r="A205" i="1"/>
  <c r="A15" i="5"/>
  <c r="E84" i="1" l="1"/>
  <c r="A83" i="1"/>
  <c r="E207" i="1"/>
  <c r="A207" i="1" s="1"/>
  <c r="A206" i="1"/>
  <c r="E147" i="1"/>
  <c r="A146" i="1"/>
  <c r="A16" i="5"/>
  <c r="E85" i="1" l="1"/>
  <c r="A84" i="1"/>
  <c r="E148" i="1"/>
  <c r="A147" i="1"/>
  <c r="A22" i="5"/>
  <c r="E86" i="1" l="1"/>
  <c r="A85" i="1"/>
  <c r="E149" i="1"/>
  <c r="A148" i="1"/>
  <c r="A23" i="5"/>
  <c r="E87" i="1" l="1"/>
  <c r="A87" i="1" s="1"/>
  <c r="A86" i="1"/>
  <c r="E150" i="1"/>
  <c r="A149" i="1"/>
  <c r="A24" i="5"/>
  <c r="E151" i="1" l="1"/>
  <c r="A150" i="1"/>
  <c r="A25" i="5"/>
  <c r="A151" i="1" l="1"/>
  <c r="E152" i="1"/>
  <c r="A26" i="5"/>
  <c r="E153" i="1" l="1"/>
  <c r="A152" i="1"/>
  <c r="A27" i="5"/>
  <c r="A19" i="5"/>
  <c r="E154" i="1" l="1"/>
  <c r="A153" i="1"/>
  <c r="A28" i="5"/>
  <c r="E155" i="1" l="1"/>
  <c r="A154" i="1"/>
  <c r="A17" i="5"/>
  <c r="A18" i="5"/>
  <c r="A29" i="5"/>
  <c r="E156" i="1" l="1"/>
  <c r="A155" i="1"/>
  <c r="A20" i="5"/>
  <c r="A21" i="5"/>
  <c r="E157" i="1" l="1"/>
  <c r="A157" i="1" s="1"/>
  <c r="A156" i="1"/>
  <c r="A30" i="5"/>
  <c r="A31" i="5" l="1"/>
  <c r="A32" i="5" l="1"/>
  <c r="A33" i="5" l="1"/>
  <c r="A34" i="5" l="1"/>
  <c r="A35" i="5" l="1"/>
  <c r="A36" i="5" l="1"/>
  <c r="A37" i="5" l="1"/>
  <c r="A38" i="5" l="1"/>
</calcChain>
</file>

<file path=xl/sharedStrings.xml><?xml version="1.0" encoding="utf-8"?>
<sst xmlns="http://schemas.openxmlformats.org/spreadsheetml/2006/main" count="5450" uniqueCount="1871">
  <si>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</si>
  <si>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</si>
  <si>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</si>
  <si>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</si>
  <si>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</si>
  <si>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</si>
  <si>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</si>
  <si>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</si>
  <si>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</si>
  <si>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</si>
  <si>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</si>
  <si>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</si>
  <si>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</si>
  <si>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</si>
  <si>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</si>
  <si>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</si>
  <si>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</si>
  <si>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</si>
  <si>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</si>
  <si>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</si>
  <si>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</si>
  <si>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中华人民共和国中央人民政府</t>
  </si>
  <si>
    <t>http://www.gov.cn/govweb/xhtml/favicon.ico</t>
  </si>
  <si>
    <t>党政机关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</si>
  <si>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</si>
  <si>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</si>
  <si>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</si>
  <si>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</si>
  <si>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</si>
  <si>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</si>
  <si>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</si>
  <si>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</si>
  <si>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</si>
  <si>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</si>
  <si>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</si>
  <si>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</si>
  <si>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</si>
  <si>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</si>
  <si>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</si>
  <si>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</si>
  <si>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</si>
  <si>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</si>
  <si>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</si>
  <si>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</si>
  <si>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</si>
  <si>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</si>
  <si>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</si>
  <si>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</si>
  <si>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</si>
  <si>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</si>
  <si>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</si>
  <si>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</si>
  <si>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</si>
  <si>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</si>
  <si>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</si>
  <si>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</si>
  <si>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</si>
  <si>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</si>
  <si>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</si>
  <si>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</si>
  <si>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</si>
  <si>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</si>
  <si>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</si>
  <si>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</si>
  <si>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</si>
  <si>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</si>
  <si>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</si>
  <si>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</si>
  <si>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</si>
  <si>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</si>
  <si>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</si>
  <si>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</si>
  <si>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</si>
  <si>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</si>
  <si>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</si>
  <si>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</si>
  <si>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</si>
  <si>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</si>
  <si>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</si>
  <si>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</si>
  <si>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</si>
  <si>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</si>
  <si>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</si>
  <si>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</si>
  <si>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</si>
  <si>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</si>
  <si>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</si>
  <si>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</si>
  <si>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</si>
  <si>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</si>
  <si>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</si>
  <si>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</si>
  <si>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</si>
  <si>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</si>
  <si>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</si>
  <si>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</si>
  <si>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</si>
  <si>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</si>
  <si>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</si>
  <si>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</si>
  <si>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</si>
  <si>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</si>
  <si>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</si>
  <si>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</si>
  <si>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</si>
  <si>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</si>
  <si>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</si>
  <si>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</si>
  <si>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</si>
  <si>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</si>
  <si>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</si>
  <si>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</si>
  <si>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</si>
  <si>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</si>
  <si>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</si>
  <si>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</si>
  <si>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国务院国有资产监督管理委员会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</si>
  <si>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</si>
  <si>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</si>
  <si>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</si>
  <si>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</si>
  <si>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</si>
  <si>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</si>
  <si>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</si>
  <si>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</si>
  <si>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</si>
  <si>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</si>
  <si>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</si>
  <si>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</si>
  <si>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</si>
  <si>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</si>
  <si>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</si>
  <si>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</si>
  <si>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</si>
  <si>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</si>
  <si>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</si>
  <si>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</si>
  <si>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</si>
  <si>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</si>
  <si>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</si>
  <si>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</si>
  <si>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</si>
  <si>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</si>
  <si>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</si>
  <si>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</si>
  <si>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</si>
  <si>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</si>
  <si>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</si>
  <si>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</si>
  <si>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</si>
  <si>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</si>
  <si>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</si>
  <si>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</si>
  <si>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</si>
  <si>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</si>
  <si>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</si>
  <si>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</si>
  <si>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</si>
  <si>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</si>
  <si>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</si>
  <si>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</si>
  <si>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</si>
  <si>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</si>
  <si>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</si>
  <si>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</si>
  <si>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</si>
  <si>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</si>
  <si>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</si>
  <si>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</si>
  <si>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</si>
  <si>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</si>
  <si>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</si>
  <si>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</si>
  <si>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</si>
  <si>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</si>
  <si>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</si>
  <si>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</si>
  <si>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</si>
  <si>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</si>
  <si>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</si>
  <si>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</si>
  <si>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</si>
  <si>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</si>
  <si>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</si>
  <si>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</si>
  <si>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</si>
  <si>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</si>
  <si>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</si>
  <si>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</si>
  <si>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</si>
  <si>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</si>
  <si>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</si>
  <si>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</si>
  <si>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</si>
  <si>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</si>
  <si>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</si>
  <si>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</si>
  <si>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</si>
  <si>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</si>
  <si>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</si>
  <si>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</si>
  <si>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</si>
  <si>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</si>
  <si>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</si>
  <si>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</si>
  <si>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</si>
  <si>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</si>
  <si>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</si>
  <si>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</si>
  <si>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</si>
  <si>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</si>
  <si>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</si>
  <si>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</si>
  <si>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</si>
  <si>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</si>
  <si>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</si>
  <si>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</si>
  <si>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</si>
  <si>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</si>
  <si>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</si>
  <si>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</si>
  <si>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</si>
  <si>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</si>
  <si>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</si>
  <si>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</si>
  <si>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</si>
  <si>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</si>
  <si>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</si>
  <si>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</si>
  <si>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</si>
  <si>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</si>
  <si>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</si>
  <si>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</si>
  <si>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</si>
  <si>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</si>
  <si>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</si>
  <si>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</si>
  <si>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</si>
  <si>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</si>
  <si>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</si>
  <si>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</si>
  <si>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</si>
  <si>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</si>
  <si>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</si>
  <si>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</si>
  <si>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</si>
  <si>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</si>
  <si>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</si>
  <si>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</si>
  <si>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</si>
  <si>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</si>
  <si>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</si>
  <si>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</si>
  <si>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</si>
  <si>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</si>
  <si>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</si>
  <si>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</si>
  <si>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</si>
  <si>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</si>
  <si>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</si>
  <si>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</si>
  <si>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</si>
  <si>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</si>
  <si>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</si>
  <si>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</si>
  <si>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</si>
  <si>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</si>
  <si>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</si>
  <si>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中央人民政府驻香港特别行政区联络办公室</t>
  </si>
  <si>
    <t>http://www.locpg.hk/favicon.ico</t>
  </si>
  <si>
    <t>派出机构</t>
  </si>
  <si>
    <t>澳门中联办</t>
  </si>
  <si>
    <t>http://www.zlb.gov.cn/</t>
  </si>
  <si>
    <t>中央人民政府驻澳门特别行政区联络办公室</t>
  </si>
  <si>
    <t>中央驻港国家安全公署</t>
  </si>
  <si>
    <t>中央人民政府驻香港特别行政区维护国家安全公署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</si>
  <si>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</si>
  <si>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</si>
  <si>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</si>
  <si>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</si>
  <si>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</si>
  <si>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</si>
  <si>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</si>
  <si>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</si>
  <si>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</si>
  <si>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</si>
  <si>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</si>
  <si>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</si>
  <si>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</si>
  <si>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</si>
  <si>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</si>
  <si>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</si>
  <si>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</si>
  <si>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</si>
  <si>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</si>
  <si>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</si>
  <si>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</si>
  <si>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</si>
  <si>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</si>
  <si>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</si>
  <si>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</si>
  <si>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</si>
  <si>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</si>
  <si>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</si>
  <si>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</si>
  <si>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</si>
  <si>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</si>
  <si>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</si>
  <si>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</si>
  <si>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</si>
  <si>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</si>
  <si>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</si>
  <si>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</si>
  <si>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</si>
  <si>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</si>
  <si>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</si>
  <si>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</si>
  <si>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</si>
  <si>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</si>
  <si>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</si>
  <si>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</si>
  <si>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</si>
  <si>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</si>
  <si>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</si>
  <si>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</si>
  <si>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</si>
  <si>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</si>
  <si>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</si>
  <si>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</si>
  <si>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</si>
  <si>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</si>
  <si>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</si>
  <si>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</si>
  <si>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</si>
  <si>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</si>
  <si>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</si>
  <si>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</si>
  <si>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</si>
  <si>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</si>
  <si>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</si>
  <si>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</si>
  <si>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</si>
  <si>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</si>
  <si>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</si>
  <si>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</si>
  <si>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</si>
  <si>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</si>
  <si>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</si>
  <si>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</si>
  <si>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</si>
  <si>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</si>
  <si>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</si>
  <si>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</si>
  <si>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</si>
  <si>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</si>
  <si>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</si>
  <si>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</si>
  <si>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</si>
  <si>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</si>
  <si>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</si>
  <si>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</si>
  <si>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</si>
  <si>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</si>
  <si>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</si>
  <si>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</si>
  <si>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</si>
  <si>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</si>
  <si>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</si>
  <si>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</si>
  <si>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</si>
  <si>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</si>
  <si>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</si>
  <si>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</si>
  <si>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</si>
  <si>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</si>
  <si>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</si>
  <si>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</si>
  <si>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</si>
  <si>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</si>
  <si>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</si>
  <si>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</si>
  <si>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</si>
  <si>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</si>
  <si>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</si>
  <si>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</si>
  <si>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</si>
  <si>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</si>
  <si>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</si>
  <si>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</si>
  <si>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</si>
  <si>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</si>
  <si>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</si>
  <si>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</si>
  <si>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</si>
  <si>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</si>
  <si>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</si>
  <si>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</si>
  <si>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</si>
  <si>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</si>
  <si>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</si>
  <si>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</si>
  <si>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</si>
  <si>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</si>
  <si>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</si>
  <si>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</si>
  <si>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</si>
  <si>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</si>
  <si>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</si>
  <si>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</si>
  <si>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</si>
  <si>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</si>
  <si>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</si>
  <si>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</si>
  <si>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</si>
  <si>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</si>
  <si>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</si>
  <si>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</si>
  <si>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</si>
  <si>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</si>
  <si>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</si>
  <si>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</si>
  <si>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</si>
  <si>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</si>
  <si>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</si>
  <si>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</si>
  <si>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</si>
  <si>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</si>
  <si>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</si>
  <si>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</si>
  <si>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</si>
  <si>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</si>
  <si>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</si>
  <si>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</si>
  <si>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</si>
  <si>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</si>
  <si>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</si>
  <si>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</si>
  <si>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</si>
  <si>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</si>
  <si>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</si>
  <si>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</si>
  <si>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</si>
  <si>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</si>
  <si>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</si>
  <si>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</si>
  <si>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</si>
  <si>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</si>
  <si>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</si>
  <si>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</si>
  <si>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</si>
  <si>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</si>
  <si>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</si>
  <si>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</si>
  <si>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</si>
  <si>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</si>
  <si>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</si>
  <si>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</si>
  <si>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</si>
  <si>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</si>
  <si>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</si>
  <si>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</si>
  <si>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</si>
  <si>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</si>
  <si>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</si>
  <si>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</si>
  <si>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</si>
  <si>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</si>
  <si>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</si>
  <si>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</si>
  <si>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</si>
  <si>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</si>
  <si>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</si>
  <si>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</si>
  <si>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</si>
  <si>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</si>
  <si>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</si>
  <si>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</si>
  <si>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</si>
  <si>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</si>
  <si>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</si>
  <si>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</si>
  <si>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</si>
  <si>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</si>
  <si>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</si>
  <si>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</si>
  <si>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</si>
  <si>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</si>
  <si>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</si>
  <si>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</si>
  <si>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</si>
  <si>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</si>
  <si>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</si>
  <si>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</si>
  <si>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</si>
  <si>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</si>
  <si>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</si>
  <si>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</si>
  <si>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</si>
  <si>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</si>
  <si>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</si>
  <si>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</si>
  <si>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</si>
  <si>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</si>
  <si>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</si>
  <si>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</si>
  <si>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</si>
  <si>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</si>
  <si>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</si>
  <si>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</si>
  <si>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</si>
  <si>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</si>
  <si>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</si>
  <si>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</si>
  <si>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</si>
  <si>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</si>
  <si>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</si>
  <si>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</si>
  <si>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</si>
  <si>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</si>
  <si>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</si>
  <si>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</si>
  <si>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</si>
  <si>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</si>
  <si>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</si>
  <si>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</si>
  <si>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</si>
  <si>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</si>
  <si>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</si>
  <si>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</si>
  <si>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</si>
  <si>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</si>
  <si>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</si>
  <si>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</si>
  <si>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</si>
  <si>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</si>
  <si>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</si>
  <si>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</si>
  <si>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</si>
  <si>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</si>
  <si>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</si>
  <si>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</si>
  <si>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</si>
  <si>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</si>
  <si>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</si>
  <si>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</si>
  <si>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</si>
  <si>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</si>
  <si>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</si>
  <si>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</si>
  <si>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</si>
  <si>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</si>
  <si>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</si>
  <si>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</si>
  <si>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</si>
  <si>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</si>
  <si>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</si>
  <si>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</si>
  <si>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</si>
  <si>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</si>
  <si>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</si>
  <si>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</si>
  <si>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</si>
  <si>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</si>
  <si>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</si>
  <si>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</si>
  <si>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</si>
  <si>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</si>
  <si>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</si>
  <si>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</si>
  <si>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</si>
  <si>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</si>
  <si>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</si>
  <si>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</si>
  <si>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</si>
  <si>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</si>
  <si>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</si>
  <si>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</si>
  <si>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</si>
  <si>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</si>
  <si>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</si>
  <si>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</si>
  <si>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</si>
  <si>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</si>
  <si>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</si>
  <si>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</si>
  <si>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</si>
  <si>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</si>
  <si>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</si>
  <si>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</si>
  <si>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</si>
  <si>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</si>
  <si>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</si>
  <si>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</si>
  <si>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</si>
  <si>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</si>
  <si>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</si>
  <si>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</si>
  <si>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</si>
  <si>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</si>
  <si>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</si>
  <si>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</si>
  <si>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</si>
  <si>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</si>
  <si>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</si>
  <si>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</si>
  <si>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</si>
  <si>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</si>
  <si>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</si>
  <si>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</si>
  <si>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</si>
  <si>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</si>
  <si>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</si>
  <si>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</si>
  <si>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</si>
  <si>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</si>
  <si>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YY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</si>
  <si>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</si>
  <si>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</si>
  <si>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</si>
  <si>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</si>
  <si>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</si>
  <si>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</si>
  <si>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</si>
  <si>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</si>
  <si>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搜狗直播</t>
  </si>
  <si>
    <t>http://show.sogou.com/</t>
  </si>
  <si>
    <t>战旗TV</t>
  </si>
  <si>
    <t>https://www.zhanqi.tv/</t>
  </si>
  <si>
    <t>龙珠直播</t>
  </si>
  <si>
    <t>http://longzhu.com/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</si>
  <si>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</si>
  <si>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</si>
  <si>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</si>
  <si>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</si>
  <si>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</si>
  <si>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</si>
  <si>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</si>
  <si>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</si>
  <si>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</si>
  <si>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</si>
  <si>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</si>
  <si>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</si>
  <si>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</si>
  <si>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</si>
  <si>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</si>
  <si>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</si>
  <si>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</si>
  <si>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</si>
  <si>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</si>
  <si>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</si>
  <si>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</si>
  <si>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</si>
  <si>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</si>
  <si>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</si>
  <si>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</si>
  <si>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</si>
  <si>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</si>
  <si>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</si>
  <si>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</si>
  <si>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</si>
  <si>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</si>
  <si>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</si>
  <si>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</si>
  <si>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</si>
  <si>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</si>
  <si>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</si>
  <si>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</si>
  <si>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</si>
  <si>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</si>
  <si>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</si>
  <si>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</si>
  <si>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</si>
  <si>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</si>
  <si>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</si>
  <si>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</si>
  <si>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</si>
  <si>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</si>
  <si>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</si>
  <si>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</si>
  <si>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</si>
  <si>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</si>
  <si>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</si>
  <si>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</si>
  <si>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</si>
  <si>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</si>
  <si>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</si>
  <si>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</si>
  <si>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</si>
  <si>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</si>
  <si>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</si>
  <si>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</si>
  <si>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</si>
  <si>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</si>
  <si>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</si>
  <si>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</si>
  <si>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</si>
  <si>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</si>
  <si>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</si>
  <si>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</si>
  <si>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</si>
  <si>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</si>
  <si>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</si>
  <si>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</si>
  <si>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</si>
  <si>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</si>
  <si>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</si>
  <si>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</si>
  <si>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</si>
  <si>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</si>
  <si>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</si>
  <si>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</si>
  <si>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</si>
  <si>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</si>
  <si>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</si>
  <si>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</si>
  <si>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</si>
  <si>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</si>
  <si>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</si>
  <si>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</si>
  <si>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</si>
  <si>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</si>
  <si>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</si>
  <si>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</si>
  <si>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</si>
  <si>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</si>
  <si>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</si>
  <si>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</si>
  <si>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</si>
  <si>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</si>
  <si>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</si>
  <si>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</si>
  <si>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</si>
  <si>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</si>
  <si>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</si>
  <si>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</si>
  <si>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</si>
  <si>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</si>
  <si>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</si>
  <si>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</si>
  <si>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</si>
  <si>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</si>
  <si>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</si>
  <si>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</si>
  <si>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</si>
  <si>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</si>
  <si>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</si>
  <si>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</si>
  <si>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</si>
  <si>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</si>
  <si>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</si>
  <si>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</si>
  <si>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</si>
  <si>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</si>
  <si>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</si>
  <si>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</si>
  <si>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</si>
  <si>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</si>
  <si>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</si>
  <si>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</si>
  <si>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</si>
  <si>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</si>
  <si>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</si>
  <si>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</si>
  <si>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</si>
  <si>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</si>
  <si>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</si>
  <si>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</si>
  <si>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</si>
  <si>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</si>
  <si>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</si>
  <si>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</si>
  <si>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</si>
  <si>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</si>
  <si>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</si>
  <si>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</si>
  <si>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</si>
  <si>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</si>
  <si>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</si>
  <si>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</si>
  <si>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</si>
  <si>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</si>
  <si>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</si>
  <si>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</si>
  <si>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</si>
  <si>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</si>
  <si>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</si>
  <si>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</si>
  <si>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</si>
  <si>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</si>
  <si>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</si>
  <si>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</si>
  <si>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</si>
  <si>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</si>
  <si>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</si>
  <si>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</si>
  <si>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</si>
  <si>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</si>
  <si>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</si>
  <si>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</si>
  <si>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</si>
  <si>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</si>
  <si>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</si>
  <si>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</si>
  <si>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</si>
  <si>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</si>
  <si>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</si>
  <si>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</si>
  <si>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</si>
  <si>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</si>
  <si>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</si>
  <si>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</si>
  <si>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</si>
  <si>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</si>
  <si>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</si>
  <si>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</si>
  <si>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</si>
  <si>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</si>
  <si>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</si>
  <si>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</si>
  <si>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</si>
  <si>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</si>
  <si>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</si>
  <si>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</si>
  <si>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</si>
  <si>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</si>
  <si>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</si>
  <si>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</si>
  <si>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</si>
  <si>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</si>
  <si>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</si>
  <si>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</si>
  <si>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</si>
  <si>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</si>
  <si>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</si>
  <si>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</si>
  <si>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</si>
  <si>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</si>
  <si>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</si>
  <si>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</si>
  <si>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</si>
  <si>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</si>
  <si>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</si>
  <si>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</si>
  <si>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</si>
  <si>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</si>
  <si>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</si>
  <si>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</si>
  <si>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</si>
  <si>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</si>
  <si>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</si>
  <si>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</si>
  <si>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</si>
  <si>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</si>
  <si>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</si>
  <si>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</si>
  <si>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</si>
  <si>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</si>
  <si>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</si>
  <si>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</si>
  <si>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</si>
  <si>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</si>
  <si>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</si>
  <si>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</si>
  <si>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</si>
  <si>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</si>
  <si>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</si>
  <si>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</si>
  <si>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</si>
  <si>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</si>
  <si>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</si>
  <si>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</si>
  <si>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</si>
  <si>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</si>
  <si>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</si>
  <si>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</si>
  <si>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</si>
  <si>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</si>
  <si>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</si>
  <si>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</si>
  <si>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</si>
  <si>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</si>
  <si>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</si>
  <si>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</si>
  <si>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</si>
  <si>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</si>
  <si>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</si>
  <si>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</si>
  <si>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</si>
  <si>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</si>
  <si>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</si>
  <si>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</si>
  <si>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</si>
  <si>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</si>
  <si>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</si>
  <si>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</si>
  <si>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</si>
  <si>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</si>
  <si>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</si>
  <si>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</si>
  <si>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</si>
  <si>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</si>
  <si>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</si>
  <si>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</si>
  <si>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</si>
  <si>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</si>
  <si>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</si>
  <si>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</si>
  <si>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</si>
  <si>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</si>
  <si>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</si>
  <si>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</si>
  <si>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</si>
  <si>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</si>
  <si>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</si>
  <si>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</si>
  <si>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</si>
  <si>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</si>
  <si>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</si>
  <si>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</si>
  <si>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</si>
  <si>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</si>
  <si>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</si>
  <si>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</si>
  <si>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</si>
  <si>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</si>
  <si>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</si>
  <si>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</si>
  <si>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</si>
  <si>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</si>
  <si>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</si>
  <si>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</si>
  <si>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</si>
  <si>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</si>
  <si>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</si>
  <si>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</si>
  <si>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</si>
  <si>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</si>
  <si>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</si>
  <si>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</si>
  <si>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</si>
  <si>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</si>
  <si>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</si>
  <si>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</si>
  <si>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</si>
  <si>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</si>
  <si>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</si>
  <si>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</si>
  <si>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</si>
  <si>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</si>
  <si>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</si>
  <si>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</si>
  <si>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</si>
  <si>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</si>
  <si>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</si>
  <si>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</si>
  <si>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</si>
  <si>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</si>
  <si>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</si>
  <si>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</si>
  <si>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</si>
  <si>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</si>
  <si>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</si>
  <si>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</si>
  <si>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</si>
  <si>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</si>
  <si>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</si>
  <si>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</si>
  <si>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</si>
  <si>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</si>
  <si>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</si>
  <si>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</si>
  <si>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</si>
  <si>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</si>
  <si>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</si>
  <si>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</si>
  <si>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</si>
  <si>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</si>
  <si>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</si>
  <si>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</si>
  <si>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</si>
  <si>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</si>
  <si>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</si>
  <si>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</si>
  <si>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</si>
  <si>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</si>
  <si>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</si>
  <si>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</si>
  <si>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</si>
  <si>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</si>
  <si>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</si>
  <si>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</si>
  <si>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</si>
  <si>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</si>
  <si>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</si>
  <si>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</si>
  <si>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</si>
  <si>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</si>
  <si>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</si>
  <si>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</si>
  <si>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</si>
  <si>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</si>
  <si>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</si>
  <si>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</si>
  <si>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</si>
  <si>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</si>
  <si>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</si>
  <si>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</si>
  <si>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</si>
  <si>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</si>
  <si>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</si>
  <si>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</si>
  <si>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</si>
  <si>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</si>
  <si>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</si>
  <si>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</si>
  <si>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</si>
  <si>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</si>
  <si>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</si>
  <si>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</si>
  <si>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</si>
  <si>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</si>
  <si>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</si>
  <si>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</si>
  <si>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</si>
  <si>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</si>
  <si>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</si>
  <si>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</si>
  <si>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</si>
  <si>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</si>
  <si>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</si>
  <si>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</si>
  <si>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</si>
  <si>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</si>
  <si>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</si>
  <si>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</si>
  <si>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</si>
  <si>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</si>
  <si>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</si>
  <si>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</si>
  <si>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</si>
  <si>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</si>
  <si>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</si>
  <si>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</si>
  <si>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</si>
  <si>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</si>
  <si>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</si>
  <si>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</si>
  <si>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</si>
  <si>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</si>
  <si>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</si>
  <si>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</si>
  <si>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</si>
  <si>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</si>
  <si>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</si>
  <si>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</si>
  <si>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</si>
  <si>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</si>
  <si>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</si>
  <si>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</si>
  <si>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</si>
  <si>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</si>
  <si>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</si>
  <si>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</si>
  <si>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</si>
  <si>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</si>
  <si>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</si>
  <si>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</si>
  <si>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</si>
  <si>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</si>
  <si>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</si>
  <si>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</si>
  <si>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</si>
  <si>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</si>
  <si>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</si>
  <si>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</si>
  <si>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</si>
  <si>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</si>
  <si>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</si>
  <si>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</si>
  <si>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</si>
  <si>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</si>
  <si>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</si>
  <si>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</si>
  <si>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</si>
  <si>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</si>
  <si>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</si>
  <si>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</si>
  <si>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</si>
  <si>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</si>
  <si>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</si>
  <si>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</si>
  <si>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</si>
  <si>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</si>
  <si>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</si>
  <si>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</si>
  <si>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</si>
  <si>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</si>
  <si>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</si>
  <si>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</si>
  <si>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</si>
  <si>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</si>
  <si>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</si>
  <si>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</si>
  <si>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</si>
  <si>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</si>
  <si>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</si>
  <si>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</si>
  <si>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</si>
  <si>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</si>
  <si>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</si>
  <si>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</si>
  <si>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</si>
  <si>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</si>
  <si>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</si>
  <si>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</si>
  <si>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</si>
  <si>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</si>
  <si>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</si>
  <si>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</si>
  <si>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</si>
  <si>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</si>
  <si>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</si>
  <si>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</si>
  <si>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</si>
  <si>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</si>
  <si>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</si>
  <si>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</si>
  <si>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</si>
  <si>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</si>
  <si>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</si>
  <si>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</si>
  <si>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</si>
  <si>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</si>
  <si>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</si>
  <si>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</si>
  <si>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</si>
  <si>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</si>
  <si>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</si>
  <si>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</si>
  <si>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</si>
  <si>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</si>
  <si>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</si>
  <si>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</si>
  <si>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</si>
  <si>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</si>
  <si>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</si>
  <si>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</si>
  <si>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</si>
  <si>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</si>
  <si>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</si>
  <si>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</si>
  <si>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</si>
  <si>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</si>
  <si>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</si>
  <si>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</si>
  <si>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</si>
  <si>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</si>
  <si>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</si>
  <si>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</si>
  <si>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</si>
  <si>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</si>
  <si>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</si>
  <si>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</si>
  <si>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</si>
  <si>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</si>
  <si>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</si>
  <si>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</si>
  <si>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</si>
  <si>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</si>
  <si>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</si>
  <si>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</si>
  <si>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</si>
  <si>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</si>
  <si>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</si>
  <si>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</si>
  <si>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</si>
  <si>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</si>
  <si>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</si>
  <si>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</si>
  <si>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</si>
  <si>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</si>
  <si>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</si>
  <si>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</si>
  <si>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</si>
  <si>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</si>
  <si>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</si>
  <si>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</si>
  <si>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</si>
  <si>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</si>
  <si>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</si>
  <si>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</si>
  <si>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</si>
  <si>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</si>
  <si>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</si>
  <si>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</si>
  <si>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</si>
  <si>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</si>
  <si>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</si>
  <si>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</si>
  <si>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</si>
  <si>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</si>
  <si>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</si>
  <si>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</si>
  <si>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</si>
  <si>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</si>
  <si>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</si>
  <si>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</si>
  <si>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</si>
  <si>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</si>
  <si>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</si>
  <si>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</si>
  <si>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</si>
  <si>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</si>
  <si>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</si>
  <si>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</si>
  <si>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</si>
  <si>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</si>
  <si>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</si>
  <si>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</si>
  <si>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</si>
  <si>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</si>
  <si>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</si>
  <si>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</si>
  <si>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</si>
  <si>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</si>
  <si>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</si>
  <si>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</si>
  <si>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</si>
  <si>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</si>
  <si>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</si>
  <si>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</si>
  <si>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</si>
  <si>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</si>
  <si>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</si>
  <si>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</si>
  <si>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</si>
  <si>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</si>
  <si>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</si>
  <si>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</si>
  <si>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</si>
  <si>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</si>
  <si>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</si>
  <si>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</si>
  <si>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</si>
  <si>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</si>
  <si>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</si>
  <si>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</si>
  <si>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</si>
  <si>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</si>
  <si>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</si>
  <si>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</si>
  <si>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</si>
  <si>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</si>
  <si>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</si>
  <si>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</si>
  <si>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</si>
  <si>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</si>
  <si>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</si>
  <si>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</si>
  <si>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</si>
  <si>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</si>
  <si>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</si>
  <si>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</si>
  <si>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</si>
  <si>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</si>
  <si>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</si>
  <si>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</si>
  <si>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</si>
  <si>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</si>
  <si>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</si>
  <si>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</si>
  <si>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</si>
  <si>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</si>
  <si>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</si>
  <si>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</si>
  <si>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</si>
  <si>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</si>
  <si>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</si>
  <si>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</si>
  <si>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</si>
  <si>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</si>
  <si>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</si>
  <si>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</si>
  <si>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</si>
  <si>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</si>
  <si>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</si>
  <si>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</si>
  <si>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</si>
  <si>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</si>
  <si>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</si>
  <si>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</si>
  <si>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</si>
  <si>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</si>
  <si>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</si>
  <si>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</si>
  <si>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</si>
  <si>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</si>
  <si>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</si>
  <si>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</si>
  <si>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</si>
  <si>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</si>
  <si>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</si>
  <si>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</si>
  <si>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</si>
  <si>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</si>
  <si>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</si>
  <si>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</si>
  <si>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</si>
  <si>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</si>
  <si>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</si>
  <si>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</si>
  <si>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</si>
  <si>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</si>
  <si>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</si>
  <si>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</si>
  <si>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</si>
  <si>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</si>
  <si>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</si>
  <si>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</si>
  <si>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</si>
  <si>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</si>
  <si>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</si>
  <si>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</si>
  <si>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</si>
  <si>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</si>
  <si>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</si>
  <si>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</si>
  <si>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</si>
  <si>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</si>
  <si>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</si>
  <si>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</si>
  <si>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</si>
  <si>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</si>
  <si>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</si>
  <si>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</si>
  <si>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</si>
  <si>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</si>
  <si>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</si>
  <si>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</si>
  <si>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</si>
  <si>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</si>
  <si>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</si>
  <si>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</si>
  <si>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</si>
  <si>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</si>
  <si>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</si>
  <si>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</si>
  <si>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</si>
  <si>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</si>
  <si>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</si>
  <si>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</si>
  <si>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</si>
  <si>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</si>
  <si>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</si>
  <si>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</si>
  <si>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</si>
  <si>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</si>
  <si>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</si>
  <si>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</si>
  <si>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</si>
  <si>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</si>
  <si>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</si>
  <si>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</si>
  <si>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</si>
  <si>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</si>
  <si>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</si>
  <si>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</si>
  <si>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</si>
  <si>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</si>
  <si>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</si>
  <si>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</si>
  <si>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</si>
  <si>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</si>
  <si>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</si>
  <si>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</si>
  <si>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</si>
  <si>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</si>
  <si>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</si>
  <si>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</si>
  <si>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</si>
  <si>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</si>
  <si>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</si>
  <si>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</si>
  <si>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</si>
  <si>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</si>
  <si>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</si>
  <si>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</si>
  <si>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</si>
  <si>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</si>
  <si>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</si>
  <si>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</si>
  <si>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</si>
  <si>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</si>
  <si>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</si>
  <si>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</si>
  <si>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</si>
  <si>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</si>
  <si>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</si>
  <si>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</si>
  <si>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</si>
  <si>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</si>
  <si>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</si>
  <si>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</si>
  <si>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</si>
  <si>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</si>
  <si>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</si>
  <si>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</si>
  <si>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</si>
  <si>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</si>
  <si>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</si>
  <si>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</si>
  <si>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</si>
  <si>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</si>
  <si>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</si>
  <si>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</si>
  <si>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</si>
  <si>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</si>
  <si>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</si>
  <si>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</si>
  <si>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</si>
  <si>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</si>
  <si>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</si>
  <si>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</si>
  <si>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</si>
  <si>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</si>
  <si>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</si>
  <si>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</si>
  <si>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</si>
  <si>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</si>
  <si>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</si>
  <si>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</si>
  <si>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</si>
  <si>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</si>
  <si>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</si>
  <si>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</si>
  <si>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</si>
  <si>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</si>
  <si>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</si>
  <si>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</si>
  <si>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</si>
  <si>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</si>
  <si>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</si>
  <si>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</si>
  <si>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</si>
  <si>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</si>
  <si>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</si>
  <si>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</si>
  <si>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</si>
  <si>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</si>
  <si>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</si>
  <si>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</si>
  <si>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</si>
  <si>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</si>
  <si>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</si>
  <si>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</si>
  <si>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</si>
  <si>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</si>
  <si>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</si>
  <si>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</si>
  <si>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</si>
  <si>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</si>
  <si>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</si>
  <si>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</si>
  <si>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</si>
  <si>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</si>
  <si>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</si>
  <si>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</si>
  <si>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</si>
  <si>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</si>
  <si>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</si>
  <si>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</si>
  <si>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</si>
  <si>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</si>
  <si>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</si>
  <si>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</si>
  <si>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</si>
  <si>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</si>
  <si>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</si>
  <si>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</si>
  <si>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</si>
  <si>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</si>
  <si>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</si>
  <si>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</si>
  <si>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</si>
  <si>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</si>
  <si>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</si>
  <si>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</si>
  <si>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</si>
  <si>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</si>
  <si>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</si>
  <si>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</si>
  <si>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</si>
  <si>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</si>
  <si>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</si>
  <si>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</si>
  <si>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</si>
  <si>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</si>
  <si>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</si>
  <si>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</si>
  <si>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</si>
  <si>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</si>
  <si>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</si>
  <si>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</si>
  <si>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</si>
  <si>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</si>
  <si>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</si>
  <si>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</si>
  <si>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</si>
  <si>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</si>
  <si>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</si>
  <si>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</si>
  <si>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</si>
  <si>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</si>
  <si>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</si>
  <si>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</si>
  <si>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</si>
  <si>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</si>
  <si>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</si>
  <si>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</si>
  <si>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</si>
  <si>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</si>
  <si>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</si>
  <si>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</si>
  <si>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</si>
  <si>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</si>
  <si>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</si>
  <si>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</si>
  <si>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</si>
  <si>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</si>
  <si>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</si>
  <si>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</si>
  <si>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</si>
  <si>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</si>
  <si>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</si>
  <si>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</si>
  <si>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</si>
  <si>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</si>
  <si>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</si>
  <si>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</si>
  <si>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</si>
  <si>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</si>
  <si>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</si>
  <si>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</si>
  <si>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</si>
  <si>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</si>
  <si>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</si>
  <si>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</si>
  <si>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</si>
  <si>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</si>
  <si>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</si>
  <si>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</si>
  <si>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</si>
  <si>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</si>
  <si>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</si>
  <si>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</si>
  <si>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</si>
  <si>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</si>
  <si>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</si>
  <si>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</si>
  <si>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</si>
  <si>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</si>
  <si>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</si>
  <si>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</si>
  <si>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</si>
  <si>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</si>
  <si>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</si>
  <si>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</si>
  <si>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98导航</t>
  </si>
  <si>
    <t>http://98dh.cc/</t>
  </si>
  <si>
    <t>http://98dh.cc/images/favicon.ico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</si>
  <si>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</si>
  <si>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</si>
  <si>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</si>
  <si>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</si>
  <si>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</si>
  <si>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</si>
  <si>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龙喵网</t>
  </si>
  <si>
    <t>https://ailongmiao.com/</t>
  </si>
  <si>
    <t>https://media.ailongmiao.com/favicon.ico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</si>
  <si>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</si>
  <si>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</si>
  <si>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</si>
  <si>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</si>
  <si>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</si>
  <si>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</si>
  <si>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</si>
  <si>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</si>
  <si>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</si>
  <si>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</si>
  <si>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</si>
  <si>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</si>
  <si>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</si>
  <si>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</si>
  <si>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</si>
  <si>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</si>
  <si>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</si>
  <si>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</si>
  <si>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</si>
  <si>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</si>
  <si>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</si>
  <si>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</si>
  <si>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</si>
  <si>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</si>
  <si>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</si>
  <si>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</si>
  <si>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</si>
  <si>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</si>
  <si>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</si>
  <si>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</si>
  <si>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</si>
  <si>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</si>
  <si>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</si>
  <si>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</si>
  <si>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</si>
  <si>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</si>
  <si>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</si>
  <si>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</si>
  <si>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</si>
  <si>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</si>
  <si>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</si>
  <si>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</si>
  <si>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</si>
  <si>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</si>
  <si>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</si>
  <si>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</si>
  <si>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</si>
  <si>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</si>
  <si>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</si>
  <si>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</si>
  <si>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</si>
  <si>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</si>
  <si>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</si>
  <si>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</si>
  <si>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</si>
  <si>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</si>
  <si>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</si>
  <si>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</si>
  <si>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</si>
  <si>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</si>
  <si>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</si>
  <si>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</si>
  <si>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</si>
  <si>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</si>
  <si>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</si>
  <si>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</si>
  <si>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</si>
  <si>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</si>
  <si>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</si>
  <si>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</si>
  <si>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</si>
  <si>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</si>
  <si>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</si>
  <si>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</si>
  <si>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</si>
  <si>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</si>
  <si>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</si>
  <si>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</si>
  <si>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</si>
  <si>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</si>
  <si>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</si>
  <si>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</si>
  <si>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</si>
  <si>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</si>
  <si>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</si>
  <si>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</si>
  <si>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</si>
  <si>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</si>
  <si>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</si>
  <si>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</si>
  <si>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</si>
  <si>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</si>
  <si>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</si>
  <si>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</si>
  <si>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</si>
  <si>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</si>
  <si>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</si>
  <si>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</si>
  <si>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</si>
  <si>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</si>
  <si>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</si>
  <si>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</si>
  <si>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</si>
  <si>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</si>
  <si>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</si>
  <si>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</si>
  <si>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</si>
  <si>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</si>
  <si>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</si>
  <si>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</si>
  <si>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</si>
  <si>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</si>
  <si>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</si>
  <si>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</si>
  <si>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</si>
  <si>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</si>
  <si>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</si>
  <si>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</si>
  <si>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</si>
  <si>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</si>
  <si>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</si>
  <si>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</si>
  <si>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</si>
  <si>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</si>
  <si>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</si>
  <si>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</si>
  <si>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初录未归挡</t>
    <phoneticPr fontId="1" type="noConversion"/>
  </si>
  <si>
    <t>初录未归挡1</t>
    <phoneticPr fontId="1" type="noConversion"/>
  </si>
  <si>
    <t>上网首访</t>
  </si>
  <si>
    <t>上网首访</t>
    <phoneticPr fontId="1" type="noConversion"/>
  </si>
  <si>
    <t>党委</t>
    <phoneticPr fontId="1" type="noConversion"/>
  </si>
  <si>
    <t>http://www.xzdw.gov.cn/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</si>
  <si>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</si>
  <si>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</si>
  <si>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</si>
  <si>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</si>
  <si>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</si>
  <si>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</si>
  <si>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</si>
  <si>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</si>
  <si>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</si>
  <si>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</si>
  <si>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</si>
  <si>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</si>
  <si>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</si>
  <si>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</si>
  <si>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</si>
  <si>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http://cd.xzdw.gov.cn/</t>
    <phoneticPr fontId="1" type="noConversion"/>
  </si>
  <si>
    <t>http://sn.xzdw.gov.cn/</t>
    <phoneticPr fontId="1" type="noConversion"/>
  </si>
  <si>
    <t>http://rikaze.xzdw.gov.cn/</t>
    <phoneticPr fontId="1" type="noConversion"/>
  </si>
  <si>
    <t>http://lz.xzdw.gov.cn/</t>
    <phoneticPr fontId="1" type="noConversion"/>
  </si>
  <si>
    <t>http://nq.xzdw.gov.cn/</t>
    <phoneticPr fontId="1" type="noConversion"/>
  </si>
  <si>
    <t>http://ali.xzdw.gov.cn/</t>
    <phoneticPr fontId="1" type="noConversion"/>
  </si>
  <si>
    <t>西藏自治区党委</t>
    <phoneticPr fontId="1" type="noConversion"/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</si>
  <si>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</si>
  <si>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</si>
  <si>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</si>
  <si>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</si>
  <si>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</si>
  <si>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</si>
  <si>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</si>
  <si>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</si>
  <si>
    <t>想看什么</t>
    <phoneticPr fontId="1" type="noConversion"/>
  </si>
  <si>
    <t>大金融</t>
  </si>
  <si>
    <t>大金融</t>
    <phoneticPr fontId="1" type="noConversion"/>
  </si>
  <si>
    <t>银行</t>
  </si>
  <si>
    <t>银行</t>
    <phoneticPr fontId="1" type="noConversion"/>
  </si>
  <si>
    <t>保险</t>
  </si>
  <si>
    <t>保险</t>
    <phoneticPr fontId="1" type="noConversion"/>
  </si>
  <si>
    <t>证券</t>
  </si>
  <si>
    <t>证券</t>
    <phoneticPr fontId="1" type="noConversion"/>
  </si>
  <si>
    <t>基金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</si>
  <si>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</si>
  <si>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</si>
  <si>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</si>
  <si>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精品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</si>
  <si>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</si>
  <si>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</si>
  <si>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</si>
  <si>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</si>
  <si>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行业</t>
  </si>
  <si>
    <t>行业</t>
    <phoneticPr fontId="1" type="noConversion"/>
  </si>
  <si>
    <t>专业</t>
  </si>
  <si>
    <t>专业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</si>
  <si>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</si>
  <si>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</si>
  <si>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</si>
  <si>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</si>
  <si>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</si>
  <si>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</si>
  <si>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网络电视</t>
    <phoneticPr fontId="1" type="noConversion"/>
  </si>
  <si>
    <t>电商</t>
    <phoneticPr fontId="1" type="noConversion"/>
  </si>
  <si>
    <t>腾讯</t>
  </si>
  <si>
    <t>腾讯</t>
    <phoneticPr fontId="1" type="noConversion"/>
  </si>
  <si>
    <t>阿里</t>
  </si>
  <si>
    <t>阿里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</si>
  <si>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</si>
  <si>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</si>
  <si>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</si>
  <si>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</si>
  <si>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</si>
  <si>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</si>
  <si>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</si>
  <si>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</si>
  <si>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</si>
  <si>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</si>
  <si>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</si>
  <si>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</si>
  <si>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</si>
  <si>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</si>
  <si>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</si>
  <si>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</si>
  <si>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</si>
  <si>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</si>
  <si>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</si>
  <si>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</si>
  <si>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</si>
  <si>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</si>
  <si>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</si>
  <si>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</si>
  <si>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</si>
  <si>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</si>
  <si>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</si>
  <si>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</si>
  <si>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</si>
  <si>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</si>
  <si>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</si>
  <si>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</si>
  <si>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</si>
  <si>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</si>
  <si>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</si>
  <si>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</si>
  <si>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</si>
  <si>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</si>
  <si>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</si>
  <si>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</si>
  <si>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</si>
  <si>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</si>
  <si>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</si>
  <si>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</si>
  <si>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</si>
  <si>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</si>
  <si>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</si>
  <si>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</si>
  <si>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</si>
  <si>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</si>
  <si>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</si>
  <si>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游戏</t>
    <phoneticPr fontId="1" type="noConversion"/>
  </si>
  <si>
    <t>机关官网</t>
  </si>
  <si>
    <t>机关官网</t>
    <phoneticPr fontId="1" type="noConversion"/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</si>
  <si>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</si>
  <si>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</si>
  <si>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</si>
  <si>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</si>
  <si>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</si>
  <si>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</si>
  <si>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</si>
  <si>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</si>
  <si>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</si>
  <si>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斗图界的Google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</si>
  <si>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</si>
  <si>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</si>
  <si>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</si>
  <si>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</si>
  <si>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</si>
  <si>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</si>
  <si>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</si>
  <si>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</si>
  <si>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</si>
  <si>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</si>
  <si>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</si>
  <si>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</si>
  <si>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</si>
  <si>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</si>
  <si>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</si>
  <si>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</si>
  <si>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</si>
  <si>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</si>
  <si>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</si>
  <si>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</si>
  <si>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</si>
  <si>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 xml:space="preserve"> </t>
    <phoneticPr fontId="1" type="noConversion"/>
  </si>
  <si>
    <t>特殊</t>
  </si>
  <si>
    <t>特殊</t>
    <phoneticPr fontId="1" type="noConversion"/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</si>
  <si>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</si>
  <si>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</si>
  <si>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</si>
  <si>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</si>
  <si>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二次元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</si>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</sst>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S298" totalsRowShown="0">
  <autoFilter ref="A1:S298" xr:uid="{02FB28E5-E947-430B-A2CC-8AC67DB18EEB}"/>
  <sortState xmlns:xlrd2="http://schemas.microsoft.com/office/spreadsheetml/2017/richdata2" ref="A2:S298">
    <sortCondition ref="A2:A298"/>
  </sortState>
  <tableColumns count="19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0" totalsRowShown="0">
  <autoFilter ref="A1:AB10" xr:uid="{DE9627F4-932C-4564-8101-F3D191EFBF50}"/>
  <sortState xmlns:xlrd2="http://schemas.microsoft.com/office/spreadsheetml/2017/richdata2" ref="A2:AB10">
    <sortCondition ref="A2:A10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51" totalsRowShown="0">
  <autoFilter ref="A1:W151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s://www.cakego.cn/favicon.ico" TargetMode="External"/><Relationship Id="rId3" Type="http://schemas.openxmlformats.org/officeDocument/2006/relationships/hyperlink" Target="http://www.cri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s://www.cakego.cn/" TargetMode="External"/><Relationship Id="rId17" Type="http://schemas.openxmlformats.org/officeDocument/2006/relationships/table" Target="../tables/table1.xml"/><Relationship Id="rId2" Type="http://schemas.openxmlformats.org/officeDocument/2006/relationships/hyperlink" Target="http://www.81.c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://xyy3.cn/favicon.ico" TargetMode="External"/><Relationship Id="rId10" Type="http://schemas.openxmlformats.org/officeDocument/2006/relationships/hyperlink" Target="http://p4.img.cctvpic.com/photoAlbum/templet/common/DEPA1356314678315297/sy_dyw377.ico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://www.xyy3.c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://sn.xzdw.gov.cn/" TargetMode="External"/><Relationship Id="rId7" Type="http://schemas.openxmlformats.org/officeDocument/2006/relationships/hyperlink" Target="http://ali.xzdw.gov.cn/" TargetMode="External"/><Relationship Id="rId2" Type="http://schemas.openxmlformats.org/officeDocument/2006/relationships/hyperlink" Target="http://cd.xzdw.gov.cn/" TargetMode="External"/><Relationship Id="rId1" Type="http://schemas.openxmlformats.org/officeDocument/2006/relationships/hyperlink" Target="http://www.xzdw.gov.cn/" TargetMode="External"/><Relationship Id="rId6" Type="http://schemas.openxmlformats.org/officeDocument/2006/relationships/hyperlink" Target="http://nq.xzdw.gov.cn/" TargetMode="External"/><Relationship Id="rId5" Type="http://schemas.openxmlformats.org/officeDocument/2006/relationships/hyperlink" Target="http://lz.xzdw.gov.cn/" TargetMode="External"/><Relationship Id="rId4" Type="http://schemas.openxmlformats.org/officeDocument/2006/relationships/hyperlink" Target="http://rikaze.xzdw.gov.c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/>
  <dimension ref="A1:S581"/>
  <sheetViews>
    <sheetView tabSelected="1" workbookViewId="0">
      <pane xSplit="19" ySplit="1" topLeftCell="T278" activePane="bottomRight" state="frozen"/>
      <selection pane="topRight" activeCell="T1" sqref="T1"/>
      <selection pane="bottomLeft" activeCell="A2" sqref="A2"/>
      <selection pane="bottomRight" sqref="A1:XFD104857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8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539</v>
      </c>
      <c r="G2" t="s">
        <v>540</v>
      </c>
      <c r="H2" t="s">
        <v>29</v>
      </c>
      <c r="I2" t="s">
        <v>541</v>
      </c>
      <c r="J2" t="s">
        <v>1707</v>
      </c>
      <c r="K2" t="s">
        <v>542</v>
      </c>
      <c r="N2" t="s">
        <v>1854</v>
      </c>
      <c r="O2" t="s">
        <v>1166</v>
      </c>
      <c r="Q2">
        <v>64</v>
      </c>
      <c r="R2" t="s">
        <v>1832</v>
      </c>
      <c r="S2" t="s">
        <v>1836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543</v>
      </c>
      <c r="G3" t="s">
        <v>544</v>
      </c>
      <c r="H3" t="s">
        <v>29</v>
      </c>
      <c r="I3" t="s">
        <v>545</v>
      </c>
      <c r="J3" t="s">
        <v>1707</v>
      </c>
      <c r="K3" t="s">
        <v>542</v>
      </c>
      <c r="L3" t="s">
        <v>1757</v>
      </c>
      <c r="N3" t="s">
        <v>1854</v>
      </c>
      <c r="O3" t="s">
        <v>1166</v>
      </c>
      <c r="Q3">
        <v>32</v>
      </c>
      <c r="R3" t="s">
        <v>1837</v>
      </c>
    </row>
    <row r="4" spans="1:19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546</v>
      </c>
      <c r="G4" t="s">
        <v>547</v>
      </c>
      <c r="H4" t="s">
        <v>29</v>
      </c>
      <c r="I4" t="s">
        <v>548</v>
      </c>
      <c r="J4" t="s">
        <v>1707</v>
      </c>
      <c r="K4" t="s">
        <v>542</v>
      </c>
      <c r="L4" t="s">
        <v>1757</v>
      </c>
      <c r="N4" t="s">
        <v>1854</v>
      </c>
      <c r="O4" t="s">
        <v>1166</v>
      </c>
      <c r="Q4">
        <v>32</v>
      </c>
      <c r="R4" t="s">
        <v>1832</v>
      </c>
      <c r="S4" t="s">
        <v>1836</v>
      </c>
    </row>
    <row r="5" spans="1:19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549</v>
      </c>
      <c r="G5" t="s">
        <v>550</v>
      </c>
      <c r="H5" t="s">
        <v>1838</v>
      </c>
      <c r="I5" t="s">
        <v>551</v>
      </c>
      <c r="J5" t="s">
        <v>1707</v>
      </c>
      <c r="K5" t="s">
        <v>542</v>
      </c>
      <c r="L5" t="s">
        <v>552</v>
      </c>
      <c r="N5" t="s">
        <v>1854</v>
      </c>
      <c r="O5" t="s">
        <v>1166</v>
      </c>
      <c r="Q5">
        <v>16</v>
      </c>
      <c r="R5" t="s">
        <v>1837</v>
      </c>
    </row>
    <row r="6" spans="1:19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F6" t="s">
        <v>553</v>
      </c>
      <c r="G6" t="s">
        <v>554</v>
      </c>
      <c r="H6" t="s">
        <v>29</v>
      </c>
      <c r="I6" t="s">
        <v>555</v>
      </c>
      <c r="J6" t="s">
        <v>1707</v>
      </c>
      <c r="K6" t="s">
        <v>542</v>
      </c>
      <c r="L6" t="s">
        <v>556</v>
      </c>
      <c r="N6" t="s">
        <v>1854</v>
      </c>
      <c r="O6" t="s">
        <v>1166</v>
      </c>
      <c r="Q6">
        <v>20</v>
      </c>
    </row>
    <row r="7" spans="1:19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F7" t="s">
        <v>557</v>
      </c>
      <c r="G7" t="s">
        <v>558</v>
      </c>
      <c r="H7" t="s">
        <v>29</v>
      </c>
      <c r="I7" t="s">
        <v>559</v>
      </c>
      <c r="J7" t="s">
        <v>1707</v>
      </c>
      <c r="K7" t="s">
        <v>542</v>
      </c>
      <c r="L7" t="s">
        <v>560</v>
      </c>
      <c r="N7" t="s">
        <v>1854</v>
      </c>
      <c r="O7" t="s">
        <v>1166</v>
      </c>
      <c r="Q7">
        <v>32</v>
      </c>
    </row>
    <row r="8" spans="1:19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561</v>
      </c>
      <c r="G8" t="s">
        <v>562</v>
      </c>
      <c r="H8" t="s">
        <v>563</v>
      </c>
      <c r="I8" t="s">
        <v>564</v>
      </c>
      <c r="J8" t="s">
        <v>1707</v>
      </c>
      <c r="K8" t="s">
        <v>542</v>
      </c>
      <c r="L8" t="s">
        <v>565</v>
      </c>
      <c r="N8" t="s">
        <v>1854</v>
      </c>
      <c r="O8" t="s">
        <v>1166</v>
      </c>
      <c r="R8" t="s">
        <v>1837</v>
      </c>
    </row>
    <row r="9" spans="1:19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566</v>
      </c>
      <c r="G9" t="s">
        <v>567</v>
      </c>
      <c r="H9" t="s">
        <v>1866</v>
      </c>
      <c r="I9" t="s">
        <v>568</v>
      </c>
      <c r="J9" t="s">
        <v>1707</v>
      </c>
      <c r="K9" t="s">
        <v>542</v>
      </c>
      <c r="L9" t="s">
        <v>569</v>
      </c>
      <c r="N9" t="s">
        <v>1854</v>
      </c>
      <c r="O9" t="s">
        <v>1166</v>
      </c>
      <c r="R9" t="s">
        <v>1832</v>
      </c>
    </row>
    <row r="10" spans="1:19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570</v>
      </c>
      <c r="G10" t="s">
        <v>571</v>
      </c>
      <c r="H10" t="s">
        <v>29</v>
      </c>
      <c r="I10" t="s">
        <v>572</v>
      </c>
      <c r="J10" t="s">
        <v>1707</v>
      </c>
      <c r="K10" t="s">
        <v>573</v>
      </c>
      <c r="N10" t="s">
        <v>1854</v>
      </c>
      <c r="O10" t="s">
        <v>1166</v>
      </c>
      <c r="Q10">
        <v>256</v>
      </c>
    </row>
    <row r="11" spans="1:19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580</v>
      </c>
      <c r="G11" t="s">
        <v>581</v>
      </c>
      <c r="H11" t="s">
        <v>29</v>
      </c>
      <c r="I11" t="s">
        <v>582</v>
      </c>
      <c r="J11" t="s">
        <v>1707</v>
      </c>
      <c r="K11" t="s">
        <v>573</v>
      </c>
      <c r="L11" t="s">
        <v>1755</v>
      </c>
      <c r="N11" t="s">
        <v>1854</v>
      </c>
      <c r="O11" t="s">
        <v>1166</v>
      </c>
      <c r="Q11">
        <v>16</v>
      </c>
      <c r="R11" t="s">
        <v>1832</v>
      </c>
      <c r="S11" t="s">
        <v>1836</v>
      </c>
    </row>
    <row r="12" spans="1:19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101</v>
      </c>
      <c r="F12" t="s">
        <v>574</v>
      </c>
      <c r="G12" t="s">
        <v>575</v>
      </c>
      <c r="H12" t="s">
        <v>29</v>
      </c>
      <c r="I12" t="s">
        <v>576</v>
      </c>
      <c r="J12" t="s">
        <v>1707</v>
      </c>
      <c r="K12" t="s">
        <v>573</v>
      </c>
      <c r="L12" t="s">
        <v>1755</v>
      </c>
      <c r="N12" t="s">
        <v>1854</v>
      </c>
      <c r="O12" t="s">
        <v>1166</v>
      </c>
      <c r="Q12">
        <v>32</v>
      </c>
      <c r="R12" t="s">
        <v>1832</v>
      </c>
      <c r="S12" t="s">
        <v>1836</v>
      </c>
    </row>
    <row r="13" spans="1:19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102</v>
      </c>
      <c r="F13" t="s">
        <v>577</v>
      </c>
      <c r="G13" t="s">
        <v>578</v>
      </c>
      <c r="H13" t="s">
        <v>29</v>
      </c>
      <c r="I13" t="s">
        <v>579</v>
      </c>
      <c r="J13" t="s">
        <v>1707</v>
      </c>
      <c r="K13" t="s">
        <v>573</v>
      </c>
      <c r="L13" t="s">
        <v>1755</v>
      </c>
      <c r="N13" t="s">
        <v>1854</v>
      </c>
      <c r="Q13">
        <v>16</v>
      </c>
      <c r="R13" t="s">
        <v>1832</v>
      </c>
      <c r="S13" t="s">
        <v>1836</v>
      </c>
    </row>
    <row r="14" spans="1:19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103</v>
      </c>
      <c r="F14" t="s">
        <v>583</v>
      </c>
      <c r="G14" t="s">
        <v>584</v>
      </c>
      <c r="H14" t="s">
        <v>29</v>
      </c>
      <c r="I14" t="s">
        <v>585</v>
      </c>
      <c r="J14" t="s">
        <v>1707</v>
      </c>
      <c r="K14" t="s">
        <v>573</v>
      </c>
      <c r="L14" t="s">
        <v>1755</v>
      </c>
      <c r="N14" t="s">
        <v>1854</v>
      </c>
      <c r="O14" t="s">
        <v>1166</v>
      </c>
      <c r="Q14">
        <v>16</v>
      </c>
      <c r="R14" t="s">
        <v>1832</v>
      </c>
      <c r="S14" t="s">
        <v>1836</v>
      </c>
    </row>
    <row r="15" spans="1:19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104</v>
      </c>
      <c r="F15" t="s">
        <v>586</v>
      </c>
      <c r="G15" t="s">
        <v>587</v>
      </c>
      <c r="H15" t="s">
        <v>29</v>
      </c>
      <c r="I15" t="s">
        <v>588</v>
      </c>
      <c r="J15" t="s">
        <v>1707</v>
      </c>
      <c r="K15" t="s">
        <v>573</v>
      </c>
      <c r="L15" t="s">
        <v>1755</v>
      </c>
      <c r="N15" t="s">
        <v>1854</v>
      </c>
      <c r="O15" t="s">
        <v>1166</v>
      </c>
      <c r="Q15">
        <v>16</v>
      </c>
      <c r="R15" t="s">
        <v>1832</v>
      </c>
      <c r="S15" t="s">
        <v>1836</v>
      </c>
    </row>
    <row r="16" spans="1:19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100</v>
      </c>
      <c r="F16" t="s">
        <v>589</v>
      </c>
      <c r="G16" t="s">
        <v>590</v>
      </c>
      <c r="H16" t="s">
        <v>29</v>
      </c>
      <c r="J16" t="s">
        <v>1707</v>
      </c>
      <c r="K16" t="s">
        <v>573</v>
      </c>
      <c r="L16" t="s">
        <v>1759</v>
      </c>
      <c r="N16" t="s">
        <v>1854</v>
      </c>
      <c r="R16" t="s">
        <v>1832</v>
      </c>
    </row>
    <row r="17" spans="1:17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101</v>
      </c>
      <c r="F17" t="s">
        <v>1588</v>
      </c>
      <c r="G17" t="s">
        <v>1589</v>
      </c>
      <c r="H17" t="s">
        <v>1866</v>
      </c>
      <c r="I17" t="s">
        <v>1590</v>
      </c>
      <c r="J17" t="s">
        <v>1707</v>
      </c>
      <c r="K17" t="s">
        <v>573</v>
      </c>
      <c r="L17" t="s">
        <v>1759</v>
      </c>
      <c r="N17" t="s">
        <v>1854</v>
      </c>
      <c r="O17" t="s">
        <v>1166</v>
      </c>
    </row>
    <row r="18" spans="1:17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F18" t="s">
        <v>1564</v>
      </c>
      <c r="G18" t="s">
        <v>1565</v>
      </c>
      <c r="H18" t="s">
        <v>1866</v>
      </c>
      <c r="I18" t="s">
        <v>1566</v>
      </c>
      <c r="J18" t="s">
        <v>1707</v>
      </c>
      <c r="K18" t="s">
        <v>573</v>
      </c>
      <c r="L18" t="s">
        <v>1761</v>
      </c>
      <c r="N18" t="s">
        <v>1854</v>
      </c>
      <c r="O18" t="s">
        <v>1166</v>
      </c>
    </row>
    <row r="19" spans="1:17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101</v>
      </c>
      <c r="F19" t="s">
        <v>1573</v>
      </c>
      <c r="G19" t="s">
        <v>1574</v>
      </c>
      <c r="H19" t="s">
        <v>1866</v>
      </c>
      <c r="I19" t="s">
        <v>1575</v>
      </c>
      <c r="J19" t="s">
        <v>1707</v>
      </c>
      <c r="K19" t="s">
        <v>573</v>
      </c>
      <c r="L19" t="s">
        <v>1761</v>
      </c>
      <c r="N19" t="s">
        <v>1854</v>
      </c>
      <c r="O19" t="s">
        <v>1166</v>
      </c>
      <c r="Q19">
        <v>64</v>
      </c>
    </row>
    <row r="20" spans="1:17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102</v>
      </c>
      <c r="F20" t="s">
        <v>1603</v>
      </c>
      <c r="G20" t="s">
        <v>1604</v>
      </c>
      <c r="H20" t="s">
        <v>1866</v>
      </c>
      <c r="I20" t="s">
        <v>1605</v>
      </c>
      <c r="J20" t="s">
        <v>1707</v>
      </c>
      <c r="K20" t="s">
        <v>573</v>
      </c>
      <c r="L20" t="s">
        <v>1761</v>
      </c>
      <c r="N20" t="s">
        <v>1854</v>
      </c>
      <c r="O20" t="s">
        <v>1166</v>
      </c>
      <c r="Q20">
        <v>128</v>
      </c>
    </row>
    <row r="21" spans="1:17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F21" t="s">
        <v>1558</v>
      </c>
      <c r="G21" t="s">
        <v>1559</v>
      </c>
      <c r="H21" t="s">
        <v>1866</v>
      </c>
      <c r="I21" t="s">
        <v>1560</v>
      </c>
      <c r="J21" t="s">
        <v>1707</v>
      </c>
      <c r="K21" t="s">
        <v>573</v>
      </c>
      <c r="L21" t="s">
        <v>730</v>
      </c>
      <c r="N21" t="s">
        <v>1854</v>
      </c>
      <c r="O21" t="s">
        <v>1166</v>
      </c>
    </row>
    <row r="22" spans="1:17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101</v>
      </c>
      <c r="F22" t="s">
        <v>1554</v>
      </c>
      <c r="G22" t="s">
        <v>1555</v>
      </c>
      <c r="H22" t="s">
        <v>1866</v>
      </c>
      <c r="I22" t="s">
        <v>1556</v>
      </c>
      <c r="J22" t="s">
        <v>1707</v>
      </c>
      <c r="K22" t="s">
        <v>573</v>
      </c>
      <c r="L22" t="s">
        <v>730</v>
      </c>
      <c r="N22" t="s">
        <v>1854</v>
      </c>
      <c r="O22" t="s">
        <v>1166</v>
      </c>
      <c r="Q22">
        <v>32</v>
      </c>
    </row>
    <row r="23" spans="1:17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102</v>
      </c>
      <c r="F23" t="s">
        <v>1612</v>
      </c>
      <c r="G23" t="s">
        <v>1613</v>
      </c>
      <c r="H23" t="s">
        <v>29</v>
      </c>
      <c r="J23" t="s">
        <v>1707</v>
      </c>
      <c r="K23" t="s">
        <v>573</v>
      </c>
      <c r="L23" t="s">
        <v>730</v>
      </c>
      <c r="N23" t="s">
        <v>1854</v>
      </c>
    </row>
    <row r="24" spans="1:17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103</v>
      </c>
      <c r="F24" t="s">
        <v>1609</v>
      </c>
      <c r="G24" t="s">
        <v>1610</v>
      </c>
      <c r="H24" t="s">
        <v>1866</v>
      </c>
      <c r="I24" t="s">
        <v>1611</v>
      </c>
      <c r="J24" t="s">
        <v>1707</v>
      </c>
      <c r="K24" t="s">
        <v>573</v>
      </c>
      <c r="L24" t="s">
        <v>730</v>
      </c>
      <c r="N24" t="s">
        <v>1854</v>
      </c>
      <c r="O24" t="s">
        <v>1166</v>
      </c>
    </row>
    <row r="25" spans="1:17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104</v>
      </c>
      <c r="F25" t="s">
        <v>1561</v>
      </c>
      <c r="G25" t="s">
        <v>1562</v>
      </c>
      <c r="H25" t="s">
        <v>1866</v>
      </c>
      <c r="I25" t="s">
        <v>1563</v>
      </c>
      <c r="J25" t="s">
        <v>1707</v>
      </c>
      <c r="K25" t="s">
        <v>573</v>
      </c>
      <c r="L25" t="s">
        <v>730</v>
      </c>
      <c r="N25" t="s">
        <v>1854</v>
      </c>
      <c r="O25" t="s">
        <v>1166</v>
      </c>
    </row>
    <row r="26" spans="1:17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105</v>
      </c>
      <c r="F26" t="s">
        <v>1614</v>
      </c>
      <c r="G26" t="s">
        <v>1615</v>
      </c>
      <c r="H26" t="s">
        <v>1866</v>
      </c>
      <c r="J26" t="s">
        <v>1707</v>
      </c>
      <c r="K26" t="s">
        <v>573</v>
      </c>
      <c r="L26" t="s">
        <v>730</v>
      </c>
      <c r="N26" t="s">
        <v>1854</v>
      </c>
    </row>
    <row r="27" spans="1:17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106</v>
      </c>
      <c r="F27" t="s">
        <v>1616</v>
      </c>
      <c r="G27" t="s">
        <v>1617</v>
      </c>
      <c r="H27" t="s">
        <v>29</v>
      </c>
      <c r="J27" t="s">
        <v>1707</v>
      </c>
      <c r="K27" t="s">
        <v>573</v>
      </c>
      <c r="L27" t="s">
        <v>730</v>
      </c>
      <c r="N27" t="s">
        <v>1854</v>
      </c>
    </row>
    <row r="28" spans="1:17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107</v>
      </c>
      <c r="F28" t="s">
        <v>1576</v>
      </c>
      <c r="G28" t="s">
        <v>1577</v>
      </c>
      <c r="H28" t="s">
        <v>1866</v>
      </c>
      <c r="I28" t="s">
        <v>1578</v>
      </c>
      <c r="J28" t="s">
        <v>1707</v>
      </c>
      <c r="K28" t="s">
        <v>573</v>
      </c>
      <c r="L28" t="s">
        <v>730</v>
      </c>
      <c r="N28" t="s">
        <v>1854</v>
      </c>
      <c r="O28" t="s">
        <v>1166</v>
      </c>
      <c r="Q28">
        <v>32</v>
      </c>
    </row>
    <row r="29" spans="1:17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108</v>
      </c>
      <c r="F29" t="s">
        <v>1591</v>
      </c>
      <c r="G29" t="s">
        <v>1592</v>
      </c>
      <c r="H29" t="s">
        <v>1866</v>
      </c>
      <c r="I29" t="s">
        <v>1593</v>
      </c>
      <c r="J29" t="s">
        <v>1707</v>
      </c>
      <c r="K29" t="s">
        <v>573</v>
      </c>
      <c r="L29" t="s">
        <v>730</v>
      </c>
      <c r="N29" t="s">
        <v>1854</v>
      </c>
      <c r="O29" t="s">
        <v>1166</v>
      </c>
    </row>
    <row r="30" spans="1:17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109</v>
      </c>
      <c r="F30" t="s">
        <v>1606</v>
      </c>
      <c r="G30" t="s">
        <v>1607</v>
      </c>
      <c r="H30" t="s">
        <v>1866</v>
      </c>
      <c r="I30" t="s">
        <v>1608</v>
      </c>
      <c r="J30" t="s">
        <v>1707</v>
      </c>
      <c r="K30" t="s">
        <v>573</v>
      </c>
      <c r="L30" t="s">
        <v>730</v>
      </c>
      <c r="N30" t="s">
        <v>1854</v>
      </c>
      <c r="O30" t="s">
        <v>1166</v>
      </c>
    </row>
    <row r="31" spans="1:17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110</v>
      </c>
      <c r="F31" t="s">
        <v>1567</v>
      </c>
      <c r="G31" t="s">
        <v>1568</v>
      </c>
      <c r="H31" t="s">
        <v>1866</v>
      </c>
      <c r="I31" t="s">
        <v>1569</v>
      </c>
      <c r="J31" t="s">
        <v>1707</v>
      </c>
      <c r="K31" t="s">
        <v>573</v>
      </c>
      <c r="L31" t="s">
        <v>730</v>
      </c>
      <c r="N31" t="s">
        <v>1854</v>
      </c>
      <c r="O31" t="s">
        <v>1166</v>
      </c>
    </row>
    <row r="32" spans="1:17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111</v>
      </c>
      <c r="F32" t="s">
        <v>1579</v>
      </c>
      <c r="G32" t="s">
        <v>1580</v>
      </c>
      <c r="H32" t="s">
        <v>1866</v>
      </c>
      <c r="I32" t="s">
        <v>1581</v>
      </c>
      <c r="J32" t="s">
        <v>1707</v>
      </c>
      <c r="K32" t="s">
        <v>573</v>
      </c>
      <c r="L32" t="s">
        <v>730</v>
      </c>
      <c r="N32" t="s">
        <v>1854</v>
      </c>
      <c r="O32" t="s">
        <v>1166</v>
      </c>
    </row>
    <row r="33" spans="1:18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112</v>
      </c>
      <c r="F33" t="s">
        <v>1594</v>
      </c>
      <c r="G33" t="s">
        <v>1595</v>
      </c>
      <c r="H33" t="s">
        <v>1866</v>
      </c>
      <c r="I33" t="s">
        <v>1596</v>
      </c>
      <c r="J33" t="s">
        <v>1707</v>
      </c>
      <c r="K33" t="s">
        <v>573</v>
      </c>
      <c r="L33" t="s">
        <v>730</v>
      </c>
      <c r="N33" t="s">
        <v>1854</v>
      </c>
      <c r="O33" t="s">
        <v>1166</v>
      </c>
      <c r="Q33">
        <v>80</v>
      </c>
    </row>
    <row r="34" spans="1:18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113</v>
      </c>
      <c r="F34" t="s">
        <v>1618</v>
      </c>
      <c r="G34" t="s">
        <v>1619</v>
      </c>
      <c r="H34" t="s">
        <v>29</v>
      </c>
      <c r="J34" t="s">
        <v>1707</v>
      </c>
      <c r="K34" t="s">
        <v>573</v>
      </c>
      <c r="L34" t="s">
        <v>730</v>
      </c>
      <c r="N34" t="s">
        <v>1854</v>
      </c>
    </row>
    <row r="35" spans="1:18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114</v>
      </c>
      <c r="F35" t="s">
        <v>1582</v>
      </c>
      <c r="G35" t="s">
        <v>1583</v>
      </c>
      <c r="H35" t="s">
        <v>29</v>
      </c>
      <c r="I35" t="s">
        <v>1584</v>
      </c>
      <c r="J35" t="s">
        <v>1707</v>
      </c>
      <c r="K35" t="s">
        <v>573</v>
      </c>
      <c r="L35" t="s">
        <v>730</v>
      </c>
      <c r="N35" t="s">
        <v>1854</v>
      </c>
      <c r="O35" t="s">
        <v>1166</v>
      </c>
    </row>
    <row r="36" spans="1:18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115</v>
      </c>
      <c r="F36" t="s">
        <v>1597</v>
      </c>
      <c r="G36" t="s">
        <v>1598</v>
      </c>
      <c r="H36" t="s">
        <v>29</v>
      </c>
      <c r="I36" t="s">
        <v>1599</v>
      </c>
      <c r="J36" t="s">
        <v>1707</v>
      </c>
      <c r="K36" t="s">
        <v>573</v>
      </c>
      <c r="L36" t="s">
        <v>730</v>
      </c>
      <c r="N36" t="s">
        <v>1854</v>
      </c>
      <c r="O36" t="s">
        <v>1166</v>
      </c>
    </row>
    <row r="37" spans="1:18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116</v>
      </c>
      <c r="F37" t="s">
        <v>1570</v>
      </c>
      <c r="G37" t="s">
        <v>1571</v>
      </c>
      <c r="H37" t="s">
        <v>29</v>
      </c>
      <c r="I37" t="s">
        <v>1572</v>
      </c>
      <c r="J37" t="s">
        <v>1707</v>
      </c>
      <c r="K37" t="s">
        <v>573</v>
      </c>
      <c r="L37" t="s">
        <v>730</v>
      </c>
      <c r="N37" t="s">
        <v>1854</v>
      </c>
      <c r="O37" t="s">
        <v>1166</v>
      </c>
    </row>
    <row r="38" spans="1:18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117</v>
      </c>
      <c r="F38" t="s">
        <v>1585</v>
      </c>
      <c r="G38" t="s">
        <v>1586</v>
      </c>
      <c r="H38" t="s">
        <v>29</v>
      </c>
      <c r="I38" t="s">
        <v>1587</v>
      </c>
      <c r="J38" t="s">
        <v>1707</v>
      </c>
      <c r="K38" t="s">
        <v>573</v>
      </c>
      <c r="L38" t="s">
        <v>730</v>
      </c>
      <c r="N38" t="s">
        <v>1854</v>
      </c>
      <c r="O38" t="s">
        <v>1166</v>
      </c>
      <c r="Q38">
        <v>48</v>
      </c>
    </row>
    <row r="39" spans="1:18" x14ac:dyDescent="0.2">
      <c r="A39" t="str">
        <f ca="1">表_网址[[#This Row],[1级]]&amp;"-"&amp;表_网址[[#This Row],[2级]]&amp;"-"&amp;表_网址[[#This Row],[3级]]&amp;"-"&amp;表_网址[[#This Row],[级内]]</f>
        <v>1002-16-10-118</v>
      </c>
      <c r="B39" s="2">
        <f ca="1">MATCH(表_网址[[#This Row],[版层分类]],序列_版层分类,0)*1000+MATCH(表_网址[[#This Row],[首要关键词]],序列_首要关键词,0)</f>
        <v>1002</v>
      </c>
      <c r="C39" s="2">
        <f ca="1">IF(表_网址[[#This Row],[次要关键词]]="",10,MATCH(表_网址[[#This Row],[次要关键词]],序列_次要关键词,0)+10)</f>
        <v>16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118</v>
      </c>
      <c r="F39" t="s">
        <v>1600</v>
      </c>
      <c r="G39" t="s">
        <v>1601</v>
      </c>
      <c r="H39" t="s">
        <v>29</v>
      </c>
      <c r="I39" t="s">
        <v>1602</v>
      </c>
      <c r="J39" t="s">
        <v>1707</v>
      </c>
      <c r="K39" t="s">
        <v>573</v>
      </c>
      <c r="L39" t="s">
        <v>730</v>
      </c>
      <c r="N39" t="s">
        <v>1854</v>
      </c>
      <c r="O39" t="s">
        <v>1166</v>
      </c>
    </row>
    <row r="40" spans="1:18" x14ac:dyDescent="0.2">
      <c r="A40" t="str">
        <f ca="1">表_网址[[#This Row],[1级]]&amp;"-"&amp;表_网址[[#This Row],[2级]]&amp;"-"&amp;表_网址[[#This Row],[3级]]&amp;"-"&amp;表_网址[[#This Row],[级内]]</f>
        <v>1002-17-10-100</v>
      </c>
      <c r="B40" s="2">
        <f ca="1">MATCH(表_网址[[#This Row],[版层分类]],序列_版层分类,0)*1000+MATCH(表_网址[[#This Row],[首要关键词]],序列_首要关键词,0)</f>
        <v>1002</v>
      </c>
      <c r="C40" s="2">
        <f ca="1">IF(表_网址[[#This Row],[次要关键词]]="",10,MATCH(表_网址[[#This Row],[次要关键词]],序列_次要关键词,0)+10)</f>
        <v>17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100</v>
      </c>
      <c r="F40" t="s">
        <v>1865</v>
      </c>
      <c r="G40" s="8" t="s">
        <v>1863</v>
      </c>
      <c r="H40" t="s">
        <v>29</v>
      </c>
      <c r="I40" s="8" t="s">
        <v>1864</v>
      </c>
      <c r="J40" t="s">
        <v>1707</v>
      </c>
      <c r="K40" t="s">
        <v>573</v>
      </c>
      <c r="L40" t="s">
        <v>1861</v>
      </c>
      <c r="N40" t="s">
        <v>1854</v>
      </c>
      <c r="O40" t="s">
        <v>1166</v>
      </c>
      <c r="Q40">
        <v>32</v>
      </c>
    </row>
    <row r="41" spans="1:18" x14ac:dyDescent="0.2">
      <c r="A41" t="str">
        <f ca="1">表_网址[[#This Row],[1级]]&amp;"-"&amp;表_网址[[#This Row],[2级]]&amp;"-"&amp;表_网址[[#This Row],[3级]]&amp;"-"&amp;表_网址[[#This Row],[级内]]</f>
        <v>1002-17-10-101</v>
      </c>
      <c r="B41" s="2">
        <f ca="1">MATCH(表_网址[[#This Row],[版层分类]],序列_版层分类,0)*1000+MATCH(表_网址[[#This Row],[首要关键词]],序列_首要关键词,0)</f>
        <v>1002</v>
      </c>
      <c r="C41" s="2">
        <f ca="1">IF(表_网址[[#This Row],[次要关键词]]="",10,MATCH(表_网址[[#This Row],[次要关键词]],序列_次要关键词,0)+10)</f>
        <v>17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101</v>
      </c>
      <c r="F41" t="s">
        <v>1868</v>
      </c>
      <c r="G41" s="8" t="s">
        <v>1869</v>
      </c>
      <c r="I41" s="8" t="s">
        <v>1870</v>
      </c>
      <c r="J41" t="s">
        <v>1707</v>
      </c>
      <c r="K41" t="s">
        <v>573</v>
      </c>
      <c r="L41" t="s">
        <v>1861</v>
      </c>
      <c r="N41" t="s">
        <v>1854</v>
      </c>
      <c r="O41" t="s">
        <v>1166</v>
      </c>
      <c r="Q41">
        <v>32</v>
      </c>
    </row>
    <row r="42" spans="1:18" x14ac:dyDescent="0.2">
      <c r="A42" t="str">
        <f ca="1">表_网址[[#This Row],[1级]]&amp;"-"&amp;表_网址[[#This Row],[2级]]&amp;"-"&amp;表_网址[[#This Row],[3级]]&amp;"-"&amp;表_网址[[#This Row],[级内]]</f>
        <v>1003-10-10-100</v>
      </c>
      <c r="B42" s="2">
        <f ca="1">MATCH(表_网址[[#This Row],[版层分类]],序列_版层分类,0)*1000+MATCH(表_网址[[#This Row],[首要关键词]],序列_首要关键词,0)</f>
        <v>1003</v>
      </c>
      <c r="C42" s="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100</v>
      </c>
      <c r="F42" t="s">
        <v>591</v>
      </c>
      <c r="G42" t="s">
        <v>592</v>
      </c>
      <c r="H42" t="s">
        <v>29</v>
      </c>
      <c r="I42" t="s">
        <v>593</v>
      </c>
      <c r="J42" t="s">
        <v>1707</v>
      </c>
      <c r="K42" t="s">
        <v>594</v>
      </c>
      <c r="N42" t="s">
        <v>1854</v>
      </c>
      <c r="O42" t="s">
        <v>1166</v>
      </c>
      <c r="Q42">
        <v>16</v>
      </c>
    </row>
    <row r="43" spans="1:18" x14ac:dyDescent="0.2">
      <c r="A43" t="str">
        <f ca="1">表_网址[[#This Row],[1级]]&amp;"-"&amp;表_网址[[#This Row],[2级]]&amp;"-"&amp;表_网址[[#This Row],[3级]]&amp;"-"&amp;表_网址[[#This Row],[级内]]</f>
        <v>1003-10-10-101</v>
      </c>
      <c r="B43" s="2">
        <f ca="1">MATCH(表_网址[[#This Row],[版层分类]],序列_版层分类,0)*1000+MATCH(表_网址[[#This Row],[首要关键词]],序列_首要关键词,0)</f>
        <v>1003</v>
      </c>
      <c r="C43" s="2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101</v>
      </c>
      <c r="F43" t="s">
        <v>595</v>
      </c>
      <c r="G43" t="s">
        <v>596</v>
      </c>
      <c r="H43" t="s">
        <v>29</v>
      </c>
      <c r="I43" t="s">
        <v>597</v>
      </c>
      <c r="J43" t="s">
        <v>1707</v>
      </c>
      <c r="K43" t="s">
        <v>594</v>
      </c>
      <c r="N43" t="s">
        <v>1854</v>
      </c>
      <c r="O43" t="s">
        <v>1166</v>
      </c>
      <c r="Q43">
        <v>32</v>
      </c>
    </row>
    <row r="44" spans="1:18" x14ac:dyDescent="0.2">
      <c r="A44" t="str">
        <f ca="1">表_网址[[#This Row],[1级]]&amp;"-"&amp;表_网址[[#This Row],[2级]]&amp;"-"&amp;表_网址[[#This Row],[3级]]&amp;"-"&amp;表_网址[[#This Row],[级内]]</f>
        <v>1003-10-10-102</v>
      </c>
      <c r="B44" s="2">
        <f ca="1">MATCH(表_网址[[#This Row],[版层分类]],序列_版层分类,0)*1000+MATCH(表_网址[[#This Row],[首要关键词]],序列_首要关键词,0)</f>
        <v>1003</v>
      </c>
      <c r="C44" s="2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102</v>
      </c>
      <c r="F44" t="s">
        <v>598</v>
      </c>
      <c r="G44" t="s">
        <v>599</v>
      </c>
      <c r="H44" t="s">
        <v>29</v>
      </c>
      <c r="I44" t="s">
        <v>600</v>
      </c>
      <c r="J44" t="s">
        <v>1707</v>
      </c>
      <c r="K44" t="s">
        <v>594</v>
      </c>
      <c r="N44" t="s">
        <v>1854</v>
      </c>
      <c r="O44" t="s">
        <v>1166</v>
      </c>
      <c r="Q44">
        <v>48</v>
      </c>
    </row>
    <row r="45" spans="1:18" x14ac:dyDescent="0.2">
      <c r="A45" t="str">
        <f ca="1">表_网址[[#This Row],[1级]]&amp;"-"&amp;表_网址[[#This Row],[2级]]&amp;"-"&amp;表_网址[[#This Row],[3级]]&amp;"-"&amp;表_网址[[#This Row],[级内]]</f>
        <v>5001-10-10-100</v>
      </c>
      <c r="B45" s="2">
        <f ca="1">MATCH(表_网址[[#This Row],[版层分类]],序列_版层分类,0)*1000+MATCH(表_网址[[#This Row],[首要关键词]],序列_首要关键词,0)</f>
        <v>5001</v>
      </c>
      <c r="C45" s="2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698</v>
      </c>
      <c r="G45" t="s">
        <v>699</v>
      </c>
      <c r="H45" t="s">
        <v>29</v>
      </c>
      <c r="I45" t="s">
        <v>700</v>
      </c>
      <c r="J45" t="s">
        <v>1742</v>
      </c>
      <c r="K45" t="s">
        <v>1744</v>
      </c>
      <c r="N45" t="s">
        <v>1854</v>
      </c>
      <c r="O45" t="s">
        <v>1166</v>
      </c>
    </row>
    <row r="46" spans="1:18" x14ac:dyDescent="0.2">
      <c r="A46" t="str">
        <f ca="1">表_网址[[#This Row],[1级]]&amp;"-"&amp;表_网址[[#This Row],[2级]]&amp;"-"&amp;表_网址[[#This Row],[3级]]&amp;"-"&amp;表_网址[[#This Row],[级内]]</f>
        <v>5001-11-10-100</v>
      </c>
      <c r="B46" s="2">
        <f ca="1">MATCH(表_网址[[#This Row],[版层分类]],序列_版层分类,0)*1000+MATCH(表_网址[[#This Row],[首要关键词]],序列_首要关键词,0)</f>
        <v>5001</v>
      </c>
      <c r="C46" s="2">
        <f ca="1">IF(表_网址[[#This Row],[次要关键词]]="",10,MATCH(表_网址[[#This Row],[次要关键词]],序列_次要关键词,0)+10)</f>
        <v>11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100</v>
      </c>
      <c r="F46" t="s">
        <v>108</v>
      </c>
      <c r="G46" t="s">
        <v>109</v>
      </c>
      <c r="H46" t="s">
        <v>29</v>
      </c>
      <c r="I46" t="s">
        <v>110</v>
      </c>
      <c r="J46" t="s">
        <v>1742</v>
      </c>
      <c r="K46" t="s">
        <v>1744</v>
      </c>
      <c r="L46" t="s">
        <v>701</v>
      </c>
      <c r="N46" t="s">
        <v>1854</v>
      </c>
      <c r="Q46">
        <v>16</v>
      </c>
      <c r="R46" t="s">
        <v>1832</v>
      </c>
    </row>
    <row r="47" spans="1:18" x14ac:dyDescent="0.2">
      <c r="A47" t="str">
        <f ca="1">表_网址[[#This Row],[1级]]&amp;"-"&amp;表_网址[[#This Row],[2级]]&amp;"-"&amp;表_网址[[#This Row],[3级]]&amp;"-"&amp;表_网址[[#This Row],[级内]]</f>
        <v>5001-12-10-100</v>
      </c>
      <c r="B47" s="2">
        <f ca="1">MATCH(表_网址[[#This Row],[版层分类]],序列_版层分类,0)*1000+MATCH(表_网址[[#This Row],[首要关键词]],序列_首要关键词,0)</f>
        <v>5001</v>
      </c>
      <c r="C47" s="2">
        <f ca="1">IF(表_网址[[#This Row],[次要关键词]]="",10,MATCH(表_网址[[#This Row],[次要关键词]],序列_次要关键词,0)+10)</f>
        <v>12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100</v>
      </c>
      <c r="F47" t="s">
        <v>702</v>
      </c>
      <c r="G47" t="s">
        <v>703</v>
      </c>
      <c r="H47" t="s">
        <v>29</v>
      </c>
      <c r="I47" t="s">
        <v>704</v>
      </c>
      <c r="J47" t="s">
        <v>1742</v>
      </c>
      <c r="K47" t="s">
        <v>1744</v>
      </c>
      <c r="L47" t="s">
        <v>705</v>
      </c>
      <c r="N47" t="s">
        <v>1854</v>
      </c>
      <c r="Q47">
        <v>64</v>
      </c>
      <c r="R47" t="s">
        <v>1832</v>
      </c>
    </row>
    <row r="48" spans="1:18" x14ac:dyDescent="0.2">
      <c r="A48" t="str">
        <f ca="1">表_网址[[#This Row],[1级]]&amp;"-"&amp;表_网址[[#This Row],[2级]]&amp;"-"&amp;表_网址[[#This Row],[3级]]&amp;"-"&amp;表_网址[[#This Row],[级内]]</f>
        <v>5001-12-10-101</v>
      </c>
      <c r="B48" s="2">
        <f ca="1">MATCH(表_网址[[#This Row],[版层分类]],序列_版层分类,0)*1000+MATCH(表_网址[[#This Row],[首要关键词]],序列_首要关键词,0)</f>
        <v>5001</v>
      </c>
      <c r="C48" s="2">
        <f ca="1">IF(表_网址[[#This Row],[次要关键词]]="",10,MATCH(表_网址[[#This Row],[次要关键词]],序列_次要关键词,0)+10)</f>
        <v>12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101</v>
      </c>
      <c r="F48" t="s">
        <v>706</v>
      </c>
      <c r="G48" t="s">
        <v>707</v>
      </c>
      <c r="H48" t="s">
        <v>29</v>
      </c>
      <c r="J48" t="s">
        <v>1742</v>
      </c>
      <c r="K48" t="s">
        <v>1744</v>
      </c>
      <c r="L48" t="s">
        <v>705</v>
      </c>
      <c r="N48" t="s">
        <v>1854</v>
      </c>
      <c r="R48" t="s">
        <v>1832</v>
      </c>
    </row>
    <row r="49" spans="1:18" x14ac:dyDescent="0.2">
      <c r="A49" t="str">
        <f ca="1">表_网址[[#This Row],[1级]]&amp;"-"&amp;表_网址[[#This Row],[2级]]&amp;"-"&amp;表_网址[[#This Row],[3级]]&amp;"-"&amp;表_网址[[#This Row],[级内]]</f>
        <v>5001-12-10-102</v>
      </c>
      <c r="B49" s="2">
        <f ca="1">MATCH(表_网址[[#This Row],[版层分类]],序列_版层分类,0)*1000+MATCH(表_网址[[#This Row],[首要关键词]],序列_首要关键词,0)</f>
        <v>5001</v>
      </c>
      <c r="C49" s="2">
        <f ca="1">IF(表_网址[[#This Row],[次要关键词]]="",10,MATCH(表_网址[[#This Row],[次要关键词]],序列_次要关键词,0)+10)</f>
        <v>12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102</v>
      </c>
      <c r="F49" t="s">
        <v>708</v>
      </c>
      <c r="G49" t="s">
        <v>709</v>
      </c>
      <c r="H49" t="s">
        <v>29</v>
      </c>
      <c r="J49" t="s">
        <v>1742</v>
      </c>
      <c r="K49" t="s">
        <v>1744</v>
      </c>
      <c r="L49" t="s">
        <v>705</v>
      </c>
      <c r="N49" t="s">
        <v>1854</v>
      </c>
      <c r="R49" t="s">
        <v>1832</v>
      </c>
    </row>
    <row r="50" spans="1:18" x14ac:dyDescent="0.2">
      <c r="A50" t="str">
        <f ca="1">表_网址[[#This Row],[1级]]&amp;"-"&amp;表_网址[[#This Row],[2级]]&amp;"-"&amp;表_网址[[#This Row],[3级]]&amp;"-"&amp;表_网址[[#This Row],[级内]]</f>
        <v>5001-13-10-100</v>
      </c>
      <c r="B50" s="2">
        <f ca="1">MATCH(表_网址[[#This Row],[版层分类]],序列_版层分类,0)*1000+MATCH(表_网址[[#This Row],[首要关键词]],序列_首要关键词,0)</f>
        <v>5001</v>
      </c>
      <c r="C50" s="2">
        <f ca="1">IF(表_网址[[#This Row],[次要关键词]]="",10,MATCH(表_网址[[#This Row],[次要关键词]],序列_次要关键词,0)+10)</f>
        <v>13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100</v>
      </c>
      <c r="F50" t="s">
        <v>710</v>
      </c>
      <c r="G50" t="s">
        <v>711</v>
      </c>
      <c r="H50" t="s">
        <v>29</v>
      </c>
      <c r="I50" t="s">
        <v>712</v>
      </c>
      <c r="J50" t="s">
        <v>1742</v>
      </c>
      <c r="K50" t="s">
        <v>1744</v>
      </c>
      <c r="L50" t="s">
        <v>713</v>
      </c>
      <c r="N50" t="s">
        <v>1854</v>
      </c>
      <c r="R50" t="s">
        <v>1832</v>
      </c>
    </row>
    <row r="51" spans="1:18" x14ac:dyDescent="0.2">
      <c r="A51" t="str">
        <f ca="1">表_网址[[#This Row],[1级]]&amp;"-"&amp;表_网址[[#This Row],[2级]]&amp;"-"&amp;表_网址[[#This Row],[3级]]&amp;"-"&amp;表_网址[[#This Row],[级内]]</f>
        <v>5001-14-10-100</v>
      </c>
      <c r="B51" s="2">
        <f ca="1">MATCH(表_网址[[#This Row],[版层分类]],序列_版层分类,0)*1000+MATCH(表_网址[[#This Row],[首要关键词]],序列_首要关键词,0)</f>
        <v>5001</v>
      </c>
      <c r="C51" s="2">
        <f ca="1">IF(表_网址[[#This Row],[次要关键词]]="",10,MATCH(表_网址[[#This Row],[次要关键词]],序列_次要关键词,0)+10)</f>
        <v>14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100</v>
      </c>
      <c r="F51" t="s">
        <v>714</v>
      </c>
      <c r="G51" t="s">
        <v>715</v>
      </c>
      <c r="H51" t="s">
        <v>29</v>
      </c>
      <c r="I51" t="s">
        <v>716</v>
      </c>
      <c r="J51" t="s">
        <v>1742</v>
      </c>
      <c r="K51" t="s">
        <v>1744</v>
      </c>
      <c r="L51" t="s">
        <v>717</v>
      </c>
      <c r="N51" t="s">
        <v>1854</v>
      </c>
      <c r="O51" t="s">
        <v>1166</v>
      </c>
      <c r="Q51">
        <v>16</v>
      </c>
      <c r="R51" t="s">
        <v>1832</v>
      </c>
    </row>
    <row r="52" spans="1:18" x14ac:dyDescent="0.2">
      <c r="A52" t="str">
        <f ca="1">表_网址[[#This Row],[1级]]&amp;"-"&amp;表_网址[[#This Row],[2级]]&amp;"-"&amp;表_网址[[#This Row],[3级]]&amp;"-"&amp;表_网址[[#This Row],[级内]]</f>
        <v>5001-14-10-101</v>
      </c>
      <c r="B52" s="2">
        <f ca="1">MATCH(表_网址[[#This Row],[版层分类]],序列_版层分类,0)*1000+MATCH(表_网址[[#This Row],[首要关键词]],序列_首要关键词,0)</f>
        <v>5001</v>
      </c>
      <c r="C52" s="2">
        <f ca="1">IF(表_网址[[#This Row],[次要关键词]]="",10,MATCH(表_网址[[#This Row],[次要关键词]],序列_次要关键词,0)+10)</f>
        <v>14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101</v>
      </c>
      <c r="F52" t="s">
        <v>718</v>
      </c>
      <c r="G52" t="s">
        <v>719</v>
      </c>
      <c r="H52" t="s">
        <v>29</v>
      </c>
      <c r="I52" t="s">
        <v>720</v>
      </c>
      <c r="J52" t="s">
        <v>1742</v>
      </c>
      <c r="K52" t="s">
        <v>1744</v>
      </c>
      <c r="L52" t="s">
        <v>717</v>
      </c>
      <c r="N52" t="s">
        <v>1854</v>
      </c>
      <c r="R52" t="s">
        <v>1832</v>
      </c>
    </row>
    <row r="53" spans="1:18" x14ac:dyDescent="0.2">
      <c r="A53" t="str">
        <f ca="1">表_网址[[#This Row],[1级]]&amp;"-"&amp;表_网址[[#This Row],[2级]]&amp;"-"&amp;表_网址[[#This Row],[3级]]&amp;"-"&amp;表_网址[[#This Row],[级内]]</f>
        <v>5001-14-10-102</v>
      </c>
      <c r="B53" s="2">
        <f ca="1">MATCH(表_网址[[#This Row],[版层分类]],序列_版层分类,0)*1000+MATCH(表_网址[[#This Row],[首要关键词]],序列_首要关键词,0)</f>
        <v>5001</v>
      </c>
      <c r="C53" s="2">
        <f ca="1">IF(表_网址[[#This Row],[次要关键词]]="",10,MATCH(表_网址[[#This Row],[次要关键词]],序列_次要关键词,0)+10)</f>
        <v>14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102</v>
      </c>
      <c r="F53" t="s">
        <v>721</v>
      </c>
      <c r="G53" t="s">
        <v>722</v>
      </c>
      <c r="H53" t="s">
        <v>29</v>
      </c>
      <c r="I53" t="s">
        <v>723</v>
      </c>
      <c r="J53" t="s">
        <v>1742</v>
      </c>
      <c r="K53" t="s">
        <v>1744</v>
      </c>
      <c r="L53" t="s">
        <v>717</v>
      </c>
      <c r="N53" t="s">
        <v>1854</v>
      </c>
      <c r="Q53">
        <v>16</v>
      </c>
      <c r="R53" t="s">
        <v>1832</v>
      </c>
    </row>
    <row r="54" spans="1:18" x14ac:dyDescent="0.2">
      <c r="A54" t="str">
        <f ca="1">表_网址[[#This Row],[1级]]&amp;"-"&amp;表_网址[[#This Row],[2级]]&amp;"-"&amp;表_网址[[#This Row],[3级]]&amp;"-"&amp;表_网址[[#This Row],[级内]]</f>
        <v>5001-14-10-103</v>
      </c>
      <c r="B54" s="2">
        <f ca="1">MATCH(表_网址[[#This Row],[版层分类]],序列_版层分类,0)*1000+MATCH(表_网址[[#This Row],[首要关键词]],序列_首要关键词,0)</f>
        <v>5001</v>
      </c>
      <c r="C54" s="2">
        <f ca="1">IF(表_网址[[#This Row],[次要关键词]]="",10,MATCH(表_网址[[#This Row],[次要关键词]],序列_次要关键词,0)+10)</f>
        <v>14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103</v>
      </c>
      <c r="F54" t="s">
        <v>724</v>
      </c>
      <c r="G54" t="s">
        <v>725</v>
      </c>
      <c r="H54" t="s">
        <v>29</v>
      </c>
      <c r="I54" t="s">
        <v>726</v>
      </c>
      <c r="J54" t="s">
        <v>1742</v>
      </c>
      <c r="K54" t="s">
        <v>1744</v>
      </c>
      <c r="L54" t="s">
        <v>717</v>
      </c>
      <c r="N54" t="s">
        <v>1854</v>
      </c>
      <c r="Q54">
        <v>16</v>
      </c>
      <c r="R54" t="s">
        <v>1832</v>
      </c>
    </row>
    <row r="55" spans="1:18" x14ac:dyDescent="0.2">
      <c r="A55" t="str">
        <f ca="1">表_网址[[#This Row],[1级]]&amp;"-"&amp;表_网址[[#This Row],[2级]]&amp;"-"&amp;表_网址[[#This Row],[3级]]&amp;"-"&amp;表_网址[[#This Row],[级内]]</f>
        <v>5001-14-10-104</v>
      </c>
      <c r="B55" s="2">
        <f ca="1">MATCH(表_网址[[#This Row],[版层分类]],序列_版层分类,0)*1000+MATCH(表_网址[[#This Row],[首要关键词]],序列_首要关键词,0)</f>
        <v>5001</v>
      </c>
      <c r="C55" s="2">
        <f ca="1">IF(表_网址[[#This Row],[次要关键词]]="",10,MATCH(表_网址[[#This Row],[次要关键词]],序列_次要关键词,0)+10)</f>
        <v>14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104</v>
      </c>
      <c r="F55" t="s">
        <v>727</v>
      </c>
      <c r="G55" t="s">
        <v>728</v>
      </c>
      <c r="H55" t="s">
        <v>29</v>
      </c>
      <c r="I55" t="s">
        <v>729</v>
      </c>
      <c r="J55" t="s">
        <v>1742</v>
      </c>
      <c r="K55" t="s">
        <v>1744</v>
      </c>
      <c r="L55" t="s">
        <v>717</v>
      </c>
      <c r="N55" t="s">
        <v>1854</v>
      </c>
      <c r="O55" t="s">
        <v>1166</v>
      </c>
      <c r="Q55">
        <v>16</v>
      </c>
      <c r="R55" t="s">
        <v>1832</v>
      </c>
    </row>
    <row r="56" spans="1:18" x14ac:dyDescent="0.2">
      <c r="A56" t="str">
        <f ca="1">表_网址[[#This Row],[1级]]&amp;"-"&amp;表_网址[[#This Row],[2级]]&amp;"-"&amp;表_网址[[#This Row],[3级]]&amp;"-"&amp;表_网址[[#This Row],[级内]]</f>
        <v>5001-15-10-100</v>
      </c>
      <c r="B56" s="2">
        <f ca="1">MATCH(表_网址[[#This Row],[版层分类]],序列_版层分类,0)*1000+MATCH(表_网址[[#This Row],[首要关键词]],序列_首要关键词,0)</f>
        <v>5001</v>
      </c>
      <c r="C56" s="2">
        <f ca="1">IF(表_网址[[#This Row],[次要关键词]]="",10,MATCH(表_网址[[#This Row],[次要关键词]],序列_次要关键词,0)+10)</f>
        <v>15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100</v>
      </c>
      <c r="F56" t="s">
        <v>698</v>
      </c>
      <c r="G56" t="s">
        <v>699</v>
      </c>
      <c r="H56" t="s">
        <v>29</v>
      </c>
      <c r="I56" t="s">
        <v>700</v>
      </c>
      <c r="J56" t="s">
        <v>1742</v>
      </c>
      <c r="K56" t="s">
        <v>1744</v>
      </c>
      <c r="L56" t="s">
        <v>730</v>
      </c>
      <c r="N56" t="s">
        <v>1854</v>
      </c>
      <c r="O56" t="s">
        <v>1166</v>
      </c>
      <c r="Q56">
        <v>48</v>
      </c>
      <c r="R56" t="s">
        <v>1832</v>
      </c>
    </row>
    <row r="57" spans="1:18" x14ac:dyDescent="0.2">
      <c r="A57" t="str">
        <f ca="1">表_网址[[#This Row],[1级]]&amp;"-"&amp;表_网址[[#This Row],[2级]]&amp;"-"&amp;表_网址[[#This Row],[3级]]&amp;"-"&amp;表_网址[[#This Row],[级内]]</f>
        <v>5001-15-10-101</v>
      </c>
      <c r="B57" s="2">
        <f ca="1">MATCH(表_网址[[#This Row],[版层分类]],序列_版层分类,0)*1000+MATCH(表_网址[[#This Row],[首要关键词]],序列_首要关键词,0)</f>
        <v>5001</v>
      </c>
      <c r="C57" s="2">
        <f ca="1">IF(表_网址[[#This Row],[次要关键词]]="",10,MATCH(表_网址[[#This Row],[次要关键词]],序列_次要关键词,0)+10)</f>
        <v>15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101</v>
      </c>
      <c r="F57" t="s">
        <v>731</v>
      </c>
      <c r="G57" t="s">
        <v>732</v>
      </c>
      <c r="H57" t="s">
        <v>29</v>
      </c>
      <c r="I57" t="s">
        <v>733</v>
      </c>
      <c r="J57" t="s">
        <v>1742</v>
      </c>
      <c r="K57" t="s">
        <v>1744</v>
      </c>
      <c r="L57" t="s">
        <v>730</v>
      </c>
      <c r="N57" t="s">
        <v>1854</v>
      </c>
      <c r="R57" t="s">
        <v>1832</v>
      </c>
    </row>
    <row r="58" spans="1:18" x14ac:dyDescent="0.2">
      <c r="A58" t="str">
        <f ca="1">表_网址[[#This Row],[1级]]&amp;"-"&amp;表_网址[[#This Row],[2级]]&amp;"-"&amp;表_网址[[#This Row],[3级]]&amp;"-"&amp;表_网址[[#This Row],[级内]]</f>
        <v>5001-15-10-102</v>
      </c>
      <c r="B58" s="2">
        <f ca="1">MATCH(表_网址[[#This Row],[版层分类]],序列_版层分类,0)*1000+MATCH(表_网址[[#This Row],[首要关键词]],序列_首要关键词,0)</f>
        <v>5001</v>
      </c>
      <c r="C58" s="2">
        <f ca="1">IF(表_网址[[#This Row],[次要关键词]]="",10,MATCH(表_网址[[#This Row],[次要关键词]],序列_次要关键词,0)+10)</f>
        <v>15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102</v>
      </c>
      <c r="F58" t="s">
        <v>734</v>
      </c>
      <c r="G58" t="s">
        <v>735</v>
      </c>
      <c r="H58" t="s">
        <v>29</v>
      </c>
      <c r="I58" t="s">
        <v>736</v>
      </c>
      <c r="J58" t="s">
        <v>1742</v>
      </c>
      <c r="K58" t="s">
        <v>1744</v>
      </c>
      <c r="L58" t="s">
        <v>730</v>
      </c>
      <c r="N58" t="s">
        <v>1854</v>
      </c>
      <c r="Q58">
        <v>16</v>
      </c>
      <c r="R58" t="s">
        <v>1832</v>
      </c>
    </row>
    <row r="59" spans="1:18" x14ac:dyDescent="0.2">
      <c r="A59" t="str">
        <f ca="1">表_网址[[#This Row],[1级]]&amp;"-"&amp;表_网址[[#This Row],[2级]]&amp;"-"&amp;表_网址[[#This Row],[3级]]&amp;"-"&amp;表_网址[[#This Row],[级内]]</f>
        <v>5001-15-10-103</v>
      </c>
      <c r="B59" s="2">
        <f ca="1">MATCH(表_网址[[#This Row],[版层分类]],序列_版层分类,0)*1000+MATCH(表_网址[[#This Row],[首要关键词]],序列_首要关键词,0)</f>
        <v>5001</v>
      </c>
      <c r="C59" s="2">
        <f ca="1">IF(表_网址[[#This Row],[次要关键词]]="",10,MATCH(表_网址[[#This Row],[次要关键词]],序列_次要关键词,0)+10)</f>
        <v>15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103</v>
      </c>
      <c r="F59" t="s">
        <v>737</v>
      </c>
      <c r="G59" t="s">
        <v>738</v>
      </c>
      <c r="H59" t="s">
        <v>29</v>
      </c>
      <c r="I59" t="s">
        <v>739</v>
      </c>
      <c r="J59" t="s">
        <v>1742</v>
      </c>
      <c r="K59" t="s">
        <v>1744</v>
      </c>
      <c r="L59" t="s">
        <v>730</v>
      </c>
      <c r="N59" t="s">
        <v>1854</v>
      </c>
      <c r="O59" t="s">
        <v>1166</v>
      </c>
      <c r="Q59">
        <v>16</v>
      </c>
      <c r="R59" t="s">
        <v>1832</v>
      </c>
    </row>
    <row r="60" spans="1:18" x14ac:dyDescent="0.2">
      <c r="A60" t="str">
        <f ca="1">表_网址[[#This Row],[1级]]&amp;"-"&amp;表_网址[[#This Row],[2级]]&amp;"-"&amp;表_网址[[#This Row],[3级]]&amp;"-"&amp;表_网址[[#This Row],[级内]]</f>
        <v>5001-15-10-104</v>
      </c>
      <c r="B60" s="2">
        <f ca="1">MATCH(表_网址[[#This Row],[版层分类]],序列_版层分类,0)*1000+MATCH(表_网址[[#This Row],[首要关键词]],序列_首要关键词,0)</f>
        <v>5001</v>
      </c>
      <c r="C60" s="2">
        <f ca="1">IF(表_网址[[#This Row],[次要关键词]]="",10,MATCH(表_网址[[#This Row],[次要关键词]],序列_次要关键词,0)+10)</f>
        <v>15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104</v>
      </c>
      <c r="F60" t="s">
        <v>740</v>
      </c>
      <c r="G60" t="s">
        <v>741</v>
      </c>
      <c r="H60" t="s">
        <v>29</v>
      </c>
      <c r="I60" t="s">
        <v>742</v>
      </c>
      <c r="J60" t="s">
        <v>1742</v>
      </c>
      <c r="K60" t="s">
        <v>1744</v>
      </c>
      <c r="L60" t="s">
        <v>730</v>
      </c>
      <c r="N60" t="s">
        <v>1854</v>
      </c>
      <c r="O60" t="s">
        <v>1166</v>
      </c>
      <c r="Q60">
        <v>16</v>
      </c>
      <c r="R60" t="s">
        <v>1832</v>
      </c>
    </row>
    <row r="61" spans="1:18" x14ac:dyDescent="0.2">
      <c r="A61" t="str">
        <f ca="1">表_网址[[#This Row],[1级]]&amp;"-"&amp;表_网址[[#This Row],[2级]]&amp;"-"&amp;表_网址[[#This Row],[3级]]&amp;"-"&amp;表_网址[[#This Row],[级内]]</f>
        <v>5001-15-10-105</v>
      </c>
      <c r="B61" s="2">
        <f ca="1">MATCH(表_网址[[#This Row],[版层分类]],序列_版层分类,0)*1000+MATCH(表_网址[[#This Row],[首要关键词]],序列_首要关键词,0)</f>
        <v>5001</v>
      </c>
      <c r="C61" s="2">
        <f ca="1">IF(表_网址[[#This Row],[次要关键词]]="",10,MATCH(表_网址[[#This Row],[次要关键词]],序列_次要关键词,0)+10)</f>
        <v>15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105</v>
      </c>
      <c r="F61" t="s">
        <v>743</v>
      </c>
      <c r="G61" t="s">
        <v>744</v>
      </c>
      <c r="H61" t="s">
        <v>29</v>
      </c>
      <c r="I61" t="s">
        <v>745</v>
      </c>
      <c r="J61" t="s">
        <v>1742</v>
      </c>
      <c r="K61" t="s">
        <v>1744</v>
      </c>
      <c r="L61" t="s">
        <v>730</v>
      </c>
      <c r="N61" t="s">
        <v>1854</v>
      </c>
      <c r="O61" t="s">
        <v>1166</v>
      </c>
      <c r="Q61">
        <v>16</v>
      </c>
      <c r="R61" t="s">
        <v>1832</v>
      </c>
    </row>
    <row r="62" spans="1:18" x14ac:dyDescent="0.2">
      <c r="A62" t="str">
        <f ca="1">表_网址[[#This Row],[1级]]&amp;"-"&amp;表_网址[[#This Row],[2级]]&amp;"-"&amp;表_网址[[#This Row],[3级]]&amp;"-"&amp;表_网址[[#This Row],[级内]]</f>
        <v>5001-15-10-106</v>
      </c>
      <c r="B62" s="2">
        <f ca="1">MATCH(表_网址[[#This Row],[版层分类]],序列_版层分类,0)*1000+MATCH(表_网址[[#This Row],[首要关键词]],序列_首要关键词,0)</f>
        <v>5001</v>
      </c>
      <c r="C62" s="2">
        <f ca="1">IF(表_网址[[#This Row],[次要关键词]]="",10,MATCH(表_网址[[#This Row],[次要关键词]],序列_次要关键词,0)+10)</f>
        <v>15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106</v>
      </c>
      <c r="F62" t="s">
        <v>746</v>
      </c>
      <c r="G62" t="s">
        <v>747</v>
      </c>
      <c r="H62" t="s">
        <v>29</v>
      </c>
      <c r="I62" t="s">
        <v>748</v>
      </c>
      <c r="J62" t="s">
        <v>1742</v>
      </c>
      <c r="K62" t="s">
        <v>1744</v>
      </c>
      <c r="L62" t="s">
        <v>730</v>
      </c>
      <c r="N62" t="s">
        <v>1854</v>
      </c>
      <c r="O62" t="s">
        <v>1166</v>
      </c>
      <c r="Q62">
        <v>48</v>
      </c>
      <c r="R62" t="s">
        <v>1832</v>
      </c>
    </row>
    <row r="63" spans="1:18" x14ac:dyDescent="0.2">
      <c r="A63" t="str">
        <f ca="1">表_网址[[#This Row],[1级]]&amp;"-"&amp;表_网址[[#This Row],[2级]]&amp;"-"&amp;表_网址[[#This Row],[3级]]&amp;"-"&amp;表_网址[[#This Row],[级内]]</f>
        <v>5001-15-10-107</v>
      </c>
      <c r="B63" s="2">
        <f ca="1">MATCH(表_网址[[#This Row],[版层分类]],序列_版层分类,0)*1000+MATCH(表_网址[[#This Row],[首要关键词]],序列_首要关键词,0)</f>
        <v>5001</v>
      </c>
      <c r="C63" s="2">
        <f ca="1">IF(表_网址[[#This Row],[次要关键词]]="",10,MATCH(表_网址[[#This Row],[次要关键词]],序列_次要关键词,0)+10)</f>
        <v>15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107</v>
      </c>
      <c r="F63" t="s">
        <v>749</v>
      </c>
      <c r="G63" t="s">
        <v>750</v>
      </c>
      <c r="H63" t="s">
        <v>29</v>
      </c>
      <c r="I63" t="s">
        <v>751</v>
      </c>
      <c r="J63" t="s">
        <v>1742</v>
      </c>
      <c r="K63" t="s">
        <v>1744</v>
      </c>
      <c r="L63" t="s">
        <v>730</v>
      </c>
      <c r="N63" t="s">
        <v>1854</v>
      </c>
      <c r="Q63">
        <v>16</v>
      </c>
      <c r="R63" t="s">
        <v>1832</v>
      </c>
    </row>
    <row r="64" spans="1:18" x14ac:dyDescent="0.2">
      <c r="A64" t="str">
        <f ca="1">表_网址[[#This Row],[1级]]&amp;"-"&amp;表_网址[[#This Row],[2级]]&amp;"-"&amp;表_网址[[#This Row],[3级]]&amp;"-"&amp;表_网址[[#This Row],[级内]]</f>
        <v>5001-15-10-108</v>
      </c>
      <c r="B64" s="2">
        <f ca="1">MATCH(表_网址[[#This Row],[版层分类]],序列_版层分类,0)*1000+MATCH(表_网址[[#This Row],[首要关键词]],序列_首要关键词,0)</f>
        <v>5001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108</v>
      </c>
      <c r="F64" t="s">
        <v>752</v>
      </c>
      <c r="G64" t="s">
        <v>753</v>
      </c>
      <c r="H64" t="s">
        <v>29</v>
      </c>
      <c r="I64" t="s">
        <v>754</v>
      </c>
      <c r="J64" t="s">
        <v>1742</v>
      </c>
      <c r="K64" t="s">
        <v>1744</v>
      </c>
      <c r="L64" t="s">
        <v>730</v>
      </c>
      <c r="N64" t="s">
        <v>1854</v>
      </c>
      <c r="O64" t="s">
        <v>1166</v>
      </c>
      <c r="Q64">
        <v>16</v>
      </c>
      <c r="R64" t="s">
        <v>1832</v>
      </c>
    </row>
    <row r="65" spans="1:18" x14ac:dyDescent="0.2">
      <c r="A65" t="str">
        <f ca="1">表_网址[[#This Row],[1级]]&amp;"-"&amp;表_网址[[#This Row],[2级]]&amp;"-"&amp;表_网址[[#This Row],[3级]]&amp;"-"&amp;表_网址[[#This Row],[级内]]</f>
        <v>5001-15-10-109</v>
      </c>
      <c r="B65" s="2">
        <f ca="1">MATCH(表_网址[[#This Row],[版层分类]],序列_版层分类,0)*1000+MATCH(表_网址[[#This Row],[首要关键词]],序列_首要关键词,0)</f>
        <v>5001</v>
      </c>
      <c r="C65" s="2">
        <f ca="1">IF(表_网址[[#This Row],[次要关键词]]="",10,MATCH(表_网址[[#This Row],[次要关键词]],序列_次要关键词,0)+10)</f>
        <v>15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109</v>
      </c>
      <c r="F65" t="s">
        <v>755</v>
      </c>
      <c r="G65" t="s">
        <v>756</v>
      </c>
      <c r="H65" t="s">
        <v>29</v>
      </c>
      <c r="I65" t="s">
        <v>757</v>
      </c>
      <c r="J65" t="s">
        <v>1742</v>
      </c>
      <c r="K65" t="s">
        <v>1744</v>
      </c>
      <c r="L65" t="s">
        <v>730</v>
      </c>
      <c r="N65" t="s">
        <v>1854</v>
      </c>
      <c r="R65" t="s">
        <v>1832</v>
      </c>
    </row>
    <row r="66" spans="1:18" x14ac:dyDescent="0.2">
      <c r="A66" t="str">
        <f ca="1">表_网址[[#This Row],[1级]]&amp;"-"&amp;表_网址[[#This Row],[2级]]&amp;"-"&amp;表_网址[[#This Row],[3级]]&amp;"-"&amp;表_网址[[#This Row],[级内]]</f>
        <v>5001-15-10-110</v>
      </c>
      <c r="B66" s="2">
        <f ca="1">MATCH(表_网址[[#This Row],[版层分类]],序列_版层分类,0)*1000+MATCH(表_网址[[#This Row],[首要关键词]],序列_首要关键词,0)</f>
        <v>5001</v>
      </c>
      <c r="C66" s="2">
        <f ca="1">IF(表_网址[[#This Row],[次要关键词]]="",10,MATCH(表_网址[[#This Row],[次要关键词]],序列_次要关键词,0)+10)</f>
        <v>15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110</v>
      </c>
      <c r="F66" t="s">
        <v>758</v>
      </c>
      <c r="G66" t="s">
        <v>759</v>
      </c>
      <c r="H66" t="s">
        <v>29</v>
      </c>
      <c r="I66" t="s">
        <v>760</v>
      </c>
      <c r="J66" t="s">
        <v>1742</v>
      </c>
      <c r="K66" t="s">
        <v>1744</v>
      </c>
      <c r="L66" t="s">
        <v>730</v>
      </c>
      <c r="N66" t="s">
        <v>1854</v>
      </c>
      <c r="R66" t="s">
        <v>1832</v>
      </c>
    </row>
    <row r="67" spans="1:18" x14ac:dyDescent="0.2">
      <c r="A67" t="str">
        <f ca="1">表_网址[[#This Row],[1级]]&amp;"-"&amp;表_网址[[#This Row],[2级]]&amp;"-"&amp;表_网址[[#This Row],[3级]]&amp;"-"&amp;表_网址[[#This Row],[级内]]</f>
        <v>5001-15-10-111</v>
      </c>
      <c r="B67" s="2">
        <f ca="1">MATCH(表_网址[[#This Row],[版层分类]],序列_版层分类,0)*1000+MATCH(表_网址[[#This Row],[首要关键词]],序列_首要关键词,0)</f>
        <v>5001</v>
      </c>
      <c r="C67" s="2">
        <f ca="1">IF(表_网址[[#This Row],[次要关键词]]="",10,MATCH(表_网址[[#This Row],[次要关键词]],序列_次要关键词,0)+10)</f>
        <v>15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111</v>
      </c>
      <c r="F67" t="s">
        <v>761</v>
      </c>
      <c r="G67" t="s">
        <v>762</v>
      </c>
      <c r="H67" t="s">
        <v>29</v>
      </c>
      <c r="I67" t="s">
        <v>763</v>
      </c>
      <c r="J67" t="s">
        <v>1742</v>
      </c>
      <c r="K67" t="s">
        <v>1744</v>
      </c>
      <c r="L67" t="s">
        <v>730</v>
      </c>
      <c r="N67" t="s">
        <v>1854</v>
      </c>
      <c r="Q67">
        <v>48</v>
      </c>
      <c r="R67" t="s">
        <v>1832</v>
      </c>
    </row>
    <row r="68" spans="1:18" x14ac:dyDescent="0.2">
      <c r="A68" t="str">
        <f ca="1">表_网址[[#This Row],[1级]]&amp;"-"&amp;表_网址[[#This Row],[2级]]&amp;"-"&amp;表_网址[[#This Row],[3级]]&amp;"-"&amp;表_网址[[#This Row],[级内]]</f>
        <v>5001-15-10-112</v>
      </c>
      <c r="B68" s="2">
        <f ca="1">MATCH(表_网址[[#This Row],[版层分类]],序列_版层分类,0)*1000+MATCH(表_网址[[#This Row],[首要关键词]],序列_首要关键词,0)</f>
        <v>5001</v>
      </c>
      <c r="C68" s="2">
        <f ca="1">IF(表_网址[[#This Row],[次要关键词]]="",10,MATCH(表_网址[[#This Row],[次要关键词]],序列_次要关键词,0)+10)</f>
        <v>15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112</v>
      </c>
      <c r="F68" t="s">
        <v>764</v>
      </c>
      <c r="G68" t="s">
        <v>765</v>
      </c>
      <c r="H68" t="s">
        <v>29</v>
      </c>
      <c r="I68" t="s">
        <v>766</v>
      </c>
      <c r="J68" t="s">
        <v>1742</v>
      </c>
      <c r="K68" t="s">
        <v>1744</v>
      </c>
      <c r="L68" t="s">
        <v>730</v>
      </c>
      <c r="N68" t="s">
        <v>1854</v>
      </c>
      <c r="R68" t="s">
        <v>1832</v>
      </c>
    </row>
    <row r="69" spans="1:18" x14ac:dyDescent="0.2">
      <c r="A69" t="str">
        <f ca="1">表_网址[[#This Row],[1级]]&amp;"-"&amp;表_网址[[#This Row],[2级]]&amp;"-"&amp;表_网址[[#This Row],[3级]]&amp;"-"&amp;表_网址[[#This Row],[级内]]</f>
        <v>5001-15-10-113</v>
      </c>
      <c r="B69" s="2">
        <f ca="1">MATCH(表_网址[[#This Row],[版层分类]],序列_版层分类,0)*1000+MATCH(表_网址[[#This Row],[首要关键词]],序列_首要关键词,0)</f>
        <v>5001</v>
      </c>
      <c r="C69" s="2">
        <f ca="1">IF(表_网址[[#This Row],[次要关键词]]="",10,MATCH(表_网址[[#This Row],[次要关键词]],序列_次要关键词,0)+10)</f>
        <v>15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113</v>
      </c>
      <c r="F69" t="s">
        <v>767</v>
      </c>
      <c r="G69" t="s">
        <v>768</v>
      </c>
      <c r="H69" t="s">
        <v>29</v>
      </c>
      <c r="I69" t="s">
        <v>769</v>
      </c>
      <c r="J69" t="s">
        <v>1742</v>
      </c>
      <c r="K69" t="s">
        <v>1744</v>
      </c>
      <c r="L69" t="s">
        <v>730</v>
      </c>
      <c r="N69" t="s">
        <v>1854</v>
      </c>
      <c r="Q69">
        <v>32</v>
      </c>
      <c r="R69" t="s">
        <v>1832</v>
      </c>
    </row>
    <row r="70" spans="1:18" x14ac:dyDescent="0.2">
      <c r="A70" t="str">
        <f ca="1">表_网址[[#This Row],[1级]]&amp;"-"&amp;表_网址[[#This Row],[2级]]&amp;"-"&amp;表_网址[[#This Row],[3级]]&amp;"-"&amp;表_网址[[#This Row],[级内]]</f>
        <v>5001-15-10-114</v>
      </c>
      <c r="B70" s="2">
        <f ca="1">MATCH(表_网址[[#This Row],[版层分类]],序列_版层分类,0)*1000+MATCH(表_网址[[#This Row],[首要关键词]],序列_首要关键词,0)</f>
        <v>5001</v>
      </c>
      <c r="C70" s="2">
        <f ca="1">IF(表_网址[[#This Row],[次要关键词]]="",10,MATCH(表_网址[[#This Row],[次要关键词]],序列_次要关键词,0)+10)</f>
        <v>15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114</v>
      </c>
      <c r="F70" t="s">
        <v>770</v>
      </c>
      <c r="G70" t="s">
        <v>771</v>
      </c>
      <c r="H70" t="s">
        <v>29</v>
      </c>
      <c r="I70" t="s">
        <v>772</v>
      </c>
      <c r="J70" t="s">
        <v>1742</v>
      </c>
      <c r="K70" t="s">
        <v>1744</v>
      </c>
      <c r="L70" t="s">
        <v>730</v>
      </c>
      <c r="N70" t="s">
        <v>1854</v>
      </c>
      <c r="Q70">
        <v>126</v>
      </c>
      <c r="R70" t="s">
        <v>1832</v>
      </c>
    </row>
    <row r="71" spans="1:18" x14ac:dyDescent="0.2">
      <c r="A71" t="str">
        <f ca="1">表_网址[[#This Row],[1级]]&amp;"-"&amp;表_网址[[#This Row],[2级]]&amp;"-"&amp;表_网址[[#This Row],[3级]]&amp;"-"&amp;表_网址[[#This Row],[级内]]</f>
        <v>5001-15-10-115</v>
      </c>
      <c r="B71" s="2">
        <f ca="1">MATCH(表_网址[[#This Row],[版层分类]],序列_版层分类,0)*1000+MATCH(表_网址[[#This Row],[首要关键词]],序列_首要关键词,0)</f>
        <v>5001</v>
      </c>
      <c r="C71" s="2">
        <f ca="1">IF(表_网址[[#This Row],[次要关键词]]="",10,MATCH(表_网址[[#This Row],[次要关键词]],序列_次要关键词,0)+10)</f>
        <v>15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115</v>
      </c>
      <c r="F71" t="s">
        <v>773</v>
      </c>
      <c r="G71" t="s">
        <v>774</v>
      </c>
      <c r="H71" t="s">
        <v>29</v>
      </c>
      <c r="I71" t="s">
        <v>775</v>
      </c>
      <c r="J71" t="s">
        <v>1742</v>
      </c>
      <c r="K71" t="s">
        <v>1744</v>
      </c>
      <c r="L71" t="s">
        <v>730</v>
      </c>
      <c r="N71" t="s">
        <v>1854</v>
      </c>
      <c r="O71" t="s">
        <v>1166</v>
      </c>
      <c r="Q71">
        <v>16</v>
      </c>
      <c r="R71" t="s">
        <v>1832</v>
      </c>
    </row>
    <row r="72" spans="1:18" x14ac:dyDescent="0.2">
      <c r="A72" t="str">
        <f ca="1">表_网址[[#This Row],[1级]]&amp;"-"&amp;表_网址[[#This Row],[2级]]&amp;"-"&amp;表_网址[[#This Row],[3级]]&amp;"-"&amp;表_网址[[#This Row],[级内]]</f>
        <v>5001-15-10-116</v>
      </c>
      <c r="B72" s="2">
        <f ca="1">MATCH(表_网址[[#This Row],[版层分类]],序列_版层分类,0)*1000+MATCH(表_网址[[#This Row],[首要关键词]],序列_首要关键词,0)</f>
        <v>5001</v>
      </c>
      <c r="C72" s="2">
        <f ca="1">IF(表_网址[[#This Row],[次要关键词]]="",10,MATCH(表_网址[[#This Row],[次要关键词]],序列_次要关键词,0)+10)</f>
        <v>15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116</v>
      </c>
      <c r="F72" t="s">
        <v>776</v>
      </c>
      <c r="G72" t="s">
        <v>777</v>
      </c>
      <c r="H72" t="s">
        <v>29</v>
      </c>
      <c r="I72" t="s">
        <v>778</v>
      </c>
      <c r="J72" t="s">
        <v>1742</v>
      </c>
      <c r="K72" t="s">
        <v>1744</v>
      </c>
      <c r="L72" t="s">
        <v>730</v>
      </c>
      <c r="N72" t="s">
        <v>1854</v>
      </c>
      <c r="Q72">
        <v>32</v>
      </c>
      <c r="R72" t="s">
        <v>1832</v>
      </c>
    </row>
    <row r="73" spans="1:18" x14ac:dyDescent="0.2">
      <c r="A73" t="str">
        <f ca="1">表_网址[[#This Row],[1级]]&amp;"-"&amp;表_网址[[#This Row],[2级]]&amp;"-"&amp;表_网址[[#This Row],[3级]]&amp;"-"&amp;表_网址[[#This Row],[级内]]</f>
        <v>5001-15-10-117</v>
      </c>
      <c r="B73" s="2">
        <f ca="1">MATCH(表_网址[[#This Row],[版层分类]],序列_版层分类,0)*1000+MATCH(表_网址[[#This Row],[首要关键词]],序列_首要关键词,0)</f>
        <v>5001</v>
      </c>
      <c r="C73" s="2">
        <f ca="1">IF(表_网址[[#This Row],[次要关键词]]="",10,MATCH(表_网址[[#This Row],[次要关键词]],序列_次要关键词,0)+10)</f>
        <v>15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117</v>
      </c>
      <c r="F73" t="s">
        <v>779</v>
      </c>
      <c r="G73" t="s">
        <v>780</v>
      </c>
      <c r="H73" t="s">
        <v>29</v>
      </c>
      <c r="I73" t="s">
        <v>781</v>
      </c>
      <c r="J73" t="s">
        <v>1742</v>
      </c>
      <c r="K73" t="s">
        <v>1744</v>
      </c>
      <c r="L73" t="s">
        <v>730</v>
      </c>
      <c r="N73" t="s">
        <v>1854</v>
      </c>
      <c r="O73" t="s">
        <v>1166</v>
      </c>
      <c r="Q73">
        <v>16</v>
      </c>
      <c r="R73" t="s">
        <v>1832</v>
      </c>
    </row>
    <row r="74" spans="1:18" x14ac:dyDescent="0.2">
      <c r="A74" t="str">
        <f ca="1">表_网址[[#This Row],[1级]]&amp;"-"&amp;表_网址[[#This Row],[2级]]&amp;"-"&amp;表_网址[[#This Row],[3级]]&amp;"-"&amp;表_网址[[#This Row],[级内]]</f>
        <v>5001-15-10-118</v>
      </c>
      <c r="B74" s="2">
        <f ca="1">MATCH(表_网址[[#This Row],[版层分类]],序列_版层分类,0)*1000+MATCH(表_网址[[#This Row],[首要关键词]],序列_首要关键词,0)</f>
        <v>5001</v>
      </c>
      <c r="C74" s="2">
        <f ca="1">IF(表_网址[[#This Row],[次要关键词]]="",10,MATCH(表_网址[[#This Row],[次要关键词]],序列_次要关键词,0)+10)</f>
        <v>15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118</v>
      </c>
      <c r="F74" t="s">
        <v>782</v>
      </c>
      <c r="G74" t="s">
        <v>783</v>
      </c>
      <c r="H74" t="s">
        <v>29</v>
      </c>
      <c r="I74" t="s">
        <v>784</v>
      </c>
      <c r="J74" t="s">
        <v>1742</v>
      </c>
      <c r="K74" t="s">
        <v>1744</v>
      </c>
      <c r="L74" t="s">
        <v>730</v>
      </c>
      <c r="N74" t="s">
        <v>1854</v>
      </c>
      <c r="R74" t="s">
        <v>1832</v>
      </c>
    </row>
    <row r="75" spans="1:18" x14ac:dyDescent="0.2">
      <c r="A75" t="str">
        <f ca="1">表_网址[[#This Row],[1级]]&amp;"-"&amp;表_网址[[#This Row],[2级]]&amp;"-"&amp;表_网址[[#This Row],[3级]]&amp;"-"&amp;表_网址[[#This Row],[级内]]</f>
        <v>5001-15-10-119</v>
      </c>
      <c r="B75" s="2">
        <f ca="1">MATCH(表_网址[[#This Row],[版层分类]],序列_版层分类,0)*1000+MATCH(表_网址[[#This Row],[首要关键词]],序列_首要关键词,0)</f>
        <v>5001</v>
      </c>
      <c r="C75" s="2">
        <f ca="1">IF(表_网址[[#This Row],[次要关键词]]="",10,MATCH(表_网址[[#This Row],[次要关键词]],序列_次要关键词,0)+10)</f>
        <v>15</v>
      </c>
      <c r="D75">
        <f>IF(表_网址[[#This Row],[重点关键词]]="",10,MATCH(表_网址[[#This Row],[重点关键词]],序列_重点关键词,0)+10)</f>
        <v>10</v>
      </c>
      <c r="E75" s="2">
        <f>IF(AND(表_网址[[#This Row],[首要关键词]]=K74,表_网址[[#This Row],[次要关键词]]=L74,表_网址[[#This Row],[重点关键词]]=M74),E74+1,IF(表_网址[[#This Row],[重点关键词]]="",100,101))</f>
        <v>119</v>
      </c>
      <c r="F75" t="s">
        <v>785</v>
      </c>
      <c r="G75" t="s">
        <v>786</v>
      </c>
      <c r="H75" t="s">
        <v>29</v>
      </c>
      <c r="I75" t="s">
        <v>787</v>
      </c>
      <c r="J75" t="s">
        <v>1742</v>
      </c>
      <c r="K75" t="s">
        <v>1744</v>
      </c>
      <c r="L75" t="s">
        <v>730</v>
      </c>
      <c r="N75" t="s">
        <v>1854</v>
      </c>
      <c r="Q75">
        <v>31</v>
      </c>
      <c r="R75" t="s">
        <v>1832</v>
      </c>
    </row>
    <row r="76" spans="1:18" x14ac:dyDescent="0.2">
      <c r="A76" t="str">
        <f ca="1">表_网址[[#This Row],[1级]]&amp;"-"&amp;表_网址[[#This Row],[2级]]&amp;"-"&amp;表_网址[[#This Row],[3级]]&amp;"-"&amp;表_网址[[#This Row],[级内]]</f>
        <v>5001-15-10-120</v>
      </c>
      <c r="B76" s="2">
        <f ca="1">MATCH(表_网址[[#This Row],[版层分类]],序列_版层分类,0)*1000+MATCH(表_网址[[#This Row],[首要关键词]],序列_首要关键词,0)</f>
        <v>5001</v>
      </c>
      <c r="C76" s="2">
        <f ca="1">IF(表_网址[[#This Row],[次要关键词]]="",10,MATCH(表_网址[[#This Row],[次要关键词]],序列_次要关键词,0)+10)</f>
        <v>15</v>
      </c>
      <c r="D76">
        <f>IF(表_网址[[#This Row],[重点关键词]]="",10,MATCH(表_网址[[#This Row],[重点关键词]],序列_重点关键词,0)+10)</f>
        <v>10</v>
      </c>
      <c r="E76" s="2">
        <f>IF(AND(表_网址[[#This Row],[首要关键词]]=K75,表_网址[[#This Row],[次要关键词]]=L75,表_网址[[#This Row],[重点关键词]]=M75),E75+1,IF(表_网址[[#This Row],[重点关键词]]="",100,101))</f>
        <v>120</v>
      </c>
      <c r="F76" t="s">
        <v>788</v>
      </c>
      <c r="G76" t="s">
        <v>789</v>
      </c>
      <c r="H76" t="s">
        <v>29</v>
      </c>
      <c r="I76" t="s">
        <v>790</v>
      </c>
      <c r="J76" t="s">
        <v>1742</v>
      </c>
      <c r="K76" t="s">
        <v>1744</v>
      </c>
      <c r="L76" t="s">
        <v>730</v>
      </c>
      <c r="N76" t="s">
        <v>1854</v>
      </c>
      <c r="Q76">
        <v>16</v>
      </c>
      <c r="R76" t="s">
        <v>1832</v>
      </c>
    </row>
    <row r="77" spans="1:18" x14ac:dyDescent="0.2">
      <c r="A77" t="str">
        <f ca="1">表_网址[[#This Row],[1级]]&amp;"-"&amp;表_网址[[#This Row],[2级]]&amp;"-"&amp;表_网址[[#This Row],[3级]]&amp;"-"&amp;表_网址[[#This Row],[级内]]</f>
        <v>5001-15-10-121</v>
      </c>
      <c r="B77" s="2">
        <f ca="1">MATCH(表_网址[[#This Row],[版层分类]],序列_版层分类,0)*1000+MATCH(表_网址[[#This Row],[首要关键词]],序列_首要关键词,0)</f>
        <v>5001</v>
      </c>
      <c r="C77" s="2">
        <f ca="1">IF(表_网址[[#This Row],[次要关键词]]="",10,MATCH(表_网址[[#This Row],[次要关键词]],序列_次要关键词,0)+10)</f>
        <v>15</v>
      </c>
      <c r="D77">
        <f>IF(表_网址[[#This Row],[重点关键词]]="",10,MATCH(表_网址[[#This Row],[重点关键词]],序列_重点关键词,0)+10)</f>
        <v>10</v>
      </c>
      <c r="E77" s="2">
        <f>IF(AND(表_网址[[#This Row],[首要关键词]]=K76,表_网址[[#This Row],[次要关键词]]=L76,表_网址[[#This Row],[重点关键词]]=M76),E76+1,IF(表_网址[[#This Row],[重点关键词]]="",100,101))</f>
        <v>121</v>
      </c>
      <c r="F77" t="s">
        <v>791</v>
      </c>
      <c r="G77" t="s">
        <v>792</v>
      </c>
      <c r="H77" t="s">
        <v>29</v>
      </c>
      <c r="I77" t="s">
        <v>793</v>
      </c>
      <c r="J77" t="s">
        <v>1742</v>
      </c>
      <c r="K77" t="s">
        <v>1744</v>
      </c>
      <c r="L77" t="s">
        <v>730</v>
      </c>
      <c r="N77" t="s">
        <v>1854</v>
      </c>
      <c r="R77" t="s">
        <v>1832</v>
      </c>
    </row>
    <row r="78" spans="1:18" x14ac:dyDescent="0.2">
      <c r="A78" t="str">
        <f ca="1">表_网址[[#This Row],[1级]]&amp;"-"&amp;表_网址[[#This Row],[2级]]&amp;"-"&amp;表_网址[[#This Row],[3级]]&amp;"-"&amp;表_网址[[#This Row],[级内]]</f>
        <v>5001-15-10-122</v>
      </c>
      <c r="B78" s="2">
        <f ca="1">MATCH(表_网址[[#This Row],[版层分类]],序列_版层分类,0)*1000+MATCH(表_网址[[#This Row],[首要关键词]],序列_首要关键词,0)</f>
        <v>5001</v>
      </c>
      <c r="C78" s="2">
        <f ca="1">IF(表_网址[[#This Row],[次要关键词]]="",10,MATCH(表_网址[[#This Row],[次要关键词]],序列_次要关键词,0)+10)</f>
        <v>15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122</v>
      </c>
      <c r="F78" t="s">
        <v>794</v>
      </c>
      <c r="G78" t="s">
        <v>795</v>
      </c>
      <c r="H78" t="s">
        <v>29</v>
      </c>
      <c r="I78" t="s">
        <v>796</v>
      </c>
      <c r="J78" t="s">
        <v>1742</v>
      </c>
      <c r="K78" t="s">
        <v>1744</v>
      </c>
      <c r="L78" t="s">
        <v>730</v>
      </c>
      <c r="N78" t="s">
        <v>1854</v>
      </c>
      <c r="O78" t="s">
        <v>1166</v>
      </c>
      <c r="R78" t="s">
        <v>1832</v>
      </c>
    </row>
    <row r="79" spans="1:18" x14ac:dyDescent="0.2">
      <c r="A79" t="str">
        <f ca="1">表_网址[[#This Row],[1级]]&amp;"-"&amp;表_网址[[#This Row],[2级]]&amp;"-"&amp;表_网址[[#This Row],[3级]]&amp;"-"&amp;表_网址[[#This Row],[级内]]</f>
        <v>5001-15-10-123</v>
      </c>
      <c r="B79" s="2">
        <f ca="1">MATCH(表_网址[[#This Row],[版层分类]],序列_版层分类,0)*1000+MATCH(表_网址[[#This Row],[首要关键词]],序列_首要关键词,0)</f>
        <v>5001</v>
      </c>
      <c r="C79" s="2">
        <f ca="1">IF(表_网址[[#This Row],[次要关键词]]="",10,MATCH(表_网址[[#This Row],[次要关键词]],序列_次要关键词,0)+10)</f>
        <v>15</v>
      </c>
      <c r="D79">
        <f>IF(表_网址[[#This Row],[重点关键词]]="",10,MATCH(表_网址[[#This Row],[重点关键词]],序列_重点关键词,0)+10)</f>
        <v>10</v>
      </c>
      <c r="E79" s="2">
        <f>IF(AND(表_网址[[#This Row],[首要关键词]]=K78,表_网址[[#This Row],[次要关键词]]=L78,表_网址[[#This Row],[重点关键词]]=M78),E78+1,IF(表_网址[[#This Row],[重点关键词]]="",100,101))</f>
        <v>123</v>
      </c>
      <c r="F79" t="s">
        <v>797</v>
      </c>
      <c r="G79" t="s">
        <v>798</v>
      </c>
      <c r="H79" t="s">
        <v>29</v>
      </c>
      <c r="I79" t="s">
        <v>799</v>
      </c>
      <c r="J79" t="s">
        <v>1742</v>
      </c>
      <c r="K79" t="s">
        <v>1744</v>
      </c>
      <c r="L79" t="s">
        <v>730</v>
      </c>
      <c r="N79" t="s">
        <v>1854</v>
      </c>
      <c r="R79" t="s">
        <v>1832</v>
      </c>
    </row>
    <row r="80" spans="1:18" x14ac:dyDescent="0.2">
      <c r="A80" t="str">
        <f ca="1">表_网址[[#This Row],[1级]]&amp;"-"&amp;表_网址[[#This Row],[2级]]&amp;"-"&amp;表_网址[[#This Row],[3级]]&amp;"-"&amp;表_网址[[#This Row],[级内]]</f>
        <v>5001-15-10-124</v>
      </c>
      <c r="B80" s="2">
        <f ca="1">MATCH(表_网址[[#This Row],[版层分类]],序列_版层分类,0)*1000+MATCH(表_网址[[#This Row],[首要关键词]],序列_首要关键词,0)</f>
        <v>5001</v>
      </c>
      <c r="C80" s="2">
        <f ca="1">IF(表_网址[[#This Row],[次要关键词]]="",10,MATCH(表_网址[[#This Row],[次要关键词]],序列_次要关键词,0)+10)</f>
        <v>15</v>
      </c>
      <c r="D80">
        <f>IF(表_网址[[#This Row],[重点关键词]]="",10,MATCH(表_网址[[#This Row],[重点关键词]],序列_重点关键词,0)+10)</f>
        <v>10</v>
      </c>
      <c r="E80" s="2">
        <f>IF(AND(表_网址[[#This Row],[首要关键词]]=K79,表_网址[[#This Row],[次要关键词]]=L79,表_网址[[#This Row],[重点关键词]]=M79),E79+1,IF(表_网址[[#This Row],[重点关键词]]="",100,101))</f>
        <v>124</v>
      </c>
      <c r="F80" t="s">
        <v>800</v>
      </c>
      <c r="G80" t="s">
        <v>801</v>
      </c>
      <c r="H80" t="s">
        <v>29</v>
      </c>
      <c r="I80" t="s">
        <v>802</v>
      </c>
      <c r="J80" t="s">
        <v>1742</v>
      </c>
      <c r="K80" t="s">
        <v>1744</v>
      </c>
      <c r="L80" t="s">
        <v>730</v>
      </c>
      <c r="N80" t="s">
        <v>1854</v>
      </c>
      <c r="R80" t="s">
        <v>1832</v>
      </c>
    </row>
    <row r="81" spans="1:18" x14ac:dyDescent="0.2">
      <c r="A81" t="str">
        <f ca="1">表_网址[[#This Row],[1级]]&amp;"-"&amp;表_网址[[#This Row],[2级]]&amp;"-"&amp;表_网址[[#This Row],[3级]]&amp;"-"&amp;表_网址[[#This Row],[级内]]</f>
        <v>5001-15-10-125</v>
      </c>
      <c r="B81" s="2">
        <f ca="1">MATCH(表_网址[[#This Row],[版层分类]],序列_版层分类,0)*1000+MATCH(表_网址[[#This Row],[首要关键词]],序列_首要关键词,0)</f>
        <v>5001</v>
      </c>
      <c r="C81" s="2">
        <f ca="1">IF(表_网址[[#This Row],[次要关键词]]="",10,MATCH(表_网址[[#This Row],[次要关键词]],序列_次要关键词,0)+10)</f>
        <v>15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125</v>
      </c>
      <c r="F81" t="s">
        <v>803</v>
      </c>
      <c r="G81" t="s">
        <v>804</v>
      </c>
      <c r="H81" t="s">
        <v>29</v>
      </c>
      <c r="I81" t="s">
        <v>805</v>
      </c>
      <c r="J81" t="s">
        <v>1742</v>
      </c>
      <c r="K81" t="s">
        <v>1744</v>
      </c>
      <c r="L81" t="s">
        <v>730</v>
      </c>
      <c r="N81" t="s">
        <v>1854</v>
      </c>
      <c r="Q81">
        <v>64</v>
      </c>
      <c r="R81" t="s">
        <v>1832</v>
      </c>
    </row>
    <row r="82" spans="1:18" x14ac:dyDescent="0.2">
      <c r="A82" t="str">
        <f ca="1">表_网址[[#This Row],[1级]]&amp;"-"&amp;表_网址[[#This Row],[2级]]&amp;"-"&amp;表_网址[[#This Row],[3级]]&amp;"-"&amp;表_网址[[#This Row],[级内]]</f>
        <v>5001-15-10-126</v>
      </c>
      <c r="B82" s="2">
        <f ca="1">MATCH(表_网址[[#This Row],[版层分类]],序列_版层分类,0)*1000+MATCH(表_网址[[#This Row],[首要关键词]],序列_首要关键词,0)</f>
        <v>5001</v>
      </c>
      <c r="C82" s="2">
        <f ca="1">IF(表_网址[[#This Row],[次要关键词]]="",10,MATCH(表_网址[[#This Row],[次要关键词]],序列_次要关键词,0)+10)</f>
        <v>15</v>
      </c>
      <c r="D82">
        <f>IF(表_网址[[#This Row],[重点关键词]]="",10,MATCH(表_网址[[#This Row],[重点关键词]],序列_重点关键词,0)+10)</f>
        <v>10</v>
      </c>
      <c r="E82" s="2">
        <f>IF(AND(表_网址[[#This Row],[首要关键词]]=K81,表_网址[[#This Row],[次要关键词]]=L81,表_网址[[#This Row],[重点关键词]]=M81),E81+1,IF(表_网址[[#This Row],[重点关键词]]="",100,101))</f>
        <v>126</v>
      </c>
      <c r="F82" t="s">
        <v>806</v>
      </c>
      <c r="G82" t="s">
        <v>807</v>
      </c>
      <c r="H82" t="s">
        <v>29</v>
      </c>
      <c r="I82" t="s">
        <v>808</v>
      </c>
      <c r="J82" t="s">
        <v>1742</v>
      </c>
      <c r="K82" t="s">
        <v>1744</v>
      </c>
      <c r="L82" t="s">
        <v>730</v>
      </c>
      <c r="N82" t="s">
        <v>1854</v>
      </c>
      <c r="R82" t="s">
        <v>1832</v>
      </c>
    </row>
    <row r="83" spans="1:18" x14ac:dyDescent="0.2">
      <c r="A83" t="str">
        <f ca="1">表_网址[[#This Row],[1级]]&amp;"-"&amp;表_网址[[#This Row],[2级]]&amp;"-"&amp;表_网址[[#This Row],[3级]]&amp;"-"&amp;表_网址[[#This Row],[级内]]</f>
        <v>5001-15-10-127</v>
      </c>
      <c r="B83" s="2">
        <f ca="1">MATCH(表_网址[[#This Row],[版层分类]],序列_版层分类,0)*1000+MATCH(表_网址[[#This Row],[首要关键词]],序列_首要关键词,0)</f>
        <v>5001</v>
      </c>
      <c r="C83" s="2">
        <f ca="1">IF(表_网址[[#This Row],[次要关键词]]="",10,MATCH(表_网址[[#This Row],[次要关键词]],序列_次要关键词,0)+10)</f>
        <v>15</v>
      </c>
      <c r="D83">
        <f>IF(表_网址[[#This Row],[重点关键词]]="",10,MATCH(表_网址[[#This Row],[重点关键词]],序列_重点关键词,0)+10)</f>
        <v>10</v>
      </c>
      <c r="E83" s="2">
        <f>IF(AND(表_网址[[#This Row],[首要关键词]]=K82,表_网址[[#This Row],[次要关键词]]=L82,表_网址[[#This Row],[重点关键词]]=M82),E82+1,IF(表_网址[[#This Row],[重点关键词]]="",100,101))</f>
        <v>127</v>
      </c>
      <c r="F83" t="s">
        <v>809</v>
      </c>
      <c r="G83" t="s">
        <v>810</v>
      </c>
      <c r="H83" t="s">
        <v>29</v>
      </c>
      <c r="I83" t="s">
        <v>811</v>
      </c>
      <c r="J83" t="s">
        <v>1742</v>
      </c>
      <c r="K83" t="s">
        <v>1744</v>
      </c>
      <c r="L83" t="s">
        <v>730</v>
      </c>
      <c r="N83" t="s">
        <v>1854</v>
      </c>
      <c r="Q83">
        <v>32</v>
      </c>
      <c r="R83" t="s">
        <v>1832</v>
      </c>
    </row>
    <row r="84" spans="1:18" x14ac:dyDescent="0.2">
      <c r="A84" t="str">
        <f ca="1">表_网址[[#This Row],[1级]]&amp;"-"&amp;表_网址[[#This Row],[2级]]&amp;"-"&amp;表_网址[[#This Row],[3级]]&amp;"-"&amp;表_网址[[#This Row],[级内]]</f>
        <v>5001-15-10-128</v>
      </c>
      <c r="B84" s="2">
        <f ca="1">MATCH(表_网址[[#This Row],[版层分类]],序列_版层分类,0)*1000+MATCH(表_网址[[#This Row],[首要关键词]],序列_首要关键词,0)</f>
        <v>5001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128</v>
      </c>
      <c r="F84" t="s">
        <v>812</v>
      </c>
      <c r="G84" t="s">
        <v>813</v>
      </c>
      <c r="H84" t="s">
        <v>29</v>
      </c>
      <c r="I84" t="s">
        <v>814</v>
      </c>
      <c r="J84" t="s">
        <v>1742</v>
      </c>
      <c r="K84" t="s">
        <v>1744</v>
      </c>
      <c r="L84" t="s">
        <v>730</v>
      </c>
      <c r="N84" t="s">
        <v>1854</v>
      </c>
      <c r="O84" t="s">
        <v>1166</v>
      </c>
      <c r="Q84">
        <v>32</v>
      </c>
      <c r="R84" t="s">
        <v>1832</v>
      </c>
    </row>
    <row r="85" spans="1:18" x14ac:dyDescent="0.2">
      <c r="A85" t="str">
        <f ca="1">表_网址[[#This Row],[1级]]&amp;"-"&amp;表_网址[[#This Row],[2级]]&amp;"-"&amp;表_网址[[#This Row],[3级]]&amp;"-"&amp;表_网址[[#This Row],[级内]]</f>
        <v>5001-15-10-129</v>
      </c>
      <c r="B85" s="2">
        <f ca="1">MATCH(表_网址[[#This Row],[版层分类]],序列_版层分类,0)*1000+MATCH(表_网址[[#This Row],[首要关键词]],序列_首要关键词,0)</f>
        <v>5001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129</v>
      </c>
      <c r="F85" t="s">
        <v>815</v>
      </c>
      <c r="G85" t="s">
        <v>816</v>
      </c>
      <c r="H85" t="s">
        <v>29</v>
      </c>
      <c r="I85" t="s">
        <v>817</v>
      </c>
      <c r="J85" t="s">
        <v>1742</v>
      </c>
      <c r="K85" t="s">
        <v>1744</v>
      </c>
      <c r="L85" t="s">
        <v>730</v>
      </c>
      <c r="N85" t="s">
        <v>1854</v>
      </c>
      <c r="R85" t="s">
        <v>1832</v>
      </c>
    </row>
    <row r="86" spans="1:18" x14ac:dyDescent="0.2">
      <c r="A86" t="str">
        <f ca="1">表_网址[[#This Row],[1级]]&amp;"-"&amp;表_网址[[#This Row],[2级]]&amp;"-"&amp;表_网址[[#This Row],[3级]]&amp;"-"&amp;表_网址[[#This Row],[级内]]</f>
        <v>5001-15-10-130</v>
      </c>
      <c r="B86" s="2">
        <f ca="1">MATCH(表_网址[[#This Row],[版层分类]],序列_版层分类,0)*1000+MATCH(表_网址[[#This Row],[首要关键词]],序列_首要关键词,0)</f>
        <v>5001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130</v>
      </c>
      <c r="F86" t="s">
        <v>818</v>
      </c>
      <c r="G86" t="s">
        <v>819</v>
      </c>
      <c r="H86" t="s">
        <v>29</v>
      </c>
      <c r="I86" t="s">
        <v>820</v>
      </c>
      <c r="J86" t="s">
        <v>1742</v>
      </c>
      <c r="K86" t="s">
        <v>1744</v>
      </c>
      <c r="L86" t="s">
        <v>730</v>
      </c>
      <c r="N86" t="s">
        <v>1854</v>
      </c>
      <c r="R86" t="s">
        <v>1832</v>
      </c>
    </row>
    <row r="87" spans="1:18" x14ac:dyDescent="0.2">
      <c r="A87" t="str">
        <f ca="1">表_网址[[#This Row],[1级]]&amp;"-"&amp;表_网址[[#This Row],[2级]]&amp;"-"&amp;表_网址[[#This Row],[3级]]&amp;"-"&amp;表_网址[[#This Row],[级内]]</f>
        <v>5001-15-10-131</v>
      </c>
      <c r="B87" s="2">
        <f ca="1">MATCH(表_网址[[#This Row],[版层分类]],序列_版层分类,0)*1000+MATCH(表_网址[[#This Row],[首要关键词]],序列_首要关键词,0)</f>
        <v>5001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131</v>
      </c>
      <c r="F87" t="s">
        <v>821</v>
      </c>
      <c r="G87" t="s">
        <v>822</v>
      </c>
      <c r="H87" t="s">
        <v>29</v>
      </c>
      <c r="I87" t="s">
        <v>823</v>
      </c>
      <c r="J87" t="s">
        <v>1742</v>
      </c>
      <c r="K87" t="s">
        <v>1744</v>
      </c>
      <c r="L87" t="s">
        <v>730</v>
      </c>
      <c r="N87" t="s">
        <v>1854</v>
      </c>
      <c r="Q87">
        <v>48</v>
      </c>
      <c r="R87" t="s">
        <v>1832</v>
      </c>
    </row>
    <row r="88" spans="1:18" x14ac:dyDescent="0.2">
      <c r="A88" t="str">
        <f ca="1">表_网址[[#This Row],[1级]]&amp;"-"&amp;表_网址[[#This Row],[2级]]&amp;"-"&amp;表_网址[[#This Row],[3级]]&amp;"-"&amp;表_网址[[#This Row],[级内]]</f>
        <v>5002-10-10-100</v>
      </c>
      <c r="B88" s="2">
        <f ca="1">MATCH(表_网址[[#This Row],[版层分类]],序列_版层分类,0)*1000+MATCH(表_网址[[#This Row],[首要关键词]],序列_首要关键词,0)</f>
        <v>5002</v>
      </c>
      <c r="C88" s="2">
        <f>IF(表_网址[[#This Row],[次要关键词]]="",10,MATCH(表_网址[[#This Row],[次要关键词]],序列_次要关键词,0)+10)</f>
        <v>10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100</v>
      </c>
      <c r="F88" t="s">
        <v>824</v>
      </c>
      <c r="G88" t="s">
        <v>825</v>
      </c>
      <c r="H88" t="s">
        <v>29</v>
      </c>
      <c r="I88" t="s">
        <v>826</v>
      </c>
      <c r="J88" t="s">
        <v>1742</v>
      </c>
      <c r="K88" t="s">
        <v>1746</v>
      </c>
      <c r="N88" t="s">
        <v>1854</v>
      </c>
      <c r="O88" t="s">
        <v>1166</v>
      </c>
      <c r="Q88">
        <v>32</v>
      </c>
      <c r="R88" t="s">
        <v>1832</v>
      </c>
    </row>
    <row r="89" spans="1:18" x14ac:dyDescent="0.2">
      <c r="A89" t="str">
        <f ca="1">表_网址[[#This Row],[1级]]&amp;"-"&amp;表_网址[[#This Row],[2级]]&amp;"-"&amp;表_网址[[#This Row],[3级]]&amp;"-"&amp;表_网址[[#This Row],[级内]]</f>
        <v>5002-10-10-101</v>
      </c>
      <c r="B89" s="2">
        <f ca="1">MATCH(表_网址[[#This Row],[版层分类]],序列_版层分类,0)*1000+MATCH(表_网址[[#This Row],[首要关键词]],序列_首要关键词,0)</f>
        <v>5002</v>
      </c>
      <c r="C89" s="2">
        <f>IF(表_网址[[#This Row],[次要关键词]]="",10,MATCH(表_网址[[#This Row],[次要关键词]],序列_次要关键词,0)+10)</f>
        <v>10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101</v>
      </c>
      <c r="F89" t="s">
        <v>827</v>
      </c>
      <c r="G89" t="s">
        <v>828</v>
      </c>
      <c r="H89" t="s">
        <v>29</v>
      </c>
      <c r="I89" t="s">
        <v>829</v>
      </c>
      <c r="J89" t="s">
        <v>1742</v>
      </c>
      <c r="K89" t="s">
        <v>1746</v>
      </c>
      <c r="N89" t="s">
        <v>1854</v>
      </c>
      <c r="R89" t="s">
        <v>1832</v>
      </c>
    </row>
    <row r="90" spans="1:18" x14ac:dyDescent="0.2">
      <c r="A90" t="str">
        <f ca="1">表_网址[[#This Row],[1级]]&amp;"-"&amp;表_网址[[#This Row],[2级]]&amp;"-"&amp;表_网址[[#This Row],[3级]]&amp;"-"&amp;表_网址[[#This Row],[级内]]</f>
        <v>5002-10-10-102</v>
      </c>
      <c r="B90" s="2">
        <f ca="1">MATCH(表_网址[[#This Row],[版层分类]],序列_版层分类,0)*1000+MATCH(表_网址[[#This Row],[首要关键词]],序列_首要关键词,0)</f>
        <v>5002</v>
      </c>
      <c r="C90" s="2">
        <f>IF(表_网址[[#This Row],[次要关键词]]="",10,MATCH(表_网址[[#This Row],[次要关键词]],序列_次要关键词,0)+10)</f>
        <v>10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102</v>
      </c>
      <c r="F90" t="s">
        <v>830</v>
      </c>
      <c r="G90" t="s">
        <v>831</v>
      </c>
      <c r="H90" t="s">
        <v>29</v>
      </c>
      <c r="I90" t="s">
        <v>832</v>
      </c>
      <c r="J90" t="s">
        <v>1742</v>
      </c>
      <c r="K90" t="s">
        <v>1746</v>
      </c>
      <c r="N90" t="s">
        <v>1854</v>
      </c>
      <c r="O90" t="s">
        <v>1166</v>
      </c>
      <c r="Q90">
        <v>16</v>
      </c>
      <c r="R90" t="s">
        <v>1832</v>
      </c>
    </row>
    <row r="91" spans="1:18" x14ac:dyDescent="0.2">
      <c r="A91" t="str">
        <f ca="1">表_网址[[#This Row],[1级]]&amp;"-"&amp;表_网址[[#This Row],[2级]]&amp;"-"&amp;表_网址[[#This Row],[3级]]&amp;"-"&amp;表_网址[[#This Row],[级内]]</f>
        <v>5002-10-10-103</v>
      </c>
      <c r="B91" s="2">
        <f ca="1">MATCH(表_网址[[#This Row],[版层分类]],序列_版层分类,0)*1000+MATCH(表_网址[[#This Row],[首要关键词]],序列_首要关键词,0)</f>
        <v>5002</v>
      </c>
      <c r="C91" s="2">
        <f>IF(表_网址[[#This Row],[次要关键词]]="",10,MATCH(表_网址[[#This Row],[次要关键词]],序列_次要关键词,0)+10)</f>
        <v>10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103</v>
      </c>
      <c r="F91" t="s">
        <v>833</v>
      </c>
      <c r="G91" t="s">
        <v>834</v>
      </c>
      <c r="H91" t="s">
        <v>29</v>
      </c>
      <c r="I91" t="s">
        <v>835</v>
      </c>
      <c r="J91" t="s">
        <v>1742</v>
      </c>
      <c r="K91" t="s">
        <v>1746</v>
      </c>
      <c r="N91" t="s">
        <v>1854</v>
      </c>
      <c r="O91" t="s">
        <v>1166</v>
      </c>
      <c r="R91" t="s">
        <v>1832</v>
      </c>
    </row>
    <row r="92" spans="1:18" x14ac:dyDescent="0.2">
      <c r="A92" t="str">
        <f ca="1">表_网址[[#This Row],[1级]]&amp;"-"&amp;表_网址[[#This Row],[2级]]&amp;"-"&amp;表_网址[[#This Row],[3级]]&amp;"-"&amp;表_网址[[#This Row],[级内]]</f>
        <v>5002-10-10-104</v>
      </c>
      <c r="B92" s="2">
        <f ca="1">MATCH(表_网址[[#This Row],[版层分类]],序列_版层分类,0)*1000+MATCH(表_网址[[#This Row],[首要关键词]],序列_首要关键词,0)</f>
        <v>5002</v>
      </c>
      <c r="C92" s="2">
        <f>IF(表_网址[[#This Row],[次要关键词]]="",10,MATCH(表_网址[[#This Row],[次要关键词]],序列_次要关键词,0)+10)</f>
        <v>10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104</v>
      </c>
      <c r="F92" t="s">
        <v>836</v>
      </c>
      <c r="G92" t="s">
        <v>837</v>
      </c>
      <c r="H92" t="s">
        <v>29</v>
      </c>
      <c r="I92" t="s">
        <v>838</v>
      </c>
      <c r="J92" t="s">
        <v>1742</v>
      </c>
      <c r="K92" t="s">
        <v>1746</v>
      </c>
      <c r="N92" t="s">
        <v>1854</v>
      </c>
      <c r="O92" t="s">
        <v>1166</v>
      </c>
      <c r="Q92">
        <v>16</v>
      </c>
      <c r="R92" t="s">
        <v>1832</v>
      </c>
    </row>
    <row r="93" spans="1:18" x14ac:dyDescent="0.2">
      <c r="A93" t="str">
        <f ca="1">表_网址[[#This Row],[1级]]&amp;"-"&amp;表_网址[[#This Row],[2级]]&amp;"-"&amp;表_网址[[#This Row],[3级]]&amp;"-"&amp;表_网址[[#This Row],[级内]]</f>
        <v>5002-10-10-105</v>
      </c>
      <c r="B93" s="2">
        <f ca="1">MATCH(表_网址[[#This Row],[版层分类]],序列_版层分类,0)*1000+MATCH(表_网址[[#This Row],[首要关键词]],序列_首要关键词,0)</f>
        <v>5002</v>
      </c>
      <c r="C93" s="2">
        <f>IF(表_网址[[#This Row],[次要关键词]]="",10,MATCH(表_网址[[#This Row],[次要关键词]],序列_次要关键词,0)+10)</f>
        <v>10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105</v>
      </c>
      <c r="F93" t="s">
        <v>839</v>
      </c>
      <c r="G93" t="s">
        <v>840</v>
      </c>
      <c r="H93" t="s">
        <v>29</v>
      </c>
      <c r="I93" t="s">
        <v>841</v>
      </c>
      <c r="J93" t="s">
        <v>1742</v>
      </c>
      <c r="K93" t="s">
        <v>1746</v>
      </c>
      <c r="N93" t="s">
        <v>1854</v>
      </c>
      <c r="O93" t="s">
        <v>1166</v>
      </c>
      <c r="Q93">
        <v>37</v>
      </c>
      <c r="R93" t="s">
        <v>1832</v>
      </c>
    </row>
    <row r="94" spans="1:18" x14ac:dyDescent="0.2">
      <c r="A94" t="str">
        <f ca="1">表_网址[[#This Row],[1级]]&amp;"-"&amp;表_网址[[#This Row],[2级]]&amp;"-"&amp;表_网址[[#This Row],[3级]]&amp;"-"&amp;表_网址[[#This Row],[级内]]</f>
        <v>5002-10-10-106</v>
      </c>
      <c r="B94" s="2">
        <f ca="1">MATCH(表_网址[[#This Row],[版层分类]],序列_版层分类,0)*1000+MATCH(表_网址[[#This Row],[首要关键词]],序列_首要关键词,0)</f>
        <v>5002</v>
      </c>
      <c r="C94" s="2">
        <f>IF(表_网址[[#This Row],[次要关键词]]="",10,MATCH(表_网址[[#This Row],[次要关键词]],序列_次要关键词,0)+10)</f>
        <v>10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106</v>
      </c>
      <c r="F94" t="s">
        <v>842</v>
      </c>
      <c r="G94" t="s">
        <v>843</v>
      </c>
      <c r="H94" t="s">
        <v>29</v>
      </c>
      <c r="I94" t="s">
        <v>844</v>
      </c>
      <c r="J94" t="s">
        <v>1742</v>
      </c>
      <c r="K94" t="s">
        <v>1746</v>
      </c>
      <c r="N94" t="s">
        <v>1854</v>
      </c>
      <c r="O94" t="s">
        <v>1166</v>
      </c>
      <c r="Q94">
        <v>16</v>
      </c>
      <c r="R94" t="s">
        <v>1832</v>
      </c>
    </row>
    <row r="95" spans="1:18" x14ac:dyDescent="0.2">
      <c r="A95" t="str">
        <f ca="1">表_网址[[#This Row],[1级]]&amp;"-"&amp;表_网址[[#This Row],[2级]]&amp;"-"&amp;表_网址[[#This Row],[3级]]&amp;"-"&amp;表_网址[[#This Row],[级内]]</f>
        <v>5003-10-10-100</v>
      </c>
      <c r="B95" s="2">
        <f ca="1">MATCH(表_网址[[#This Row],[版层分类]],序列_版层分类,0)*1000+MATCH(表_网址[[#This Row],[首要关键词]],序列_首要关键词,0)</f>
        <v>5003</v>
      </c>
      <c r="C95" s="2">
        <f>IF(表_网址[[#This Row],[次要关键词]]="",10,MATCH(表_网址[[#This Row],[次要关键词]],序列_次要关键词,0)+10)</f>
        <v>10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100</v>
      </c>
      <c r="F95" t="s">
        <v>845</v>
      </c>
      <c r="G95" t="s">
        <v>846</v>
      </c>
      <c r="H95" t="s">
        <v>29</v>
      </c>
      <c r="I95" t="s">
        <v>847</v>
      </c>
      <c r="J95" t="s">
        <v>1742</v>
      </c>
      <c r="K95" t="s">
        <v>1748</v>
      </c>
      <c r="N95" t="s">
        <v>1854</v>
      </c>
      <c r="O95" t="s">
        <v>1166</v>
      </c>
      <c r="Q95">
        <v>64</v>
      </c>
      <c r="R95" t="s">
        <v>1832</v>
      </c>
    </row>
    <row r="96" spans="1:18" x14ac:dyDescent="0.2">
      <c r="A96" t="str">
        <f ca="1">表_网址[[#This Row],[1级]]&amp;"-"&amp;表_网址[[#This Row],[2级]]&amp;"-"&amp;表_网址[[#This Row],[3级]]&amp;"-"&amp;表_网址[[#This Row],[级内]]</f>
        <v>5003-10-10-101</v>
      </c>
      <c r="B96" s="2">
        <f ca="1">MATCH(表_网址[[#This Row],[版层分类]],序列_版层分类,0)*1000+MATCH(表_网址[[#This Row],[首要关键词]],序列_首要关键词,0)</f>
        <v>5003</v>
      </c>
      <c r="C96" s="2">
        <f>IF(表_网址[[#This Row],[次要关键词]]="",10,MATCH(表_网址[[#This Row],[次要关键词]],序列_次要关键词,0)+10)</f>
        <v>10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101</v>
      </c>
      <c r="F96" t="s">
        <v>848</v>
      </c>
      <c r="G96" t="s">
        <v>849</v>
      </c>
      <c r="H96" t="s">
        <v>29</v>
      </c>
      <c r="I96" t="s">
        <v>850</v>
      </c>
      <c r="J96" t="s">
        <v>1742</v>
      </c>
      <c r="K96" t="s">
        <v>1748</v>
      </c>
      <c r="N96" t="s">
        <v>1854</v>
      </c>
      <c r="R96" t="s">
        <v>1832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5003-10-10-102</v>
      </c>
      <c r="B97" s="2">
        <f ca="1">MATCH(表_网址[[#This Row],[版层分类]],序列_版层分类,0)*1000+MATCH(表_网址[[#This Row],[首要关键词]],序列_首要关键词,0)</f>
        <v>5003</v>
      </c>
      <c r="C97" s="2">
        <f>IF(表_网址[[#This Row],[次要关键词]]="",10,MATCH(表_网址[[#This Row],[次要关键词]],序列_次要关键词,0)+10)</f>
        <v>10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102</v>
      </c>
      <c r="F97" t="s">
        <v>851</v>
      </c>
      <c r="G97" t="s">
        <v>852</v>
      </c>
      <c r="H97" t="s">
        <v>29</v>
      </c>
      <c r="I97" t="s">
        <v>853</v>
      </c>
      <c r="J97" t="s">
        <v>1742</v>
      </c>
      <c r="K97" t="s">
        <v>1748</v>
      </c>
      <c r="N97" t="s">
        <v>1854</v>
      </c>
      <c r="Q97">
        <v>32</v>
      </c>
      <c r="R97" t="s">
        <v>1832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5003-10-10-103</v>
      </c>
      <c r="B98" s="2">
        <f ca="1">MATCH(表_网址[[#This Row],[版层分类]],序列_版层分类,0)*1000+MATCH(表_网址[[#This Row],[首要关键词]],序列_首要关键词,0)</f>
        <v>5003</v>
      </c>
      <c r="C98" s="2">
        <f>IF(表_网址[[#This Row],[次要关键词]]="",10,MATCH(表_网址[[#This Row],[次要关键词]],序列_次要关键词,0)+10)</f>
        <v>10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103</v>
      </c>
      <c r="F98" t="s">
        <v>854</v>
      </c>
      <c r="G98" t="s">
        <v>855</v>
      </c>
      <c r="H98" t="s">
        <v>29</v>
      </c>
      <c r="I98" t="s">
        <v>856</v>
      </c>
      <c r="J98" t="s">
        <v>1742</v>
      </c>
      <c r="K98" t="s">
        <v>1748</v>
      </c>
      <c r="N98" t="s">
        <v>1854</v>
      </c>
      <c r="O98" t="s">
        <v>1166</v>
      </c>
      <c r="R98" t="s">
        <v>1832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5003-10-10-104</v>
      </c>
      <c r="B99" s="2">
        <f ca="1">MATCH(表_网址[[#This Row],[版层分类]],序列_版层分类,0)*1000+MATCH(表_网址[[#This Row],[首要关键词]],序列_首要关键词,0)</f>
        <v>5003</v>
      </c>
      <c r="C99" s="2">
        <f>IF(表_网址[[#This Row],[次要关键词]]="",10,MATCH(表_网址[[#This Row],[次要关键词]],序列_次要关键词,0)+10)</f>
        <v>10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104</v>
      </c>
      <c r="F99" t="s">
        <v>857</v>
      </c>
      <c r="G99" t="s">
        <v>858</v>
      </c>
      <c r="H99" t="s">
        <v>29</v>
      </c>
      <c r="I99" t="s">
        <v>859</v>
      </c>
      <c r="J99" t="s">
        <v>1742</v>
      </c>
      <c r="K99" t="s">
        <v>1748</v>
      </c>
      <c r="N99" t="s">
        <v>1854</v>
      </c>
      <c r="O99" t="s">
        <v>1166</v>
      </c>
      <c r="Q99">
        <v>16</v>
      </c>
      <c r="R99" t="s">
        <v>1832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5003-10-10-105</v>
      </c>
      <c r="B100" s="2">
        <f ca="1">MATCH(表_网址[[#This Row],[版层分类]],序列_版层分类,0)*1000+MATCH(表_网址[[#This Row],[首要关键词]],序列_首要关键词,0)</f>
        <v>5003</v>
      </c>
      <c r="C100" s="2">
        <f>IF(表_网址[[#This Row],[次要关键词]]="",10,MATCH(表_网址[[#This Row],[次要关键词]],序列_次要关键词,0)+10)</f>
        <v>10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105</v>
      </c>
      <c r="F100" t="s">
        <v>860</v>
      </c>
      <c r="G100" t="s">
        <v>861</v>
      </c>
      <c r="H100" t="s">
        <v>29</v>
      </c>
      <c r="I100" t="s">
        <v>862</v>
      </c>
      <c r="J100" t="s">
        <v>1742</v>
      </c>
      <c r="K100" t="s">
        <v>1748</v>
      </c>
      <c r="N100" t="s">
        <v>1854</v>
      </c>
      <c r="Q100">
        <v>16</v>
      </c>
      <c r="R100" t="s">
        <v>1832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5003-10-10-106</v>
      </c>
      <c r="B101" s="2">
        <f ca="1">MATCH(表_网址[[#This Row],[版层分类]],序列_版层分类,0)*1000+MATCH(表_网址[[#This Row],[首要关键词]],序列_首要关键词,0)</f>
        <v>5003</v>
      </c>
      <c r="C101" s="2">
        <f>IF(表_网址[[#This Row],[次要关键词]]="",10,MATCH(表_网址[[#This Row],[次要关键词]],序列_次要关键词,0)+10)</f>
        <v>10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106</v>
      </c>
      <c r="F101" t="s">
        <v>863</v>
      </c>
      <c r="G101" t="s">
        <v>864</v>
      </c>
      <c r="H101" t="s">
        <v>29</v>
      </c>
      <c r="I101" t="s">
        <v>865</v>
      </c>
      <c r="J101" t="s">
        <v>1742</v>
      </c>
      <c r="K101" t="s">
        <v>1748</v>
      </c>
      <c r="N101" t="s">
        <v>1854</v>
      </c>
      <c r="O101" t="s">
        <v>1166</v>
      </c>
      <c r="Q101">
        <v>16</v>
      </c>
      <c r="R101" t="s">
        <v>1832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5003-10-10-107</v>
      </c>
      <c r="B102" s="2">
        <f ca="1">MATCH(表_网址[[#This Row],[版层分类]],序列_版层分类,0)*1000+MATCH(表_网址[[#This Row],[首要关键词]],序列_首要关键词,0)</f>
        <v>5003</v>
      </c>
      <c r="C102" s="2">
        <f>IF(表_网址[[#This Row],[次要关键词]]="",10,MATCH(表_网址[[#This Row],[次要关键词]],序列_次要关键词,0)+10)</f>
        <v>10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107</v>
      </c>
      <c r="F102" t="s">
        <v>866</v>
      </c>
      <c r="G102" t="s">
        <v>867</v>
      </c>
      <c r="H102" t="s">
        <v>29</v>
      </c>
      <c r="I102" t="s">
        <v>868</v>
      </c>
      <c r="J102" t="s">
        <v>1742</v>
      </c>
      <c r="K102" t="s">
        <v>1748</v>
      </c>
      <c r="N102" t="s">
        <v>1854</v>
      </c>
      <c r="O102" t="s">
        <v>1166</v>
      </c>
      <c r="Q102">
        <v>16</v>
      </c>
      <c r="R102" t="s">
        <v>1832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5003-10-10-108</v>
      </c>
      <c r="B103" s="2">
        <f ca="1">MATCH(表_网址[[#This Row],[版层分类]],序列_版层分类,0)*1000+MATCH(表_网址[[#This Row],[首要关键词]],序列_首要关键词,0)</f>
        <v>5003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108</v>
      </c>
      <c r="F103" t="s">
        <v>869</v>
      </c>
      <c r="G103" t="s">
        <v>870</v>
      </c>
      <c r="H103" t="s">
        <v>29</v>
      </c>
      <c r="I103" t="s">
        <v>871</v>
      </c>
      <c r="J103" t="s">
        <v>1742</v>
      </c>
      <c r="K103" t="s">
        <v>1748</v>
      </c>
      <c r="N103" t="s">
        <v>1854</v>
      </c>
      <c r="O103" t="s">
        <v>1166</v>
      </c>
      <c r="Q103">
        <v>32</v>
      </c>
      <c r="R103" t="s">
        <v>1832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5003-10-10-109</v>
      </c>
      <c r="B104" s="2">
        <f ca="1">MATCH(表_网址[[#This Row],[版层分类]],序列_版层分类,0)*1000+MATCH(表_网址[[#This Row],[首要关键词]],序列_首要关键词,0)</f>
        <v>5003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109</v>
      </c>
      <c r="F104" t="s">
        <v>872</v>
      </c>
      <c r="G104" t="s">
        <v>873</v>
      </c>
      <c r="H104" t="s">
        <v>29</v>
      </c>
      <c r="I104" t="s">
        <v>874</v>
      </c>
      <c r="J104" t="s">
        <v>1742</v>
      </c>
      <c r="K104" t="s">
        <v>1748</v>
      </c>
      <c r="N104" t="s">
        <v>1854</v>
      </c>
      <c r="Q104">
        <v>16</v>
      </c>
      <c r="R104" t="s">
        <v>1832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5003-10-10-110</v>
      </c>
      <c r="B105" s="2">
        <f ca="1">MATCH(表_网址[[#This Row],[版层分类]],序列_版层分类,0)*1000+MATCH(表_网址[[#This Row],[首要关键词]],序列_首要关键词,0)</f>
        <v>5003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110</v>
      </c>
      <c r="F105" t="s">
        <v>875</v>
      </c>
      <c r="G105" t="s">
        <v>876</v>
      </c>
      <c r="H105" t="s">
        <v>29</v>
      </c>
      <c r="I105" t="s">
        <v>877</v>
      </c>
      <c r="J105" t="s">
        <v>1742</v>
      </c>
      <c r="K105" t="s">
        <v>1748</v>
      </c>
      <c r="N105" t="s">
        <v>1854</v>
      </c>
      <c r="O105" t="s">
        <v>1166</v>
      </c>
      <c r="R105" t="s">
        <v>1832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7001-10-10-100</v>
      </c>
      <c r="B106" s="2">
        <f ca="1">MATCH(表_网址[[#This Row],[版层分类]],序列_版层分类,0)*1000+MATCH(表_网址[[#This Row],[首要关键词]],序列_首要关键词,0)</f>
        <v>7001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100</v>
      </c>
      <c r="F106" t="s">
        <v>1040</v>
      </c>
      <c r="G106" t="s">
        <v>1041</v>
      </c>
      <c r="H106" t="s">
        <v>29</v>
      </c>
      <c r="I106" t="s">
        <v>1042</v>
      </c>
      <c r="J106" t="s">
        <v>1688</v>
      </c>
      <c r="K106" t="s">
        <v>1043</v>
      </c>
      <c r="N106" t="s">
        <v>1854</v>
      </c>
      <c r="O106" t="s">
        <v>1166</v>
      </c>
      <c r="Q106">
        <v>32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7001-10-10-101</v>
      </c>
      <c r="B107" s="2">
        <f ca="1">MATCH(表_网址[[#This Row],[版层分类]],序列_版层分类,0)*1000+MATCH(表_网址[[#This Row],[首要关键词]],序列_首要关键词,0)</f>
        <v>7001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101</v>
      </c>
      <c r="F107" t="s">
        <v>1044</v>
      </c>
      <c r="G107" t="s">
        <v>1045</v>
      </c>
      <c r="H107" t="s">
        <v>1856</v>
      </c>
      <c r="I107" t="s">
        <v>1046</v>
      </c>
      <c r="J107" t="s">
        <v>1688</v>
      </c>
      <c r="K107" t="s">
        <v>1043</v>
      </c>
      <c r="N107" t="s">
        <v>1854</v>
      </c>
      <c r="O107" t="s">
        <v>1166</v>
      </c>
      <c r="Q107">
        <v>32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7001-10-10-102</v>
      </c>
      <c r="B108" s="2">
        <f ca="1">MATCH(表_网址[[#This Row],[版层分类]],序列_版层分类,0)*1000+MATCH(表_网址[[#This Row],[首要关键词]],序列_首要关键词,0)</f>
        <v>7001</v>
      </c>
      <c r="C108" s="2">
        <f>IF(表_网址[[#This Row],[次要关键词]]="",10,MATCH(表_网址[[#This Row],[次要关键词]],序列_次要关键词,0)+10)</f>
        <v>10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102</v>
      </c>
      <c r="F108" t="s">
        <v>1047</v>
      </c>
      <c r="G108" t="s">
        <v>1048</v>
      </c>
      <c r="H108" t="s">
        <v>29</v>
      </c>
      <c r="I108" t="s">
        <v>1049</v>
      </c>
      <c r="J108" t="s">
        <v>1688</v>
      </c>
      <c r="K108" t="s">
        <v>1043</v>
      </c>
      <c r="N108" t="s">
        <v>1854</v>
      </c>
      <c r="O108" t="s">
        <v>1166</v>
      </c>
      <c r="Q108">
        <v>64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7001-10-10-103</v>
      </c>
      <c r="B109" s="2">
        <f ca="1">MATCH(表_网址[[#This Row],[版层分类]],序列_版层分类,0)*1000+MATCH(表_网址[[#This Row],[首要关键词]],序列_首要关键词,0)</f>
        <v>7001</v>
      </c>
      <c r="C109" s="2">
        <f>IF(表_网址[[#This Row],[次要关键词]]="",10,MATCH(表_网址[[#This Row],[次要关键词]],序列_次要关键词,0)+10)</f>
        <v>10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103</v>
      </c>
      <c r="F109" t="s">
        <v>1050</v>
      </c>
      <c r="G109" t="s">
        <v>1051</v>
      </c>
      <c r="H109" t="s">
        <v>29</v>
      </c>
      <c r="I109" t="s">
        <v>1052</v>
      </c>
      <c r="J109" t="s">
        <v>1688</v>
      </c>
      <c r="K109" t="s">
        <v>1043</v>
      </c>
      <c r="N109" t="s">
        <v>1854</v>
      </c>
      <c r="O109" t="s">
        <v>1166</v>
      </c>
      <c r="Q109">
        <v>32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7001-10-10-104</v>
      </c>
      <c r="B110" s="2">
        <f ca="1">MATCH(表_网址[[#This Row],[版层分类]],序列_版层分类,0)*1000+MATCH(表_网址[[#This Row],[首要关键词]],序列_首要关键词,0)</f>
        <v>7001</v>
      </c>
      <c r="C110" s="2">
        <f>IF(表_网址[[#This Row],[次要关键词]]="",10,MATCH(表_网址[[#This Row],[次要关键词]],序列_次要关键词,0)+10)</f>
        <v>10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104</v>
      </c>
      <c r="F110" t="s">
        <v>543</v>
      </c>
      <c r="G110" t="s">
        <v>544</v>
      </c>
      <c r="H110" t="s">
        <v>29</v>
      </c>
      <c r="I110" t="s">
        <v>545</v>
      </c>
      <c r="J110" t="s">
        <v>1688</v>
      </c>
      <c r="K110" t="s">
        <v>1043</v>
      </c>
      <c r="N110" t="s">
        <v>1854</v>
      </c>
      <c r="O110" t="s">
        <v>1166</v>
      </c>
      <c r="Q110">
        <v>32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7001-10-10-105</v>
      </c>
      <c r="B111" s="2">
        <f ca="1">MATCH(表_网址[[#This Row],[版层分类]],序列_版层分类,0)*1000+MATCH(表_网址[[#This Row],[首要关键词]],序列_首要关键词,0)</f>
        <v>7001</v>
      </c>
      <c r="C111" s="2">
        <f>IF(表_网址[[#This Row],[次要关键词]]="",10,MATCH(表_网址[[#This Row],[次要关键词]],序列_次要关键词,0)+10)</f>
        <v>10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105</v>
      </c>
      <c r="F111" t="s">
        <v>1053</v>
      </c>
      <c r="G111" t="s">
        <v>1054</v>
      </c>
      <c r="H111" t="s">
        <v>29</v>
      </c>
      <c r="I111" t="s">
        <v>1055</v>
      </c>
      <c r="J111" t="s">
        <v>1688</v>
      </c>
      <c r="K111" t="s">
        <v>1043</v>
      </c>
      <c r="N111" t="s">
        <v>1854</v>
      </c>
      <c r="O111" t="s">
        <v>1166</v>
      </c>
      <c r="Q111">
        <v>32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7001-10-10-106</v>
      </c>
      <c r="B112" s="2">
        <f ca="1">MATCH(表_网址[[#This Row],[版层分类]],序列_版层分类,0)*1000+MATCH(表_网址[[#This Row],[首要关键词]],序列_首要关键词,0)</f>
        <v>7001</v>
      </c>
      <c r="C112" s="2">
        <f>IF(表_网址[[#This Row],[次要关键词]]="",10,MATCH(表_网址[[#This Row],[次要关键词]],序列_次要关键词,0)+10)</f>
        <v>10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106</v>
      </c>
      <c r="F112" t="s">
        <v>1056</v>
      </c>
      <c r="G112" t="s">
        <v>1057</v>
      </c>
      <c r="H112" t="s">
        <v>29</v>
      </c>
      <c r="I112" t="s">
        <v>1058</v>
      </c>
      <c r="J112" t="s">
        <v>1688</v>
      </c>
      <c r="K112" t="s">
        <v>1043</v>
      </c>
      <c r="N112" t="s">
        <v>1854</v>
      </c>
      <c r="O112" t="s">
        <v>1166</v>
      </c>
      <c r="Q112">
        <v>256</v>
      </c>
    </row>
    <row r="113" spans="1:19" x14ac:dyDescent="0.2">
      <c r="A113" t="str">
        <f ca="1">表_网址[[#This Row],[1级]]&amp;"-"&amp;表_网址[[#This Row],[2级]]&amp;"-"&amp;表_网址[[#This Row],[3级]]&amp;"-"&amp;表_网址[[#This Row],[级内]]</f>
        <v>7002-10-10-100</v>
      </c>
      <c r="B113" s="2">
        <f ca="1">MATCH(表_网址[[#This Row],[版层分类]],序列_版层分类,0)*1000+MATCH(表_网址[[#This Row],[首要关键词]],序列_首要关键词,0)</f>
        <v>7002</v>
      </c>
      <c r="C113" s="2">
        <f>IF(表_网址[[#This Row],[次要关键词]]="",10,MATCH(表_网址[[#This Row],[次要关键词]],序列_次要关键词,0)+10)</f>
        <v>10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100</v>
      </c>
      <c r="F113" t="s">
        <v>1059</v>
      </c>
      <c r="G113" t="s">
        <v>1060</v>
      </c>
      <c r="H113" t="s">
        <v>29</v>
      </c>
      <c r="I113" t="s">
        <v>1061</v>
      </c>
      <c r="J113" t="s">
        <v>1688</v>
      </c>
      <c r="K113" t="s">
        <v>1062</v>
      </c>
      <c r="N113" t="s">
        <v>1854</v>
      </c>
      <c r="O113" t="s">
        <v>1166</v>
      </c>
      <c r="Q113">
        <v>32</v>
      </c>
    </row>
    <row r="114" spans="1:19" x14ac:dyDescent="0.2">
      <c r="A114" t="str">
        <f ca="1">表_网址[[#This Row],[1级]]&amp;"-"&amp;表_网址[[#This Row],[2级]]&amp;"-"&amp;表_网址[[#This Row],[3级]]&amp;"-"&amp;表_网址[[#This Row],[级内]]</f>
        <v>7002-10-10-101</v>
      </c>
      <c r="B114" s="2">
        <f ca="1">MATCH(表_网址[[#This Row],[版层分类]],序列_版层分类,0)*1000+MATCH(表_网址[[#This Row],[首要关键词]],序列_首要关键词,0)</f>
        <v>7002</v>
      </c>
      <c r="C114" s="2">
        <f>IF(表_网址[[#This Row],[次要关键词]]="",10,MATCH(表_网址[[#This Row],[次要关键词]],序列_次要关键词,0)+10)</f>
        <v>10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101</v>
      </c>
      <c r="F114" t="s">
        <v>1063</v>
      </c>
      <c r="G114" t="s">
        <v>1064</v>
      </c>
      <c r="H114" t="s">
        <v>29</v>
      </c>
      <c r="I114" t="s">
        <v>1065</v>
      </c>
      <c r="J114" t="s">
        <v>1688</v>
      </c>
      <c r="K114" t="s">
        <v>1062</v>
      </c>
      <c r="N114" t="s">
        <v>1854</v>
      </c>
      <c r="O114" t="s">
        <v>1166</v>
      </c>
      <c r="Q114">
        <v>64</v>
      </c>
    </row>
    <row r="115" spans="1:19" x14ac:dyDescent="0.2">
      <c r="A115" t="str">
        <f ca="1">表_网址[[#This Row],[1级]]&amp;"-"&amp;表_网址[[#This Row],[2级]]&amp;"-"&amp;表_网址[[#This Row],[3级]]&amp;"-"&amp;表_网址[[#This Row],[级内]]</f>
        <v>7002-10-10-102</v>
      </c>
      <c r="B115" s="2">
        <f ca="1">MATCH(表_网址[[#This Row],[版层分类]],序列_版层分类,0)*1000+MATCH(表_网址[[#This Row],[首要关键词]],序列_首要关键词,0)</f>
        <v>7002</v>
      </c>
      <c r="C115" s="2">
        <f>IF(表_网址[[#This Row],[次要关键词]]="",10,MATCH(表_网址[[#This Row],[次要关键词]],序列_次要关键词,0)+10)</f>
        <v>10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102</v>
      </c>
      <c r="F115" t="s">
        <v>539</v>
      </c>
      <c r="G115" t="s">
        <v>540</v>
      </c>
      <c r="H115" t="s">
        <v>29</v>
      </c>
      <c r="I115" t="s">
        <v>541</v>
      </c>
      <c r="J115" t="s">
        <v>1688</v>
      </c>
      <c r="K115" t="s">
        <v>1062</v>
      </c>
      <c r="N115" t="s">
        <v>1854</v>
      </c>
      <c r="O115" t="s">
        <v>1166</v>
      </c>
      <c r="Q115">
        <v>64</v>
      </c>
    </row>
    <row r="116" spans="1:19" x14ac:dyDescent="0.2">
      <c r="A116" t="str">
        <f ca="1">表_网址[[#This Row],[1级]]&amp;"-"&amp;表_网址[[#This Row],[2级]]&amp;"-"&amp;表_网址[[#This Row],[3级]]&amp;"-"&amp;表_网址[[#This Row],[级内]]</f>
        <v>7002-10-10-103</v>
      </c>
      <c r="B116" s="2">
        <f ca="1">MATCH(表_网址[[#This Row],[版层分类]],序列_版层分类,0)*1000+MATCH(表_网址[[#This Row],[首要关键词]],序列_首要关键词,0)</f>
        <v>7002</v>
      </c>
      <c r="C116" s="2">
        <f>IF(表_网址[[#This Row],[次要关键词]]="",10,MATCH(表_网址[[#This Row],[次要关键词]],序列_次要关键词,0)+10)</f>
        <v>10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103</v>
      </c>
      <c r="F116" t="s">
        <v>1066</v>
      </c>
      <c r="G116" t="s">
        <v>1067</v>
      </c>
      <c r="H116" t="s">
        <v>29</v>
      </c>
      <c r="I116" t="s">
        <v>541</v>
      </c>
      <c r="J116" t="s">
        <v>1688</v>
      </c>
      <c r="K116" t="s">
        <v>1062</v>
      </c>
      <c r="N116" t="s">
        <v>1854</v>
      </c>
      <c r="O116" t="s">
        <v>1166</v>
      </c>
      <c r="Q116">
        <v>64</v>
      </c>
    </row>
    <row r="117" spans="1:19" x14ac:dyDescent="0.2">
      <c r="A117" t="str">
        <f ca="1">表_网址[[#This Row],[1级]]&amp;"-"&amp;表_网址[[#This Row],[2级]]&amp;"-"&amp;表_网址[[#This Row],[3级]]&amp;"-"&amp;表_网址[[#This Row],[级内]]</f>
        <v>7002-10-10-104</v>
      </c>
      <c r="B117" s="2">
        <f ca="1">MATCH(表_网址[[#This Row],[版层分类]],序列_版层分类,0)*1000+MATCH(表_网址[[#This Row],[首要关键词]],序列_首要关键词,0)</f>
        <v>7002</v>
      </c>
      <c r="C117" s="2">
        <f>IF(表_网址[[#This Row],[次要关键词]]="",10,MATCH(表_网址[[#This Row],[次要关键词]],序列_次要关键词,0)+10)</f>
        <v>10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104</v>
      </c>
      <c r="F117" t="s">
        <v>1068</v>
      </c>
      <c r="G117" t="s">
        <v>1069</v>
      </c>
      <c r="H117" t="s">
        <v>29</v>
      </c>
      <c r="I117" t="s">
        <v>1070</v>
      </c>
      <c r="J117" t="s">
        <v>1688</v>
      </c>
      <c r="K117" t="s">
        <v>1062</v>
      </c>
      <c r="N117" t="s">
        <v>1854</v>
      </c>
      <c r="O117" t="s">
        <v>1166</v>
      </c>
      <c r="Q117">
        <v>32</v>
      </c>
    </row>
    <row r="118" spans="1:19" x14ac:dyDescent="0.2">
      <c r="A118" t="str">
        <f ca="1">表_网址[[#This Row],[1级]]&amp;"-"&amp;表_网址[[#This Row],[2级]]&amp;"-"&amp;表_网址[[#This Row],[3级]]&amp;"-"&amp;表_网址[[#This Row],[级内]]</f>
        <v>7002-10-10-105</v>
      </c>
      <c r="B118" s="2">
        <f ca="1">MATCH(表_网址[[#This Row],[版层分类]],序列_版层分类,0)*1000+MATCH(表_网址[[#This Row],[首要关键词]],序列_首要关键词,0)</f>
        <v>7002</v>
      </c>
      <c r="C118" s="2">
        <f>IF(表_网址[[#This Row],[次要关键词]]="",10,MATCH(表_网址[[#This Row],[次要关键词]],序列_次要关键词,0)+10)</f>
        <v>10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105</v>
      </c>
      <c r="F118" t="s">
        <v>1063</v>
      </c>
      <c r="G118" t="s">
        <v>1064</v>
      </c>
      <c r="H118" t="s">
        <v>29</v>
      </c>
      <c r="I118" t="s">
        <v>1065</v>
      </c>
      <c r="J118" t="s">
        <v>1688</v>
      </c>
      <c r="K118" t="s">
        <v>1062</v>
      </c>
      <c r="N118" t="s">
        <v>1854</v>
      </c>
      <c r="O118" t="s">
        <v>1166</v>
      </c>
      <c r="Q118">
        <v>64</v>
      </c>
    </row>
    <row r="119" spans="1:19" x14ac:dyDescent="0.2">
      <c r="A119" t="str">
        <f ca="1">表_网址[[#This Row],[1级]]&amp;"-"&amp;表_网址[[#This Row],[2级]]&amp;"-"&amp;表_网址[[#This Row],[3级]]&amp;"-"&amp;表_网址[[#This Row],[级内]]</f>
        <v>7002-10-10-106</v>
      </c>
      <c r="B119" s="2">
        <f ca="1">MATCH(表_网址[[#This Row],[版层分类]],序列_版层分类,0)*1000+MATCH(表_网址[[#This Row],[首要关键词]],序列_首要关键词,0)</f>
        <v>7002</v>
      </c>
      <c r="C119" s="2">
        <f>IF(表_网址[[#This Row],[次要关键词]]="",10,MATCH(表_网址[[#This Row],[次要关键词]],序列_次要关键词,0)+10)</f>
        <v>10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106</v>
      </c>
      <c r="F119" t="s">
        <v>1071</v>
      </c>
      <c r="G119" t="s">
        <v>1072</v>
      </c>
      <c r="H119" t="s">
        <v>29</v>
      </c>
      <c r="I119" t="s">
        <v>1073</v>
      </c>
      <c r="J119" t="s">
        <v>1688</v>
      </c>
      <c r="K119" t="s">
        <v>1062</v>
      </c>
      <c r="N119" t="s">
        <v>1854</v>
      </c>
      <c r="O119" t="s">
        <v>1166</v>
      </c>
      <c r="Q119">
        <v>64</v>
      </c>
    </row>
    <row r="120" spans="1:19" x14ac:dyDescent="0.2">
      <c r="A120" t="str">
        <f ca="1">表_网址[[#This Row],[1级]]&amp;"-"&amp;表_网址[[#This Row],[2级]]&amp;"-"&amp;表_网址[[#This Row],[3级]]&amp;"-"&amp;表_网址[[#This Row],[级内]]</f>
        <v>7002-10-10-107</v>
      </c>
      <c r="B120" s="2">
        <f ca="1">MATCH(表_网址[[#This Row],[版层分类]],序列_版层分类,0)*1000+MATCH(表_网址[[#This Row],[首要关键词]],序列_首要关键词,0)</f>
        <v>7002</v>
      </c>
      <c r="C120" s="2">
        <f>IF(表_网址[[#This Row],[次要关键词]]="",10,MATCH(表_网址[[#This Row],[次要关键词]],序列_次要关键词,0)+10)</f>
        <v>10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107</v>
      </c>
      <c r="F120" t="s">
        <v>1074</v>
      </c>
      <c r="G120" t="s">
        <v>1075</v>
      </c>
      <c r="H120" t="s">
        <v>29</v>
      </c>
      <c r="I120" t="s">
        <v>1076</v>
      </c>
      <c r="J120" t="s">
        <v>1688</v>
      </c>
      <c r="K120" t="s">
        <v>1062</v>
      </c>
      <c r="N120" t="s">
        <v>1854</v>
      </c>
      <c r="O120" t="s">
        <v>1166</v>
      </c>
      <c r="Q120">
        <v>64</v>
      </c>
    </row>
    <row r="121" spans="1:19" x14ac:dyDescent="0.2">
      <c r="A121" t="str">
        <f ca="1">表_网址[[#This Row],[1级]]&amp;"-"&amp;表_网址[[#This Row],[2级]]&amp;"-"&amp;表_网址[[#This Row],[3级]]&amp;"-"&amp;表_网址[[#This Row],[级内]]</f>
        <v>7003-10-10-100</v>
      </c>
      <c r="B121" s="2">
        <f ca="1">MATCH(表_网址[[#This Row],[版层分类]],序列_版层分类,0)*1000+MATCH(表_网址[[#This Row],[首要关键词]],序列_首要关键词,0)</f>
        <v>7003</v>
      </c>
      <c r="C121" s="2">
        <f>IF(表_网址[[#This Row],[次要关键词]]="",10,MATCH(表_网址[[#This Row],[次要关键词]],序列_次要关键词,0)+10)</f>
        <v>10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100</v>
      </c>
      <c r="F121" t="s">
        <v>1077</v>
      </c>
      <c r="G121" t="s">
        <v>1078</v>
      </c>
      <c r="H121" t="s">
        <v>29</v>
      </c>
      <c r="I121" t="s">
        <v>1079</v>
      </c>
      <c r="J121" t="s">
        <v>1688</v>
      </c>
      <c r="K121" t="s">
        <v>591</v>
      </c>
      <c r="N121" t="s">
        <v>1854</v>
      </c>
      <c r="O121" t="s">
        <v>1166</v>
      </c>
      <c r="Q121">
        <v>16</v>
      </c>
    </row>
    <row r="122" spans="1:19" x14ac:dyDescent="0.2">
      <c r="A122" t="str">
        <f ca="1">表_网址[[#This Row],[1级]]&amp;"-"&amp;表_网址[[#This Row],[2级]]&amp;"-"&amp;表_网址[[#This Row],[3级]]&amp;"-"&amp;表_网址[[#This Row],[级内]]</f>
        <v>7004-10-10-100</v>
      </c>
      <c r="B122" s="2">
        <f ca="1">MATCH(表_网址[[#This Row],[版层分类]],序列_版层分类,0)*1000+MATCH(表_网址[[#This Row],[首要关键词]],序列_首要关键词,0)</f>
        <v>7004</v>
      </c>
      <c r="C122" s="2">
        <f>IF(表_网址[[#This Row],[次要关键词]]="",10,MATCH(表_网址[[#This Row],[次要关键词]],序列_次要关键词,0)+10)</f>
        <v>10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100</v>
      </c>
      <c r="F122" t="s">
        <v>621</v>
      </c>
      <c r="G122" t="s">
        <v>622</v>
      </c>
      <c r="H122" t="s">
        <v>29</v>
      </c>
      <c r="I122" t="s">
        <v>623</v>
      </c>
      <c r="J122" t="s">
        <v>1688</v>
      </c>
      <c r="K122" t="s">
        <v>1771</v>
      </c>
      <c r="N122" t="s">
        <v>1854</v>
      </c>
      <c r="O122" t="s">
        <v>1166</v>
      </c>
      <c r="Q122">
        <v>16</v>
      </c>
    </row>
    <row r="123" spans="1:19" x14ac:dyDescent="0.2">
      <c r="A123" t="str">
        <f ca="1">表_网址[[#This Row],[1级]]&amp;"-"&amp;表_网址[[#This Row],[2级]]&amp;"-"&amp;表_网址[[#This Row],[3级]]&amp;"-"&amp;表_网址[[#This Row],[级内]]</f>
        <v>7005-10-10-100</v>
      </c>
      <c r="B123" s="2">
        <f ca="1">MATCH(表_网址[[#This Row],[版层分类]],序列_版层分类,0)*1000+MATCH(表_网址[[#This Row],[首要关键词]],序列_首要关键词,0)</f>
        <v>7005</v>
      </c>
      <c r="C123" s="2">
        <f>IF(表_网址[[#This Row],[次要关键词]]="",10,MATCH(表_网址[[#This Row],[次要关键词]],序列_次要关键词,0)+10)</f>
        <v>10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100</v>
      </c>
      <c r="F123" t="s">
        <v>1102</v>
      </c>
      <c r="G123" t="s">
        <v>1103</v>
      </c>
      <c r="H123" t="s">
        <v>29</v>
      </c>
      <c r="I123" t="s">
        <v>1104</v>
      </c>
      <c r="J123" t="s">
        <v>1688</v>
      </c>
      <c r="K123" t="s">
        <v>1773</v>
      </c>
      <c r="N123" t="s">
        <v>1854</v>
      </c>
      <c r="O123" t="s">
        <v>1166</v>
      </c>
      <c r="Q123">
        <v>16</v>
      </c>
      <c r="R123" t="s">
        <v>1832</v>
      </c>
      <c r="S123" t="s">
        <v>1836</v>
      </c>
    </row>
    <row r="124" spans="1:19" x14ac:dyDescent="0.2">
      <c r="A124" t="str">
        <f ca="1">表_网址[[#This Row],[1级]]&amp;"-"&amp;表_网址[[#This Row],[2级]]&amp;"-"&amp;表_网址[[#This Row],[3级]]&amp;"-"&amp;表_网址[[#This Row],[级内]]</f>
        <v>8001-10-10-100</v>
      </c>
      <c r="B124" s="2">
        <f ca="1">MATCH(表_网址[[#This Row],[版层分类]],序列_版层分类,0)*1000+MATCH(表_网址[[#This Row],[首要关键词]],序列_首要关键词,0)</f>
        <v>8001</v>
      </c>
      <c r="C124" s="2">
        <f>IF(表_网址[[#This Row],[次要关键词]]="",10,MATCH(表_网址[[#This Row],[次要关键词]],序列_次要关键词,0)+10)</f>
        <v>10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100</v>
      </c>
      <c r="F124" t="s">
        <v>1830</v>
      </c>
      <c r="G124" s="8" t="s">
        <v>1829</v>
      </c>
      <c r="H124" t="s">
        <v>29</v>
      </c>
      <c r="I124" s="8" t="s">
        <v>1831</v>
      </c>
      <c r="J124" t="s">
        <v>1827</v>
      </c>
      <c r="K124" t="s">
        <v>1686</v>
      </c>
      <c r="N124" t="s">
        <v>1854</v>
      </c>
      <c r="O124" t="s">
        <v>1166</v>
      </c>
      <c r="Q124">
        <v>256</v>
      </c>
      <c r="R124" t="s">
        <v>1832</v>
      </c>
      <c r="S124" t="s">
        <v>1833</v>
      </c>
    </row>
    <row r="125" spans="1:19" x14ac:dyDescent="0.2">
      <c r="A125" t="str">
        <f ca="1">表_网址[[#This Row],[1级]]&amp;"-"&amp;表_网址[[#This Row],[2级]]&amp;"-"&amp;表_网址[[#This Row],[3级]]&amp;"-"&amp;表_网址[[#This Row],[级内]]</f>
        <v>8002-10-10-100</v>
      </c>
      <c r="B125" s="2">
        <f ca="1">MATCH(表_网址[[#This Row],[版层分类]],序列_版层分类,0)*1000+MATCH(表_网址[[#This Row],[首要关键词]],序列_首要关键词,0)</f>
        <v>8002</v>
      </c>
      <c r="C125" s="2">
        <f>IF(表_网址[[#This Row],[次要关键词]]="",10,MATCH(表_网址[[#This Row],[次要关键词]],序列_次要关键词,0)+10)</f>
        <v>10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100</v>
      </c>
      <c r="F125" t="s">
        <v>1835</v>
      </c>
      <c r="G125" s="8" t="s">
        <v>1834</v>
      </c>
      <c r="H125" t="s">
        <v>29</v>
      </c>
      <c r="J125" t="s">
        <v>1827</v>
      </c>
      <c r="K125" t="s">
        <v>1687</v>
      </c>
      <c r="N125" t="s">
        <v>1854</v>
      </c>
    </row>
    <row r="126" spans="1:19" x14ac:dyDescent="0.2">
      <c r="A126" t="str">
        <f ca="1">表_网址[[#This Row],[1级]]&amp;"-"&amp;表_网址[[#This Row],[2级]]&amp;"-"&amp;表_网址[[#This Row],[3级]]&amp;"-"&amp;表_网址[[#This Row],[级内]]</f>
        <v>8003-10-10-100</v>
      </c>
      <c r="B126">
        <f ca="1">MATCH(表_网址[[#This Row],[版层分类]],序列_版层分类,0)*1000+MATCH(表_网址[[#This Row],[首要关键词]],序列_首要关键词,0)</f>
        <v>8003</v>
      </c>
      <c r="C126">
        <f>IF(表_网址[[#This Row],[次要关键词]]="",10,MATCH(表_网址[[#This Row],[次要关键词]],序列_次要关键词,0)+10)</f>
        <v>10</v>
      </c>
      <c r="D126">
        <f>IF(表_网址[[#This Row],[重点关键词]]="",10,MATCH(表_网址[[#This Row],[重点关键词]],序列_重点关键词,0)+10)</f>
        <v>10</v>
      </c>
      <c r="E126">
        <f>IF(AND(表_网址[[#This Row],[首要关键词]]=K125,表_网址[[#This Row],[次要关键词]]=L125,表_网址[[#This Row],[重点关键词]]=M125),E125+1,IF(表_网址[[#This Row],[重点关键词]]="",100,101))</f>
        <v>100</v>
      </c>
      <c r="F126" t="s">
        <v>19</v>
      </c>
      <c r="G126" t="s">
        <v>20</v>
      </c>
      <c r="H126" t="s">
        <v>21</v>
      </c>
      <c r="I126" t="s">
        <v>22</v>
      </c>
      <c r="J126" t="s">
        <v>1827</v>
      </c>
      <c r="K126" t="s">
        <v>24</v>
      </c>
      <c r="N126" t="s">
        <v>1854</v>
      </c>
      <c r="O126" t="s">
        <v>1166</v>
      </c>
      <c r="Q126">
        <v>16</v>
      </c>
    </row>
    <row r="127" spans="1:19" x14ac:dyDescent="0.2">
      <c r="A127" t="str">
        <f ca="1">表_网址[[#This Row],[1级]]&amp;"-"&amp;表_网址[[#This Row],[2级]]&amp;"-"&amp;表_网址[[#This Row],[3级]]&amp;"-"&amp;表_网址[[#This Row],[级内]]</f>
        <v>8003-11-10-100</v>
      </c>
      <c r="B127">
        <f ca="1">MATCH(表_网址[[#This Row],[版层分类]],序列_版层分类,0)*1000+MATCH(表_网址[[#This Row],[首要关键词]],序列_首要关键词,0)</f>
        <v>8003</v>
      </c>
      <c r="C127">
        <f ca="1">IF(表_网址[[#This Row],[次要关键词]]="",10,MATCH(表_网址[[#This Row],[次要关键词]],序列_次要关键词,0)+10)</f>
        <v>11</v>
      </c>
      <c r="D127">
        <f>IF(表_网址[[#This Row],[重点关键词]]="",10,MATCH(表_网址[[#This Row],[重点关键词]],序列_重点关键词,0)+10)</f>
        <v>10</v>
      </c>
      <c r="E127">
        <f>IF(AND(表_网址[[#This Row],[首要关键词]]=K126,表_网址[[#This Row],[次要关键词]]=L126,表_网址[[#This Row],[重点关键词]]=M126),E126+1,IF(表_网址[[#This Row],[重点关键词]]="",100,101))</f>
        <v>100</v>
      </c>
      <c r="F127" t="s">
        <v>25</v>
      </c>
      <c r="J127" t="s">
        <v>1827</v>
      </c>
      <c r="K127" t="s">
        <v>24</v>
      </c>
      <c r="L127" t="s">
        <v>26</v>
      </c>
    </row>
    <row r="128" spans="1:19" x14ac:dyDescent="0.2">
      <c r="A128" t="str">
        <f ca="1">表_网址[[#This Row],[1级]]&amp;"-"&amp;表_网址[[#This Row],[2级]]&amp;"-"&amp;表_网址[[#This Row],[3级]]&amp;"-"&amp;表_网址[[#This Row],[级内]]</f>
        <v>8003-11-11-101</v>
      </c>
      <c r="B128">
        <f ca="1">MATCH(表_网址[[#This Row],[版层分类]],序列_版层分类,0)*1000+MATCH(表_网址[[#This Row],[首要关键词]],序列_首要关键词,0)</f>
        <v>8003</v>
      </c>
      <c r="C128">
        <f ca="1">IF(表_网址[[#This Row],[次要关键词]]="",10,MATCH(表_网址[[#This Row],[次要关键词]],序列_次要关键词,0)+10)</f>
        <v>11</v>
      </c>
      <c r="D128">
        <f ca="1">IF(表_网址[[#This Row],[重点关键词]]="",10,MATCH(表_网址[[#This Row],[重点关键词]],序列_重点关键词,0)+10)</f>
        <v>11</v>
      </c>
      <c r="E128">
        <f>IF(AND(表_网址[[#This Row],[首要关键词]]=K127,表_网址[[#This Row],[次要关键词]]=L127,表_网址[[#This Row],[重点关键词]]=M127),E127+1,IF(表_网址[[#This Row],[重点关键词]]="",100,101))</f>
        <v>101</v>
      </c>
      <c r="F128" t="s">
        <v>27</v>
      </c>
      <c r="G128" t="s">
        <v>28</v>
      </c>
      <c r="H128" t="s">
        <v>29</v>
      </c>
      <c r="I128" t="s">
        <v>30</v>
      </c>
      <c r="J128" t="s">
        <v>1827</v>
      </c>
      <c r="K128" t="s">
        <v>24</v>
      </c>
      <c r="L128" t="s">
        <v>26</v>
      </c>
      <c r="M128" t="s">
        <v>31</v>
      </c>
      <c r="N128" t="s">
        <v>1854</v>
      </c>
    </row>
    <row r="129" spans="1:17" x14ac:dyDescent="0.2">
      <c r="A129" t="str">
        <f ca="1">表_网址[[#This Row],[1级]]&amp;"-"&amp;表_网址[[#This Row],[2级]]&amp;"-"&amp;表_网址[[#This Row],[3级]]&amp;"-"&amp;表_网址[[#This Row],[级内]]</f>
        <v>8003-11-11-102</v>
      </c>
      <c r="B129">
        <f ca="1">MATCH(表_网址[[#This Row],[版层分类]],序列_版层分类,0)*1000+MATCH(表_网址[[#This Row],[首要关键词]],序列_首要关键词,0)</f>
        <v>8003</v>
      </c>
      <c r="C129">
        <f ca="1">IF(表_网址[[#This Row],[次要关键词]]="",10,MATCH(表_网址[[#This Row],[次要关键词]],序列_次要关键词,0)+10)</f>
        <v>11</v>
      </c>
      <c r="D129">
        <f ca="1">IF(表_网址[[#This Row],[重点关键词]]="",10,MATCH(表_网址[[#This Row],[重点关键词]],序列_重点关键词,0)+10)</f>
        <v>11</v>
      </c>
      <c r="E129">
        <f>IF(AND(表_网址[[#This Row],[首要关键词]]=K128,表_网址[[#This Row],[次要关键词]]=L128,表_网址[[#This Row],[重点关键词]]=M128),E128+1,IF(表_网址[[#This Row],[重点关键词]]="",100,101))</f>
        <v>102</v>
      </c>
      <c r="F129" t="s">
        <v>32</v>
      </c>
      <c r="G129" t="s">
        <v>33</v>
      </c>
      <c r="H129" t="s">
        <v>29</v>
      </c>
      <c r="I129" t="s">
        <v>34</v>
      </c>
      <c r="J129" t="s">
        <v>1827</v>
      </c>
      <c r="K129" t="s">
        <v>24</v>
      </c>
      <c r="L129" t="s">
        <v>26</v>
      </c>
      <c r="M129" t="s">
        <v>31</v>
      </c>
      <c r="N129" t="s">
        <v>1854</v>
      </c>
      <c r="Q129">
        <v>256</v>
      </c>
    </row>
    <row r="130" spans="1:17" x14ac:dyDescent="0.2">
      <c r="A130" t="str">
        <f ca="1">表_网址[[#This Row],[1级]]&amp;"-"&amp;表_网址[[#This Row],[2级]]&amp;"-"&amp;表_网址[[#This Row],[3级]]&amp;"-"&amp;表_网址[[#This Row],[级内]]</f>
        <v>8003-11-11-103</v>
      </c>
      <c r="B130">
        <f ca="1">MATCH(表_网址[[#This Row],[版层分类]],序列_版层分类,0)*1000+MATCH(表_网址[[#This Row],[首要关键词]],序列_首要关键词,0)</f>
        <v>8003</v>
      </c>
      <c r="C130">
        <f ca="1">IF(表_网址[[#This Row],[次要关键词]]="",10,MATCH(表_网址[[#This Row],[次要关键词]],序列_次要关键词,0)+10)</f>
        <v>11</v>
      </c>
      <c r="D130">
        <f ca="1">IF(表_网址[[#This Row],[重点关键词]]="",10,MATCH(表_网址[[#This Row],[重点关键词]],序列_重点关键词,0)+10)</f>
        <v>11</v>
      </c>
      <c r="E130">
        <f>IF(AND(表_网址[[#This Row],[首要关键词]]=K129,表_网址[[#This Row],[次要关键词]]=L129,表_网址[[#This Row],[重点关键词]]=M129),E129+1,IF(表_网址[[#This Row],[重点关键词]]="",100,101))</f>
        <v>103</v>
      </c>
      <c r="F130" t="s">
        <v>35</v>
      </c>
      <c r="G130" t="s">
        <v>36</v>
      </c>
      <c r="H130" t="s">
        <v>29</v>
      </c>
      <c r="I130" t="s">
        <v>37</v>
      </c>
      <c r="J130" t="s">
        <v>1827</v>
      </c>
      <c r="K130" t="s">
        <v>24</v>
      </c>
      <c r="L130" t="s">
        <v>26</v>
      </c>
      <c r="M130" t="s">
        <v>31</v>
      </c>
      <c r="N130" t="s">
        <v>1854</v>
      </c>
    </row>
    <row r="131" spans="1:17" x14ac:dyDescent="0.2">
      <c r="A131" t="str">
        <f ca="1">表_网址[[#This Row],[1级]]&amp;"-"&amp;表_网址[[#This Row],[2级]]&amp;"-"&amp;表_网址[[#This Row],[3级]]&amp;"-"&amp;表_网址[[#This Row],[级内]]</f>
        <v>8003-11-11-104</v>
      </c>
      <c r="B131">
        <f ca="1">MATCH(表_网址[[#This Row],[版层分类]],序列_版层分类,0)*1000+MATCH(表_网址[[#This Row],[首要关键词]],序列_首要关键词,0)</f>
        <v>8003</v>
      </c>
      <c r="C131">
        <f ca="1">IF(表_网址[[#This Row],[次要关键词]]="",10,MATCH(表_网址[[#This Row],[次要关键词]],序列_次要关键词,0)+10)</f>
        <v>11</v>
      </c>
      <c r="D131">
        <f ca="1">IF(表_网址[[#This Row],[重点关键词]]="",10,MATCH(表_网址[[#This Row],[重点关键词]],序列_重点关键词,0)+10)</f>
        <v>11</v>
      </c>
      <c r="E131">
        <f>IF(AND(表_网址[[#This Row],[首要关键词]]=K130,表_网址[[#This Row],[次要关键词]]=L130,表_网址[[#This Row],[重点关键词]]=M130),E130+1,IF(表_网址[[#This Row],[重点关键词]]="",100,101))</f>
        <v>104</v>
      </c>
      <c r="F131" t="s">
        <v>38</v>
      </c>
      <c r="G131" t="s">
        <v>39</v>
      </c>
      <c r="H131" t="s">
        <v>29</v>
      </c>
      <c r="I131" t="s">
        <v>40</v>
      </c>
      <c r="J131" t="s">
        <v>1827</v>
      </c>
      <c r="K131" t="s">
        <v>24</v>
      </c>
      <c r="L131" t="s">
        <v>26</v>
      </c>
      <c r="M131" t="s">
        <v>31</v>
      </c>
      <c r="N131" t="s">
        <v>1854</v>
      </c>
      <c r="Q131">
        <v>16</v>
      </c>
    </row>
    <row r="132" spans="1:17" x14ac:dyDescent="0.2">
      <c r="A132" t="str">
        <f ca="1">表_网址[[#This Row],[1级]]&amp;"-"&amp;表_网址[[#This Row],[2级]]&amp;"-"&amp;表_网址[[#This Row],[3级]]&amp;"-"&amp;表_网址[[#This Row],[级内]]</f>
        <v>8003-11-11-105</v>
      </c>
      <c r="B132">
        <f ca="1">MATCH(表_网址[[#This Row],[版层分类]],序列_版层分类,0)*1000+MATCH(表_网址[[#This Row],[首要关键词]],序列_首要关键词,0)</f>
        <v>8003</v>
      </c>
      <c r="C132">
        <f ca="1">IF(表_网址[[#This Row],[次要关键词]]="",10,MATCH(表_网址[[#This Row],[次要关键词]],序列_次要关键词,0)+10)</f>
        <v>11</v>
      </c>
      <c r="D132">
        <f ca="1">IF(表_网址[[#This Row],[重点关键词]]="",10,MATCH(表_网址[[#This Row],[重点关键词]],序列_重点关键词,0)+10)</f>
        <v>11</v>
      </c>
      <c r="E132">
        <f>IF(AND(表_网址[[#This Row],[首要关键词]]=K131,表_网址[[#This Row],[次要关键词]]=L131,表_网址[[#This Row],[重点关键词]]=M131),E131+1,IF(表_网址[[#This Row],[重点关键词]]="",100,101))</f>
        <v>105</v>
      </c>
      <c r="F132" t="s">
        <v>41</v>
      </c>
      <c r="G132" t="s">
        <v>42</v>
      </c>
      <c r="H132" t="s">
        <v>29</v>
      </c>
      <c r="I132" t="s">
        <v>40</v>
      </c>
      <c r="J132" t="s">
        <v>1827</v>
      </c>
      <c r="K132" t="s">
        <v>24</v>
      </c>
      <c r="L132" t="s">
        <v>26</v>
      </c>
      <c r="M132" t="s">
        <v>31</v>
      </c>
      <c r="N132" t="s">
        <v>1854</v>
      </c>
      <c r="Q132">
        <v>16</v>
      </c>
    </row>
    <row r="133" spans="1:17" x14ac:dyDescent="0.2">
      <c r="A133" t="str">
        <f ca="1">表_网址[[#This Row],[1级]]&amp;"-"&amp;表_网址[[#This Row],[2级]]&amp;"-"&amp;表_网址[[#This Row],[3级]]&amp;"-"&amp;表_网址[[#This Row],[级内]]</f>
        <v>8003-11-11-106</v>
      </c>
      <c r="B133">
        <f ca="1">MATCH(表_网址[[#This Row],[版层分类]],序列_版层分类,0)*1000+MATCH(表_网址[[#This Row],[首要关键词]],序列_首要关键词,0)</f>
        <v>8003</v>
      </c>
      <c r="C133">
        <f ca="1">IF(表_网址[[#This Row],[次要关键词]]="",10,MATCH(表_网址[[#This Row],[次要关键词]],序列_次要关键词,0)+10)</f>
        <v>11</v>
      </c>
      <c r="D133">
        <f ca="1">IF(表_网址[[#This Row],[重点关键词]]="",10,MATCH(表_网址[[#This Row],[重点关键词]],序列_重点关键词,0)+10)</f>
        <v>11</v>
      </c>
      <c r="E133">
        <f>IF(AND(表_网址[[#This Row],[首要关键词]]=K132,表_网址[[#This Row],[次要关键词]]=L132,表_网址[[#This Row],[重点关键词]]=M132),E132+1,IF(表_网址[[#This Row],[重点关键词]]="",100,101))</f>
        <v>106</v>
      </c>
      <c r="F133" t="s">
        <v>43</v>
      </c>
      <c r="G133" t="s">
        <v>44</v>
      </c>
      <c r="H133" t="s">
        <v>29</v>
      </c>
      <c r="I133" t="s">
        <v>45</v>
      </c>
      <c r="J133" t="s">
        <v>1827</v>
      </c>
      <c r="K133" t="s">
        <v>24</v>
      </c>
      <c r="L133" t="s">
        <v>26</v>
      </c>
      <c r="M133" t="s">
        <v>31</v>
      </c>
      <c r="N133" t="s">
        <v>1854</v>
      </c>
      <c r="Q133">
        <v>16</v>
      </c>
    </row>
    <row r="134" spans="1:17" x14ac:dyDescent="0.2">
      <c r="A134" t="str">
        <f ca="1">表_网址[[#This Row],[1级]]&amp;"-"&amp;表_网址[[#This Row],[2级]]&amp;"-"&amp;表_网址[[#This Row],[3级]]&amp;"-"&amp;表_网址[[#This Row],[级内]]</f>
        <v>8003-11-11-107</v>
      </c>
      <c r="B134">
        <f ca="1">MATCH(表_网址[[#This Row],[版层分类]],序列_版层分类,0)*1000+MATCH(表_网址[[#This Row],[首要关键词]],序列_首要关键词,0)</f>
        <v>8003</v>
      </c>
      <c r="C134">
        <f ca="1">IF(表_网址[[#This Row],[次要关键词]]="",10,MATCH(表_网址[[#This Row],[次要关键词]],序列_次要关键词,0)+10)</f>
        <v>11</v>
      </c>
      <c r="D134">
        <f ca="1">IF(表_网址[[#This Row],[重点关键词]]="",10,MATCH(表_网址[[#This Row],[重点关键词]],序列_重点关键词,0)+10)</f>
        <v>11</v>
      </c>
      <c r="E134">
        <f>IF(AND(表_网址[[#This Row],[首要关键词]]=K133,表_网址[[#This Row],[次要关键词]]=L133,表_网址[[#This Row],[重点关键词]]=M133),E133+1,IF(表_网址[[#This Row],[重点关键词]]="",100,101))</f>
        <v>107</v>
      </c>
      <c r="F134" t="s">
        <v>46</v>
      </c>
      <c r="G134" t="s">
        <v>47</v>
      </c>
      <c r="H134" t="s">
        <v>29</v>
      </c>
      <c r="I134" t="s">
        <v>48</v>
      </c>
      <c r="J134" t="s">
        <v>1827</v>
      </c>
      <c r="K134" t="s">
        <v>24</v>
      </c>
      <c r="L134" t="s">
        <v>26</v>
      </c>
      <c r="M134" t="s">
        <v>31</v>
      </c>
      <c r="N134" t="s">
        <v>1854</v>
      </c>
      <c r="O134" t="s">
        <v>1166</v>
      </c>
      <c r="Q134">
        <v>32</v>
      </c>
    </row>
    <row r="135" spans="1:17" x14ac:dyDescent="0.2">
      <c r="A135" t="str">
        <f ca="1">表_网址[[#This Row],[1级]]&amp;"-"&amp;表_网址[[#This Row],[2级]]&amp;"-"&amp;表_网址[[#This Row],[3级]]&amp;"-"&amp;表_网址[[#This Row],[级内]]</f>
        <v>8003-11-11-108</v>
      </c>
      <c r="B135">
        <f ca="1">MATCH(表_网址[[#This Row],[版层分类]],序列_版层分类,0)*1000+MATCH(表_网址[[#This Row],[首要关键词]],序列_首要关键词,0)</f>
        <v>8003</v>
      </c>
      <c r="C135">
        <f ca="1">IF(表_网址[[#This Row],[次要关键词]]="",10,MATCH(表_网址[[#This Row],[次要关键词]],序列_次要关键词,0)+10)</f>
        <v>11</v>
      </c>
      <c r="D135">
        <f ca="1">IF(表_网址[[#This Row],[重点关键词]]="",10,MATCH(表_网址[[#This Row],[重点关键词]],序列_重点关键词,0)+10)</f>
        <v>11</v>
      </c>
      <c r="E135">
        <f>IF(AND(表_网址[[#This Row],[首要关键词]]=K134,表_网址[[#This Row],[次要关键词]]=L134,表_网址[[#This Row],[重点关键词]]=M134),E134+1,IF(表_网址[[#This Row],[重点关键词]]="",100,101))</f>
        <v>108</v>
      </c>
      <c r="F135" t="s">
        <v>49</v>
      </c>
      <c r="G135" t="s">
        <v>50</v>
      </c>
      <c r="H135" t="s">
        <v>29</v>
      </c>
      <c r="I135" t="s">
        <v>51</v>
      </c>
      <c r="J135" t="s">
        <v>1827</v>
      </c>
      <c r="K135" t="s">
        <v>24</v>
      </c>
      <c r="L135" t="s">
        <v>26</v>
      </c>
      <c r="M135" t="s">
        <v>31</v>
      </c>
      <c r="N135" t="s">
        <v>1854</v>
      </c>
    </row>
    <row r="136" spans="1:17" x14ac:dyDescent="0.2">
      <c r="A136" t="str">
        <f ca="1">表_网址[[#This Row],[1级]]&amp;"-"&amp;表_网址[[#This Row],[2级]]&amp;"-"&amp;表_网址[[#This Row],[3级]]&amp;"-"&amp;表_网址[[#This Row],[级内]]</f>
        <v>8003-11-11-109</v>
      </c>
      <c r="B136">
        <f ca="1">MATCH(表_网址[[#This Row],[版层分类]],序列_版层分类,0)*1000+MATCH(表_网址[[#This Row],[首要关键词]],序列_首要关键词,0)</f>
        <v>8003</v>
      </c>
      <c r="C136">
        <f ca="1">IF(表_网址[[#This Row],[次要关键词]]="",10,MATCH(表_网址[[#This Row],[次要关键词]],序列_次要关键词,0)+10)</f>
        <v>11</v>
      </c>
      <c r="D136">
        <f ca="1">IF(表_网址[[#This Row],[重点关键词]]="",10,MATCH(表_网址[[#This Row],[重点关键词]],序列_重点关键词,0)+10)</f>
        <v>11</v>
      </c>
      <c r="E136">
        <f>IF(AND(表_网址[[#This Row],[首要关键词]]=K135,表_网址[[#This Row],[次要关键词]]=L135,表_网址[[#This Row],[重点关键词]]=M135),E135+1,IF(表_网址[[#This Row],[重点关键词]]="",100,101))</f>
        <v>109</v>
      </c>
      <c r="F136" t="s">
        <v>52</v>
      </c>
      <c r="G136" t="s">
        <v>53</v>
      </c>
      <c r="H136" t="s">
        <v>29</v>
      </c>
      <c r="I136" t="s">
        <v>54</v>
      </c>
      <c r="J136" t="s">
        <v>1827</v>
      </c>
      <c r="K136" t="s">
        <v>24</v>
      </c>
      <c r="L136" t="s">
        <v>26</v>
      </c>
      <c r="M136" t="s">
        <v>31</v>
      </c>
      <c r="N136" t="s">
        <v>1854</v>
      </c>
    </row>
    <row r="137" spans="1:17" x14ac:dyDescent="0.2">
      <c r="A137" t="str">
        <f ca="1">表_网址[[#This Row],[1级]]&amp;"-"&amp;表_网址[[#This Row],[2级]]&amp;"-"&amp;表_网址[[#This Row],[3级]]&amp;"-"&amp;表_网址[[#This Row],[级内]]</f>
        <v>8003-11-11-110</v>
      </c>
      <c r="B137">
        <f ca="1">MATCH(表_网址[[#This Row],[版层分类]],序列_版层分类,0)*1000+MATCH(表_网址[[#This Row],[首要关键词]],序列_首要关键词,0)</f>
        <v>8003</v>
      </c>
      <c r="C137">
        <f ca="1">IF(表_网址[[#This Row],[次要关键词]]="",10,MATCH(表_网址[[#This Row],[次要关键词]],序列_次要关键词,0)+10)</f>
        <v>11</v>
      </c>
      <c r="D137">
        <f ca="1">IF(表_网址[[#This Row],[重点关键词]]="",10,MATCH(表_网址[[#This Row],[重点关键词]],序列_重点关键词,0)+10)</f>
        <v>11</v>
      </c>
      <c r="E137">
        <f>IF(AND(表_网址[[#This Row],[首要关键词]]=K136,表_网址[[#This Row],[次要关键词]]=L136,表_网址[[#This Row],[重点关键词]]=M136),E136+1,IF(表_网址[[#This Row],[重点关键词]]="",100,101))</f>
        <v>110</v>
      </c>
      <c r="F137" t="s">
        <v>55</v>
      </c>
      <c r="G137" t="s">
        <v>56</v>
      </c>
      <c r="H137" t="s">
        <v>29</v>
      </c>
      <c r="I137" t="s">
        <v>57</v>
      </c>
      <c r="J137" t="s">
        <v>1827</v>
      </c>
      <c r="K137" t="s">
        <v>24</v>
      </c>
      <c r="L137" t="s">
        <v>26</v>
      </c>
      <c r="M137" t="s">
        <v>31</v>
      </c>
      <c r="N137" t="s">
        <v>1854</v>
      </c>
      <c r="O137" t="s">
        <v>1166</v>
      </c>
      <c r="Q137">
        <v>32</v>
      </c>
    </row>
    <row r="138" spans="1:17" x14ac:dyDescent="0.2">
      <c r="A138" t="str">
        <f ca="1">表_网址[[#This Row],[1级]]&amp;"-"&amp;表_网址[[#This Row],[2级]]&amp;"-"&amp;表_网址[[#This Row],[3级]]&amp;"-"&amp;表_网址[[#This Row],[级内]]</f>
        <v>8003-11-11-111</v>
      </c>
      <c r="B138">
        <f ca="1">MATCH(表_网址[[#This Row],[版层分类]],序列_版层分类,0)*1000+MATCH(表_网址[[#This Row],[首要关键词]],序列_首要关键词,0)</f>
        <v>8003</v>
      </c>
      <c r="C138">
        <f ca="1">IF(表_网址[[#This Row],[次要关键词]]="",10,MATCH(表_网址[[#This Row],[次要关键词]],序列_次要关键词,0)+10)</f>
        <v>11</v>
      </c>
      <c r="D138">
        <f ca="1">IF(表_网址[[#This Row],[重点关键词]]="",10,MATCH(表_网址[[#This Row],[重点关键词]],序列_重点关键词,0)+10)</f>
        <v>11</v>
      </c>
      <c r="E138">
        <f>IF(AND(表_网址[[#This Row],[首要关键词]]=K137,表_网址[[#This Row],[次要关键词]]=L137,表_网址[[#This Row],[重点关键词]]=M137),E137+1,IF(表_网址[[#This Row],[重点关键词]]="",100,101))</f>
        <v>111</v>
      </c>
      <c r="F138" t="s">
        <v>58</v>
      </c>
      <c r="G138" t="s">
        <v>59</v>
      </c>
      <c r="H138" t="s">
        <v>29</v>
      </c>
      <c r="I138" t="s">
        <v>60</v>
      </c>
      <c r="J138" t="s">
        <v>1827</v>
      </c>
      <c r="K138" t="s">
        <v>24</v>
      </c>
      <c r="L138" t="s">
        <v>26</v>
      </c>
      <c r="M138" t="s">
        <v>31</v>
      </c>
      <c r="N138" t="s">
        <v>1854</v>
      </c>
      <c r="O138" t="s">
        <v>1166</v>
      </c>
      <c r="Q138">
        <v>16</v>
      </c>
    </row>
    <row r="139" spans="1:17" x14ac:dyDescent="0.2">
      <c r="A139" t="str">
        <f ca="1">表_网址[[#This Row],[1级]]&amp;"-"&amp;表_网址[[#This Row],[2级]]&amp;"-"&amp;表_网址[[#This Row],[3级]]&amp;"-"&amp;表_网址[[#This Row],[级内]]</f>
        <v>8003-11-11-112</v>
      </c>
      <c r="B139">
        <f ca="1">MATCH(表_网址[[#This Row],[版层分类]],序列_版层分类,0)*1000+MATCH(表_网址[[#This Row],[首要关键词]],序列_首要关键词,0)</f>
        <v>8003</v>
      </c>
      <c r="C139">
        <f ca="1">IF(表_网址[[#This Row],[次要关键词]]="",10,MATCH(表_网址[[#This Row],[次要关键词]],序列_次要关键词,0)+10)</f>
        <v>11</v>
      </c>
      <c r="D139">
        <f ca="1">IF(表_网址[[#This Row],[重点关键词]]="",10,MATCH(表_网址[[#This Row],[重点关键词]],序列_重点关键词,0)+10)</f>
        <v>11</v>
      </c>
      <c r="E139">
        <f>IF(AND(表_网址[[#This Row],[首要关键词]]=K138,表_网址[[#This Row],[次要关键词]]=L138,表_网址[[#This Row],[重点关键词]]=M138),E138+1,IF(表_网址[[#This Row],[重点关键词]]="",100,101))</f>
        <v>112</v>
      </c>
      <c r="F139" t="s">
        <v>61</v>
      </c>
      <c r="H139" t="s">
        <v>29</v>
      </c>
      <c r="J139" t="s">
        <v>1827</v>
      </c>
      <c r="K139" t="s">
        <v>24</v>
      </c>
      <c r="L139" t="s">
        <v>26</v>
      </c>
      <c r="M139" t="s">
        <v>31</v>
      </c>
    </row>
    <row r="140" spans="1:17" x14ac:dyDescent="0.2">
      <c r="A140" t="str">
        <f ca="1">表_网址[[#This Row],[1级]]&amp;"-"&amp;表_网址[[#This Row],[2级]]&amp;"-"&amp;表_网址[[#This Row],[3级]]&amp;"-"&amp;表_网址[[#This Row],[级内]]</f>
        <v>8003-11-11-113</v>
      </c>
      <c r="B140">
        <f ca="1">MATCH(表_网址[[#This Row],[版层分类]],序列_版层分类,0)*1000+MATCH(表_网址[[#This Row],[首要关键词]],序列_首要关键词,0)</f>
        <v>8003</v>
      </c>
      <c r="C140">
        <f ca="1">IF(表_网址[[#This Row],[次要关键词]]="",10,MATCH(表_网址[[#This Row],[次要关键词]],序列_次要关键词,0)+10)</f>
        <v>11</v>
      </c>
      <c r="D140">
        <f ca="1">IF(表_网址[[#This Row],[重点关键词]]="",10,MATCH(表_网址[[#This Row],[重点关键词]],序列_重点关键词,0)+10)</f>
        <v>11</v>
      </c>
      <c r="E140">
        <f>IF(AND(表_网址[[#This Row],[首要关键词]]=K139,表_网址[[#This Row],[次要关键词]]=L139,表_网址[[#This Row],[重点关键词]]=M139),E139+1,IF(表_网址[[#This Row],[重点关键词]]="",100,101))</f>
        <v>113</v>
      </c>
      <c r="F140" t="s">
        <v>62</v>
      </c>
      <c r="G140" t="s">
        <v>63</v>
      </c>
      <c r="H140" t="s">
        <v>29</v>
      </c>
      <c r="I140" t="s">
        <v>64</v>
      </c>
      <c r="J140" t="s">
        <v>1827</v>
      </c>
      <c r="K140" t="s">
        <v>24</v>
      </c>
      <c r="L140" t="s">
        <v>26</v>
      </c>
      <c r="M140" t="s">
        <v>31</v>
      </c>
      <c r="N140" t="s">
        <v>1854</v>
      </c>
      <c r="Q140">
        <v>16</v>
      </c>
    </row>
    <row r="141" spans="1:17" x14ac:dyDescent="0.2">
      <c r="A141" t="str">
        <f ca="1">表_网址[[#This Row],[1级]]&amp;"-"&amp;表_网址[[#This Row],[2级]]&amp;"-"&amp;表_网址[[#This Row],[3级]]&amp;"-"&amp;表_网址[[#This Row],[级内]]</f>
        <v>8003-11-11-114</v>
      </c>
      <c r="B141">
        <f ca="1">MATCH(表_网址[[#This Row],[版层分类]],序列_版层分类,0)*1000+MATCH(表_网址[[#This Row],[首要关键词]],序列_首要关键词,0)</f>
        <v>8003</v>
      </c>
      <c r="C141">
        <f ca="1">IF(表_网址[[#This Row],[次要关键词]]="",10,MATCH(表_网址[[#This Row],[次要关键词]],序列_次要关键词,0)+10)</f>
        <v>11</v>
      </c>
      <c r="D141">
        <f ca="1">IF(表_网址[[#This Row],[重点关键词]]="",10,MATCH(表_网址[[#This Row],[重点关键词]],序列_重点关键词,0)+10)</f>
        <v>11</v>
      </c>
      <c r="E141">
        <f>IF(AND(表_网址[[#This Row],[首要关键词]]=K140,表_网址[[#This Row],[次要关键词]]=L140,表_网址[[#This Row],[重点关键词]]=M140),E140+1,IF(表_网址[[#This Row],[重点关键词]]="",100,101))</f>
        <v>114</v>
      </c>
      <c r="F141" t="s">
        <v>65</v>
      </c>
      <c r="G141" t="s">
        <v>66</v>
      </c>
      <c r="H141" t="s">
        <v>29</v>
      </c>
      <c r="I141" t="s">
        <v>67</v>
      </c>
      <c r="J141" t="s">
        <v>1827</v>
      </c>
      <c r="K141" t="s">
        <v>24</v>
      </c>
      <c r="L141" t="s">
        <v>26</v>
      </c>
      <c r="M141" t="s">
        <v>31</v>
      </c>
      <c r="N141" t="s">
        <v>1854</v>
      </c>
      <c r="Q141">
        <v>16</v>
      </c>
    </row>
    <row r="142" spans="1:17" x14ac:dyDescent="0.2">
      <c r="A142" t="str">
        <f ca="1">表_网址[[#This Row],[1级]]&amp;"-"&amp;表_网址[[#This Row],[2级]]&amp;"-"&amp;表_网址[[#This Row],[3级]]&amp;"-"&amp;表_网址[[#This Row],[级内]]</f>
        <v>8003-11-11-115</v>
      </c>
      <c r="B142">
        <f ca="1">MATCH(表_网址[[#This Row],[版层分类]],序列_版层分类,0)*1000+MATCH(表_网址[[#This Row],[首要关键词]],序列_首要关键词,0)</f>
        <v>8003</v>
      </c>
      <c r="C142">
        <f ca="1">IF(表_网址[[#This Row],[次要关键词]]="",10,MATCH(表_网址[[#This Row],[次要关键词]],序列_次要关键词,0)+10)</f>
        <v>11</v>
      </c>
      <c r="D142">
        <f ca="1">IF(表_网址[[#This Row],[重点关键词]]="",10,MATCH(表_网址[[#This Row],[重点关键词]],序列_重点关键词,0)+10)</f>
        <v>11</v>
      </c>
      <c r="E142">
        <f>IF(AND(表_网址[[#This Row],[首要关键词]]=K141,表_网址[[#This Row],[次要关键词]]=L141,表_网址[[#This Row],[重点关键词]]=M141),E141+1,IF(表_网址[[#This Row],[重点关键词]]="",100,101))</f>
        <v>115</v>
      </c>
      <c r="F142" t="s">
        <v>68</v>
      </c>
      <c r="G142" t="s">
        <v>69</v>
      </c>
      <c r="H142" t="s">
        <v>29</v>
      </c>
      <c r="I142" t="s">
        <v>70</v>
      </c>
      <c r="J142" t="s">
        <v>1827</v>
      </c>
      <c r="K142" t="s">
        <v>24</v>
      </c>
      <c r="L142" t="s">
        <v>26</v>
      </c>
      <c r="M142" t="s">
        <v>31</v>
      </c>
      <c r="N142" t="s">
        <v>1854</v>
      </c>
      <c r="Q142">
        <v>16</v>
      </c>
    </row>
    <row r="143" spans="1:17" x14ac:dyDescent="0.2">
      <c r="A143" t="str">
        <f ca="1">表_网址[[#This Row],[1级]]&amp;"-"&amp;表_网址[[#This Row],[2级]]&amp;"-"&amp;表_网址[[#This Row],[3级]]&amp;"-"&amp;表_网址[[#This Row],[级内]]</f>
        <v>8003-11-11-116</v>
      </c>
      <c r="B143">
        <f ca="1">MATCH(表_网址[[#This Row],[版层分类]],序列_版层分类,0)*1000+MATCH(表_网址[[#This Row],[首要关键词]],序列_首要关键词,0)</f>
        <v>8003</v>
      </c>
      <c r="C143">
        <f ca="1">IF(表_网址[[#This Row],[次要关键词]]="",10,MATCH(表_网址[[#This Row],[次要关键词]],序列_次要关键词,0)+10)</f>
        <v>11</v>
      </c>
      <c r="D143">
        <f ca="1">IF(表_网址[[#This Row],[重点关键词]]="",10,MATCH(表_网址[[#This Row],[重点关键词]],序列_重点关键词,0)+10)</f>
        <v>11</v>
      </c>
      <c r="E143">
        <f>IF(AND(表_网址[[#This Row],[首要关键词]]=K142,表_网址[[#This Row],[次要关键词]]=L142,表_网址[[#This Row],[重点关键词]]=M142),E142+1,IF(表_网址[[#This Row],[重点关键词]]="",100,101))</f>
        <v>116</v>
      </c>
      <c r="F143" t="s">
        <v>71</v>
      </c>
      <c r="G143" t="s">
        <v>72</v>
      </c>
      <c r="H143" t="s">
        <v>29</v>
      </c>
      <c r="I143" t="s">
        <v>73</v>
      </c>
      <c r="J143" t="s">
        <v>1827</v>
      </c>
      <c r="K143" t="s">
        <v>24</v>
      </c>
      <c r="L143" t="s">
        <v>26</v>
      </c>
      <c r="M143" t="s">
        <v>31</v>
      </c>
      <c r="N143" t="s">
        <v>1854</v>
      </c>
    </row>
    <row r="144" spans="1:17" x14ac:dyDescent="0.2">
      <c r="A144" t="str">
        <f ca="1">表_网址[[#This Row],[1级]]&amp;"-"&amp;表_网址[[#This Row],[2级]]&amp;"-"&amp;表_网址[[#This Row],[3级]]&amp;"-"&amp;表_网址[[#This Row],[级内]]</f>
        <v>8003-11-11-117</v>
      </c>
      <c r="B144">
        <f ca="1">MATCH(表_网址[[#This Row],[版层分类]],序列_版层分类,0)*1000+MATCH(表_网址[[#This Row],[首要关键词]],序列_首要关键词,0)</f>
        <v>8003</v>
      </c>
      <c r="C144">
        <f ca="1">IF(表_网址[[#This Row],[次要关键词]]="",10,MATCH(表_网址[[#This Row],[次要关键词]],序列_次要关键词,0)+10)</f>
        <v>11</v>
      </c>
      <c r="D144">
        <f ca="1">IF(表_网址[[#This Row],[重点关键词]]="",10,MATCH(表_网址[[#This Row],[重点关键词]],序列_重点关键词,0)+10)</f>
        <v>11</v>
      </c>
      <c r="E144">
        <f>IF(AND(表_网址[[#This Row],[首要关键词]]=K143,表_网址[[#This Row],[次要关键词]]=L143,表_网址[[#This Row],[重点关键词]]=M143),E143+1,IF(表_网址[[#This Row],[重点关键词]]="",100,101))</f>
        <v>117</v>
      </c>
      <c r="F144" t="s">
        <v>74</v>
      </c>
      <c r="G144" t="s">
        <v>75</v>
      </c>
      <c r="H144" t="s">
        <v>29</v>
      </c>
      <c r="J144" t="s">
        <v>1827</v>
      </c>
      <c r="K144" t="s">
        <v>24</v>
      </c>
      <c r="L144" t="s">
        <v>26</v>
      </c>
      <c r="M144" t="s">
        <v>31</v>
      </c>
      <c r="N144" t="s">
        <v>1854</v>
      </c>
    </row>
    <row r="145" spans="1:17" x14ac:dyDescent="0.2">
      <c r="A145" t="str">
        <f ca="1">表_网址[[#This Row],[1级]]&amp;"-"&amp;表_网址[[#This Row],[2级]]&amp;"-"&amp;表_网址[[#This Row],[3级]]&amp;"-"&amp;表_网址[[#This Row],[级内]]</f>
        <v>8003-11-11-118</v>
      </c>
      <c r="B145">
        <f ca="1">MATCH(表_网址[[#This Row],[版层分类]],序列_版层分类,0)*1000+MATCH(表_网址[[#This Row],[首要关键词]],序列_首要关键词,0)</f>
        <v>8003</v>
      </c>
      <c r="C145">
        <f ca="1">IF(表_网址[[#This Row],[次要关键词]]="",10,MATCH(表_网址[[#This Row],[次要关键词]],序列_次要关键词,0)+10)</f>
        <v>11</v>
      </c>
      <c r="D145">
        <f ca="1">IF(表_网址[[#This Row],[重点关键词]]="",10,MATCH(表_网址[[#This Row],[重点关键词]],序列_重点关键词,0)+10)</f>
        <v>11</v>
      </c>
      <c r="E145">
        <f>IF(AND(表_网址[[#This Row],[首要关键词]]=K144,表_网址[[#This Row],[次要关键词]]=L144,表_网址[[#This Row],[重点关键词]]=M144),E144+1,IF(表_网址[[#This Row],[重点关键词]]="",100,101))</f>
        <v>118</v>
      </c>
      <c r="F145" t="s">
        <v>76</v>
      </c>
      <c r="G145" t="s">
        <v>77</v>
      </c>
      <c r="H145" t="s">
        <v>29</v>
      </c>
      <c r="I145" t="s">
        <v>78</v>
      </c>
      <c r="J145" t="s">
        <v>1827</v>
      </c>
      <c r="K145" t="s">
        <v>24</v>
      </c>
      <c r="L145" t="s">
        <v>26</v>
      </c>
      <c r="M145" t="s">
        <v>31</v>
      </c>
      <c r="N145" t="s">
        <v>1854</v>
      </c>
      <c r="O145" t="s">
        <v>1166</v>
      </c>
      <c r="Q145">
        <v>16</v>
      </c>
    </row>
    <row r="146" spans="1:17" x14ac:dyDescent="0.2">
      <c r="A146" t="str">
        <f ca="1">表_网址[[#This Row],[1级]]&amp;"-"&amp;表_网址[[#This Row],[2级]]&amp;"-"&amp;表_网址[[#This Row],[3级]]&amp;"-"&amp;表_网址[[#This Row],[级内]]</f>
        <v>8003-11-11-119</v>
      </c>
      <c r="B146">
        <f ca="1">MATCH(表_网址[[#This Row],[版层分类]],序列_版层分类,0)*1000+MATCH(表_网址[[#This Row],[首要关键词]],序列_首要关键词,0)</f>
        <v>8003</v>
      </c>
      <c r="C146">
        <f ca="1">IF(表_网址[[#This Row],[次要关键词]]="",10,MATCH(表_网址[[#This Row],[次要关键词]],序列_次要关键词,0)+10)</f>
        <v>11</v>
      </c>
      <c r="D146">
        <f ca="1">IF(表_网址[[#This Row],[重点关键词]]="",10,MATCH(表_网址[[#This Row],[重点关键词]],序列_重点关键词,0)+10)</f>
        <v>11</v>
      </c>
      <c r="E146">
        <f>IF(AND(表_网址[[#This Row],[首要关键词]]=K145,表_网址[[#This Row],[次要关键词]]=L145,表_网址[[#This Row],[重点关键词]]=M145),E145+1,IF(表_网址[[#This Row],[重点关键词]]="",100,101))</f>
        <v>119</v>
      </c>
      <c r="F146" t="s">
        <v>79</v>
      </c>
      <c r="G146" t="s">
        <v>80</v>
      </c>
      <c r="H146" t="s">
        <v>29</v>
      </c>
      <c r="I146" t="s">
        <v>81</v>
      </c>
      <c r="J146" t="s">
        <v>1827</v>
      </c>
      <c r="K146" t="s">
        <v>24</v>
      </c>
      <c r="L146" t="s">
        <v>26</v>
      </c>
      <c r="M146" t="s">
        <v>31</v>
      </c>
      <c r="N146" t="s">
        <v>1854</v>
      </c>
      <c r="O146" t="s">
        <v>1166</v>
      </c>
      <c r="Q146">
        <v>16</v>
      </c>
    </row>
    <row r="147" spans="1:17" x14ac:dyDescent="0.2">
      <c r="A147" t="str">
        <f ca="1">表_网址[[#This Row],[1级]]&amp;"-"&amp;表_网址[[#This Row],[2级]]&amp;"-"&amp;表_网址[[#This Row],[3级]]&amp;"-"&amp;表_网址[[#This Row],[级内]]</f>
        <v>8003-11-11-120</v>
      </c>
      <c r="B147">
        <f ca="1">MATCH(表_网址[[#This Row],[版层分类]],序列_版层分类,0)*1000+MATCH(表_网址[[#This Row],[首要关键词]],序列_首要关键词,0)</f>
        <v>8003</v>
      </c>
      <c r="C147">
        <f ca="1">IF(表_网址[[#This Row],[次要关键词]]="",10,MATCH(表_网址[[#This Row],[次要关键词]],序列_次要关键词,0)+10)</f>
        <v>11</v>
      </c>
      <c r="D147">
        <f ca="1">IF(表_网址[[#This Row],[重点关键词]]="",10,MATCH(表_网址[[#This Row],[重点关键词]],序列_重点关键词,0)+10)</f>
        <v>11</v>
      </c>
      <c r="E147">
        <f>IF(AND(表_网址[[#This Row],[首要关键词]]=K146,表_网址[[#This Row],[次要关键词]]=L146,表_网址[[#This Row],[重点关键词]]=M146),E146+1,IF(表_网址[[#This Row],[重点关键词]]="",100,101))</f>
        <v>120</v>
      </c>
      <c r="F147" t="s">
        <v>82</v>
      </c>
      <c r="G147" t="s">
        <v>83</v>
      </c>
      <c r="H147" t="s">
        <v>29</v>
      </c>
      <c r="I147" t="s">
        <v>84</v>
      </c>
      <c r="J147" t="s">
        <v>1827</v>
      </c>
      <c r="K147" t="s">
        <v>24</v>
      </c>
      <c r="L147" t="s">
        <v>26</v>
      </c>
      <c r="M147" t="s">
        <v>31</v>
      </c>
      <c r="N147" t="s">
        <v>1854</v>
      </c>
    </row>
    <row r="148" spans="1:17" x14ac:dyDescent="0.2">
      <c r="A148" t="str">
        <f ca="1">表_网址[[#This Row],[1级]]&amp;"-"&amp;表_网址[[#This Row],[2级]]&amp;"-"&amp;表_网址[[#This Row],[3级]]&amp;"-"&amp;表_网址[[#This Row],[级内]]</f>
        <v>8003-11-11-121</v>
      </c>
      <c r="B148">
        <f ca="1">MATCH(表_网址[[#This Row],[版层分类]],序列_版层分类,0)*1000+MATCH(表_网址[[#This Row],[首要关键词]],序列_首要关键词,0)</f>
        <v>8003</v>
      </c>
      <c r="C148">
        <f ca="1">IF(表_网址[[#This Row],[次要关键词]]="",10,MATCH(表_网址[[#This Row],[次要关键词]],序列_次要关键词,0)+10)</f>
        <v>11</v>
      </c>
      <c r="D148">
        <f ca="1">IF(表_网址[[#This Row],[重点关键词]]="",10,MATCH(表_网址[[#This Row],[重点关键词]],序列_重点关键词,0)+10)</f>
        <v>11</v>
      </c>
      <c r="E148">
        <f>IF(AND(表_网址[[#This Row],[首要关键词]]=K147,表_网址[[#This Row],[次要关键词]]=L147,表_网址[[#This Row],[重点关键词]]=M147),E147+1,IF(表_网址[[#This Row],[重点关键词]]="",100,101))</f>
        <v>121</v>
      </c>
      <c r="F148" t="s">
        <v>85</v>
      </c>
      <c r="G148" t="s">
        <v>86</v>
      </c>
      <c r="H148" t="s">
        <v>29</v>
      </c>
      <c r="I148" t="s">
        <v>87</v>
      </c>
      <c r="J148" t="s">
        <v>1827</v>
      </c>
      <c r="K148" t="s">
        <v>24</v>
      </c>
      <c r="L148" t="s">
        <v>26</v>
      </c>
      <c r="M148" t="s">
        <v>31</v>
      </c>
      <c r="N148" t="s">
        <v>1854</v>
      </c>
    </row>
    <row r="149" spans="1:17" x14ac:dyDescent="0.2">
      <c r="A149" t="str">
        <f ca="1">表_网址[[#This Row],[1级]]&amp;"-"&amp;表_网址[[#This Row],[2级]]&amp;"-"&amp;表_网址[[#This Row],[3级]]&amp;"-"&amp;表_网址[[#This Row],[级内]]</f>
        <v>8003-11-11-122</v>
      </c>
      <c r="B149">
        <f ca="1">MATCH(表_网址[[#This Row],[版层分类]],序列_版层分类,0)*1000+MATCH(表_网址[[#This Row],[首要关键词]],序列_首要关键词,0)</f>
        <v>8003</v>
      </c>
      <c r="C149">
        <f ca="1">IF(表_网址[[#This Row],[次要关键词]]="",10,MATCH(表_网址[[#This Row],[次要关键词]],序列_次要关键词,0)+10)</f>
        <v>11</v>
      </c>
      <c r="D149">
        <f ca="1">IF(表_网址[[#This Row],[重点关键词]]="",10,MATCH(表_网址[[#This Row],[重点关键词]],序列_重点关键词,0)+10)</f>
        <v>11</v>
      </c>
      <c r="E149">
        <f>IF(AND(表_网址[[#This Row],[首要关键词]]=K148,表_网址[[#This Row],[次要关键词]]=L148,表_网址[[#This Row],[重点关键词]]=M148),E148+1,IF(表_网址[[#This Row],[重点关键词]]="",100,101))</f>
        <v>122</v>
      </c>
      <c r="F149" t="s">
        <v>88</v>
      </c>
      <c r="G149" t="s">
        <v>89</v>
      </c>
      <c r="H149" t="s">
        <v>29</v>
      </c>
      <c r="I149" t="s">
        <v>90</v>
      </c>
      <c r="J149" t="s">
        <v>1827</v>
      </c>
      <c r="K149" t="s">
        <v>24</v>
      </c>
      <c r="L149" t="s">
        <v>26</v>
      </c>
      <c r="M149" t="s">
        <v>31</v>
      </c>
      <c r="N149" t="s">
        <v>1854</v>
      </c>
      <c r="Q149">
        <v>16</v>
      </c>
    </row>
    <row r="150" spans="1:17" x14ac:dyDescent="0.2">
      <c r="A150" t="str">
        <f ca="1">表_网址[[#This Row],[1级]]&amp;"-"&amp;表_网址[[#This Row],[2级]]&amp;"-"&amp;表_网址[[#This Row],[3级]]&amp;"-"&amp;表_网址[[#This Row],[级内]]</f>
        <v>8003-11-11-123</v>
      </c>
      <c r="B150">
        <f ca="1">MATCH(表_网址[[#This Row],[版层分类]],序列_版层分类,0)*1000+MATCH(表_网址[[#This Row],[首要关键词]],序列_首要关键词,0)</f>
        <v>8003</v>
      </c>
      <c r="C150">
        <f ca="1">IF(表_网址[[#This Row],[次要关键词]]="",10,MATCH(表_网址[[#This Row],[次要关键词]],序列_次要关键词,0)+10)</f>
        <v>11</v>
      </c>
      <c r="D150">
        <f ca="1">IF(表_网址[[#This Row],[重点关键词]]="",10,MATCH(表_网址[[#This Row],[重点关键词]],序列_重点关键词,0)+10)</f>
        <v>11</v>
      </c>
      <c r="E150">
        <f>IF(AND(表_网址[[#This Row],[首要关键词]]=K149,表_网址[[#This Row],[次要关键词]]=L149,表_网址[[#This Row],[重点关键词]]=M149),E149+1,IF(表_网址[[#This Row],[重点关键词]]="",100,101))</f>
        <v>123</v>
      </c>
      <c r="F150" t="s">
        <v>91</v>
      </c>
      <c r="G150" t="s">
        <v>92</v>
      </c>
      <c r="H150" t="s">
        <v>29</v>
      </c>
      <c r="I150" t="s">
        <v>93</v>
      </c>
      <c r="J150" t="s">
        <v>1827</v>
      </c>
      <c r="K150" t="s">
        <v>24</v>
      </c>
      <c r="L150" t="s">
        <v>26</v>
      </c>
      <c r="M150" t="s">
        <v>31</v>
      </c>
      <c r="N150" t="s">
        <v>1854</v>
      </c>
      <c r="Q150">
        <v>16</v>
      </c>
    </row>
    <row r="151" spans="1:17" x14ac:dyDescent="0.2">
      <c r="A151" t="str">
        <f ca="1">表_网址[[#This Row],[1级]]&amp;"-"&amp;表_网址[[#This Row],[2级]]&amp;"-"&amp;表_网址[[#This Row],[3级]]&amp;"-"&amp;表_网址[[#This Row],[级内]]</f>
        <v>8003-11-11-124</v>
      </c>
      <c r="B151">
        <f ca="1">MATCH(表_网址[[#This Row],[版层分类]],序列_版层分类,0)*1000+MATCH(表_网址[[#This Row],[首要关键词]],序列_首要关键词,0)</f>
        <v>8003</v>
      </c>
      <c r="C151">
        <f ca="1">IF(表_网址[[#This Row],[次要关键词]]="",10,MATCH(表_网址[[#This Row],[次要关键词]],序列_次要关键词,0)+10)</f>
        <v>11</v>
      </c>
      <c r="D151">
        <f ca="1">IF(表_网址[[#This Row],[重点关键词]]="",10,MATCH(表_网址[[#This Row],[重点关键词]],序列_重点关键词,0)+10)</f>
        <v>11</v>
      </c>
      <c r="E151">
        <f>IF(AND(表_网址[[#This Row],[首要关键词]]=K150,表_网址[[#This Row],[次要关键词]]=L150,表_网址[[#This Row],[重点关键词]]=M150),E150+1,IF(表_网址[[#This Row],[重点关键词]]="",100,101))</f>
        <v>124</v>
      </c>
      <c r="F151" t="s">
        <v>94</v>
      </c>
      <c r="G151" t="s">
        <v>95</v>
      </c>
      <c r="H151" t="s">
        <v>29</v>
      </c>
      <c r="I151" t="s">
        <v>96</v>
      </c>
      <c r="J151" t="s">
        <v>1827</v>
      </c>
      <c r="K151" t="s">
        <v>24</v>
      </c>
      <c r="L151" t="s">
        <v>26</v>
      </c>
      <c r="M151" t="s">
        <v>31</v>
      </c>
      <c r="N151" t="s">
        <v>1854</v>
      </c>
      <c r="Q151">
        <v>32</v>
      </c>
    </row>
    <row r="152" spans="1:17" x14ac:dyDescent="0.2">
      <c r="A152" t="str">
        <f ca="1">表_网址[[#This Row],[1级]]&amp;"-"&amp;表_网址[[#This Row],[2级]]&amp;"-"&amp;表_网址[[#This Row],[3级]]&amp;"-"&amp;表_网址[[#This Row],[级内]]</f>
        <v>8003-11-11-125</v>
      </c>
      <c r="B152">
        <f ca="1">MATCH(表_网址[[#This Row],[版层分类]],序列_版层分类,0)*1000+MATCH(表_网址[[#This Row],[首要关键词]],序列_首要关键词,0)</f>
        <v>8003</v>
      </c>
      <c r="C152">
        <f ca="1">IF(表_网址[[#This Row],[次要关键词]]="",10,MATCH(表_网址[[#This Row],[次要关键词]],序列_次要关键词,0)+10)</f>
        <v>11</v>
      </c>
      <c r="D152">
        <f ca="1">IF(表_网址[[#This Row],[重点关键词]]="",10,MATCH(表_网址[[#This Row],[重点关键词]],序列_重点关键词,0)+10)</f>
        <v>11</v>
      </c>
      <c r="E152">
        <f>IF(AND(表_网址[[#This Row],[首要关键词]]=K151,表_网址[[#This Row],[次要关键词]]=L151,表_网址[[#This Row],[重点关键词]]=M151),E151+1,IF(表_网址[[#This Row],[重点关键词]]="",100,101))</f>
        <v>125</v>
      </c>
      <c r="F152" t="s">
        <v>97</v>
      </c>
      <c r="G152" t="s">
        <v>98</v>
      </c>
      <c r="H152" t="s">
        <v>29</v>
      </c>
      <c r="I152" t="s">
        <v>99</v>
      </c>
      <c r="J152" t="s">
        <v>1827</v>
      </c>
      <c r="K152" t="s">
        <v>24</v>
      </c>
      <c r="L152" t="s">
        <v>26</v>
      </c>
      <c r="M152" t="s">
        <v>31</v>
      </c>
      <c r="N152" t="s">
        <v>1854</v>
      </c>
      <c r="O152" t="s">
        <v>1166</v>
      </c>
      <c r="Q152">
        <v>32</v>
      </c>
    </row>
    <row r="153" spans="1:17" x14ac:dyDescent="0.2">
      <c r="A153" t="str">
        <f ca="1">表_网址[[#This Row],[1级]]&amp;"-"&amp;表_网址[[#This Row],[2级]]&amp;"-"&amp;表_网址[[#This Row],[3级]]&amp;"-"&amp;表_网址[[#This Row],[级内]]</f>
        <v>8003-11-11-126</v>
      </c>
      <c r="B153">
        <f ca="1">MATCH(表_网址[[#This Row],[版层分类]],序列_版层分类,0)*1000+MATCH(表_网址[[#This Row],[首要关键词]],序列_首要关键词,0)</f>
        <v>8003</v>
      </c>
      <c r="C153">
        <f ca="1">IF(表_网址[[#This Row],[次要关键词]]="",10,MATCH(表_网址[[#This Row],[次要关键词]],序列_次要关键词,0)+10)</f>
        <v>11</v>
      </c>
      <c r="D153">
        <f ca="1">IF(表_网址[[#This Row],[重点关键词]]="",10,MATCH(表_网址[[#This Row],[重点关键词]],序列_重点关键词,0)+10)</f>
        <v>11</v>
      </c>
      <c r="E153">
        <f>IF(AND(表_网址[[#This Row],[首要关键词]]=K152,表_网址[[#This Row],[次要关键词]]=L152,表_网址[[#This Row],[重点关键词]]=M152),E152+1,IF(表_网址[[#This Row],[重点关键词]]="",100,101))</f>
        <v>126</v>
      </c>
      <c r="F153" t="s">
        <v>100</v>
      </c>
      <c r="G153" t="s">
        <v>101</v>
      </c>
      <c r="H153" t="s">
        <v>29</v>
      </c>
      <c r="I153" t="s">
        <v>102</v>
      </c>
      <c r="J153" t="s">
        <v>1827</v>
      </c>
      <c r="K153" t="s">
        <v>24</v>
      </c>
      <c r="L153" t="s">
        <v>26</v>
      </c>
      <c r="M153" t="s">
        <v>31</v>
      </c>
      <c r="N153" t="s">
        <v>1854</v>
      </c>
    </row>
    <row r="154" spans="1:17" x14ac:dyDescent="0.2">
      <c r="A154" t="str">
        <f ca="1">表_网址[[#This Row],[1级]]&amp;"-"&amp;表_网址[[#This Row],[2级]]&amp;"-"&amp;表_网址[[#This Row],[3级]]&amp;"-"&amp;表_网址[[#This Row],[级内]]</f>
        <v>8003-11-11-127</v>
      </c>
      <c r="B154">
        <f ca="1">MATCH(表_网址[[#This Row],[版层分类]],序列_版层分类,0)*1000+MATCH(表_网址[[#This Row],[首要关键词]],序列_首要关键词,0)</f>
        <v>8003</v>
      </c>
      <c r="C154">
        <f ca="1">IF(表_网址[[#This Row],[次要关键词]]="",10,MATCH(表_网址[[#This Row],[次要关键词]],序列_次要关键词,0)+10)</f>
        <v>11</v>
      </c>
      <c r="D154">
        <f ca="1">IF(表_网址[[#This Row],[重点关键词]]="",10,MATCH(表_网址[[#This Row],[重点关键词]],序列_重点关键词,0)+10)</f>
        <v>11</v>
      </c>
      <c r="E154">
        <f>IF(AND(表_网址[[#This Row],[首要关键词]]=K153,表_网址[[#This Row],[次要关键词]]=L153,表_网址[[#This Row],[重点关键词]]=M153),E153+1,IF(表_网址[[#This Row],[重点关键词]]="",100,101))</f>
        <v>127</v>
      </c>
      <c r="F154" t="s">
        <v>103</v>
      </c>
      <c r="G154" t="s">
        <v>98</v>
      </c>
      <c r="H154" t="s">
        <v>29</v>
      </c>
      <c r="I154" t="s">
        <v>104</v>
      </c>
      <c r="J154" t="s">
        <v>1827</v>
      </c>
      <c r="K154" t="s">
        <v>24</v>
      </c>
      <c r="L154" t="s">
        <v>26</v>
      </c>
      <c r="M154" t="s">
        <v>31</v>
      </c>
      <c r="N154" t="s">
        <v>1854</v>
      </c>
      <c r="Q154">
        <v>16</v>
      </c>
    </row>
    <row r="155" spans="1:17" x14ac:dyDescent="0.2">
      <c r="A155" t="str">
        <f ca="1">表_网址[[#This Row],[1级]]&amp;"-"&amp;表_网址[[#This Row],[2级]]&amp;"-"&amp;表_网址[[#This Row],[3级]]&amp;"-"&amp;表_网址[[#This Row],[级内]]</f>
        <v>8003-11-11-128</v>
      </c>
      <c r="B155">
        <f ca="1">MATCH(表_网址[[#This Row],[版层分类]],序列_版层分类,0)*1000+MATCH(表_网址[[#This Row],[首要关键词]],序列_首要关键词,0)</f>
        <v>8003</v>
      </c>
      <c r="C155">
        <f ca="1">IF(表_网址[[#This Row],[次要关键词]]="",10,MATCH(表_网址[[#This Row],[次要关键词]],序列_次要关键词,0)+10)</f>
        <v>11</v>
      </c>
      <c r="D155">
        <f ca="1">IF(表_网址[[#This Row],[重点关键词]]="",10,MATCH(表_网址[[#This Row],[重点关键词]],序列_重点关键词,0)+10)</f>
        <v>11</v>
      </c>
      <c r="E155">
        <f>IF(AND(表_网址[[#This Row],[首要关键词]]=K154,表_网址[[#This Row],[次要关键词]]=L154,表_网址[[#This Row],[重点关键词]]=M154),E154+1,IF(表_网址[[#This Row],[重点关键词]]="",100,101))</f>
        <v>128</v>
      </c>
      <c r="F155" t="s">
        <v>105</v>
      </c>
      <c r="G155" t="s">
        <v>106</v>
      </c>
      <c r="H155" t="s">
        <v>29</v>
      </c>
      <c r="I155" t="s">
        <v>107</v>
      </c>
      <c r="J155" t="s">
        <v>1827</v>
      </c>
      <c r="K155" t="s">
        <v>24</v>
      </c>
      <c r="L155" t="s">
        <v>26</v>
      </c>
      <c r="M155" t="s">
        <v>31</v>
      </c>
      <c r="N155" t="s">
        <v>1854</v>
      </c>
      <c r="O155" t="s">
        <v>1166</v>
      </c>
      <c r="Q155">
        <v>64</v>
      </c>
    </row>
    <row r="156" spans="1:17" x14ac:dyDescent="0.2">
      <c r="A156" t="str">
        <f ca="1">表_网址[[#This Row],[1级]]&amp;"-"&amp;表_网址[[#This Row],[2级]]&amp;"-"&amp;表_网址[[#This Row],[3级]]&amp;"-"&amp;表_网址[[#This Row],[级内]]</f>
        <v>8003-11-11-129</v>
      </c>
      <c r="B156">
        <f ca="1">MATCH(表_网址[[#This Row],[版层分类]],序列_版层分类,0)*1000+MATCH(表_网址[[#This Row],[首要关键词]],序列_首要关键词,0)</f>
        <v>8003</v>
      </c>
      <c r="C156">
        <f ca="1">IF(表_网址[[#This Row],[次要关键词]]="",10,MATCH(表_网址[[#This Row],[次要关键词]],序列_次要关键词,0)+10)</f>
        <v>11</v>
      </c>
      <c r="D156">
        <f ca="1">IF(表_网址[[#This Row],[重点关键词]]="",10,MATCH(表_网址[[#This Row],[重点关键词]],序列_重点关键词,0)+10)</f>
        <v>11</v>
      </c>
      <c r="E156">
        <f>IF(AND(表_网址[[#This Row],[首要关键词]]=K155,表_网址[[#This Row],[次要关键词]]=L155,表_网址[[#This Row],[重点关键词]]=M155),E155+1,IF(表_网址[[#This Row],[重点关键词]]="",100,101))</f>
        <v>129</v>
      </c>
      <c r="F156" t="s">
        <v>108</v>
      </c>
      <c r="G156" t="s">
        <v>109</v>
      </c>
      <c r="H156" t="s">
        <v>29</v>
      </c>
      <c r="I156" t="s">
        <v>110</v>
      </c>
      <c r="J156" t="s">
        <v>1827</v>
      </c>
      <c r="K156" t="s">
        <v>24</v>
      </c>
      <c r="L156" t="s">
        <v>26</v>
      </c>
      <c r="M156" t="s">
        <v>31</v>
      </c>
      <c r="N156" t="s">
        <v>1854</v>
      </c>
      <c r="Q156">
        <v>16</v>
      </c>
    </row>
    <row r="157" spans="1:17" x14ac:dyDescent="0.2">
      <c r="A157" t="str">
        <f ca="1">表_网址[[#This Row],[1级]]&amp;"-"&amp;表_网址[[#This Row],[2级]]&amp;"-"&amp;表_网址[[#This Row],[3级]]&amp;"-"&amp;表_网址[[#This Row],[级内]]</f>
        <v>8003-11-11-130</v>
      </c>
      <c r="B157">
        <f ca="1">MATCH(表_网址[[#This Row],[版层分类]],序列_版层分类,0)*1000+MATCH(表_网址[[#This Row],[首要关键词]],序列_首要关键词,0)</f>
        <v>8003</v>
      </c>
      <c r="C157">
        <f ca="1">IF(表_网址[[#This Row],[次要关键词]]="",10,MATCH(表_网址[[#This Row],[次要关键词]],序列_次要关键词,0)+10)</f>
        <v>11</v>
      </c>
      <c r="D157">
        <f ca="1">IF(表_网址[[#This Row],[重点关键词]]="",10,MATCH(表_网址[[#This Row],[重点关键词]],序列_重点关键词,0)+10)</f>
        <v>11</v>
      </c>
      <c r="E157">
        <f>IF(AND(表_网址[[#This Row],[首要关键词]]=K156,表_网址[[#This Row],[次要关键词]]=L156,表_网址[[#This Row],[重点关键词]]=M156),E156+1,IF(表_网址[[#This Row],[重点关键词]]="",100,101))</f>
        <v>130</v>
      </c>
      <c r="F157" t="s">
        <v>111</v>
      </c>
      <c r="G157" t="s">
        <v>112</v>
      </c>
      <c r="H157" t="s">
        <v>29</v>
      </c>
      <c r="I157" t="s">
        <v>113</v>
      </c>
      <c r="J157" t="s">
        <v>1827</v>
      </c>
      <c r="K157" t="s">
        <v>24</v>
      </c>
      <c r="L157" t="s">
        <v>26</v>
      </c>
      <c r="M157" t="s">
        <v>31</v>
      </c>
      <c r="N157" t="s">
        <v>1854</v>
      </c>
    </row>
    <row r="158" spans="1:17" x14ac:dyDescent="0.2">
      <c r="A158" t="str">
        <f ca="1">表_网址[[#This Row],[1级]]&amp;"-"&amp;表_网址[[#This Row],[2级]]&amp;"-"&amp;表_网址[[#This Row],[3级]]&amp;"-"&amp;表_网址[[#This Row],[级内]]</f>
        <v>8003-11-12-101</v>
      </c>
      <c r="B158">
        <f ca="1">MATCH(表_网址[[#This Row],[版层分类]],序列_版层分类,0)*1000+MATCH(表_网址[[#This Row],[首要关键词]],序列_首要关键词,0)</f>
        <v>8003</v>
      </c>
      <c r="C158">
        <f ca="1">IF(表_网址[[#This Row],[次要关键词]]="",10,MATCH(表_网址[[#This Row],[次要关键词]],序列_次要关键词,0)+10)</f>
        <v>11</v>
      </c>
      <c r="D158">
        <f ca="1">IF(表_网址[[#This Row],[重点关键词]]="",10,MATCH(表_网址[[#This Row],[重点关键词]],序列_重点关键词,0)+10)</f>
        <v>12</v>
      </c>
      <c r="E158">
        <f>IF(AND(表_网址[[#This Row],[首要关键词]]=K157,表_网址[[#This Row],[次要关键词]]=L157,表_网址[[#This Row],[重点关键词]]=M157),E157+1,IF(表_网址[[#This Row],[重点关键词]]="",100,101))</f>
        <v>101</v>
      </c>
      <c r="F158" t="s">
        <v>114</v>
      </c>
      <c r="G158" t="s">
        <v>115</v>
      </c>
      <c r="H158" t="s">
        <v>116</v>
      </c>
      <c r="I158" t="s">
        <v>117</v>
      </c>
      <c r="J158" t="s">
        <v>1827</v>
      </c>
      <c r="K158" t="s">
        <v>24</v>
      </c>
      <c r="L158" t="s">
        <v>26</v>
      </c>
      <c r="M158" t="s">
        <v>118</v>
      </c>
      <c r="N158" t="s">
        <v>1854</v>
      </c>
      <c r="Q158">
        <v>30</v>
      </c>
    </row>
    <row r="159" spans="1:17" x14ac:dyDescent="0.2">
      <c r="A159" t="str">
        <f ca="1">表_网址[[#This Row],[1级]]&amp;"-"&amp;表_网址[[#This Row],[2级]]&amp;"-"&amp;表_网址[[#This Row],[3级]]&amp;"-"&amp;表_网址[[#This Row],[级内]]</f>
        <v>8003-11-13-101</v>
      </c>
      <c r="B159">
        <f ca="1">MATCH(表_网址[[#This Row],[版层分类]],序列_版层分类,0)*1000+MATCH(表_网址[[#This Row],[首要关键词]],序列_首要关键词,0)</f>
        <v>8003</v>
      </c>
      <c r="C159">
        <f ca="1">IF(表_网址[[#This Row],[次要关键词]]="",10,MATCH(表_网址[[#This Row],[次要关键词]],序列_次要关键词,0)+10)</f>
        <v>11</v>
      </c>
      <c r="D159">
        <f ca="1">IF(表_网址[[#This Row],[重点关键词]]="",10,MATCH(表_网址[[#This Row],[重点关键词]],序列_重点关键词,0)+10)</f>
        <v>13</v>
      </c>
      <c r="E159">
        <f>IF(AND(表_网址[[#This Row],[首要关键词]]=K158,表_网址[[#This Row],[次要关键词]]=L158,表_网址[[#This Row],[重点关键词]]=M158),E158+1,IF(表_网址[[#This Row],[重点关键词]]="",100,101))</f>
        <v>101</v>
      </c>
      <c r="F159" t="s">
        <v>119</v>
      </c>
      <c r="G159" t="s">
        <v>120</v>
      </c>
      <c r="H159" t="s">
        <v>29</v>
      </c>
      <c r="I159" t="s">
        <v>121</v>
      </c>
      <c r="J159" t="s">
        <v>1827</v>
      </c>
      <c r="K159" t="s">
        <v>24</v>
      </c>
      <c r="L159" t="s">
        <v>26</v>
      </c>
      <c r="M159" t="s">
        <v>122</v>
      </c>
      <c r="N159" t="s">
        <v>1854</v>
      </c>
      <c r="O159" t="s">
        <v>1166</v>
      </c>
    </row>
    <row r="160" spans="1:17" x14ac:dyDescent="0.2">
      <c r="A160" t="str">
        <f ca="1">表_网址[[#This Row],[1级]]&amp;"-"&amp;表_网址[[#This Row],[2级]]&amp;"-"&amp;表_网址[[#This Row],[3级]]&amp;"-"&amp;表_网址[[#This Row],[级内]]</f>
        <v>8003-11-13-102</v>
      </c>
      <c r="B160">
        <f ca="1">MATCH(表_网址[[#This Row],[版层分类]],序列_版层分类,0)*1000+MATCH(表_网址[[#This Row],[首要关键词]],序列_首要关键词,0)</f>
        <v>8003</v>
      </c>
      <c r="C160">
        <f ca="1">IF(表_网址[[#This Row],[次要关键词]]="",10,MATCH(表_网址[[#This Row],[次要关键词]],序列_次要关键词,0)+10)</f>
        <v>11</v>
      </c>
      <c r="D160">
        <f ca="1">IF(表_网址[[#This Row],[重点关键词]]="",10,MATCH(表_网址[[#This Row],[重点关键词]],序列_重点关键词,0)+10)</f>
        <v>13</v>
      </c>
      <c r="E160">
        <f>IF(AND(表_网址[[#This Row],[首要关键词]]=K159,表_网址[[#This Row],[次要关键词]]=L159,表_网址[[#This Row],[重点关键词]]=M159),E159+1,IF(表_网址[[#This Row],[重点关键词]]="",100,101))</f>
        <v>102</v>
      </c>
      <c r="F160" t="s">
        <v>123</v>
      </c>
      <c r="G160" t="s">
        <v>124</v>
      </c>
      <c r="H160" t="s">
        <v>29</v>
      </c>
      <c r="I160" t="s">
        <v>125</v>
      </c>
      <c r="J160" t="s">
        <v>1827</v>
      </c>
      <c r="K160" t="s">
        <v>24</v>
      </c>
      <c r="L160" t="s">
        <v>26</v>
      </c>
      <c r="M160" t="s">
        <v>122</v>
      </c>
      <c r="N160" t="s">
        <v>1854</v>
      </c>
    </row>
    <row r="161" spans="1:17" x14ac:dyDescent="0.2">
      <c r="A161" t="str">
        <f ca="1">表_网址[[#This Row],[1级]]&amp;"-"&amp;表_网址[[#This Row],[2级]]&amp;"-"&amp;表_网址[[#This Row],[3级]]&amp;"-"&amp;表_网址[[#This Row],[级内]]</f>
        <v>8003-11-13-103</v>
      </c>
      <c r="B161">
        <f ca="1">MATCH(表_网址[[#This Row],[版层分类]],序列_版层分类,0)*1000+MATCH(表_网址[[#This Row],[首要关键词]],序列_首要关键词,0)</f>
        <v>8003</v>
      </c>
      <c r="C161">
        <f ca="1">IF(表_网址[[#This Row],[次要关键词]]="",10,MATCH(表_网址[[#This Row],[次要关键词]],序列_次要关键词,0)+10)</f>
        <v>11</v>
      </c>
      <c r="D161">
        <f ca="1">IF(表_网址[[#This Row],[重点关键词]]="",10,MATCH(表_网址[[#This Row],[重点关键词]],序列_重点关键词,0)+10)</f>
        <v>13</v>
      </c>
      <c r="E161">
        <f>IF(AND(表_网址[[#This Row],[首要关键词]]=K160,表_网址[[#This Row],[次要关键词]]=L160,表_网址[[#This Row],[重点关键词]]=M160),E160+1,IF(表_网址[[#This Row],[重点关键词]]="",100,101))</f>
        <v>103</v>
      </c>
      <c r="F161" t="s">
        <v>126</v>
      </c>
      <c r="G161" t="s">
        <v>127</v>
      </c>
      <c r="H161" t="s">
        <v>29</v>
      </c>
      <c r="I161" t="s">
        <v>128</v>
      </c>
      <c r="J161" t="s">
        <v>1827</v>
      </c>
      <c r="K161" t="s">
        <v>24</v>
      </c>
      <c r="L161" t="s">
        <v>26</v>
      </c>
      <c r="M161" t="s">
        <v>122</v>
      </c>
      <c r="N161" t="s">
        <v>1854</v>
      </c>
      <c r="Q161">
        <v>16</v>
      </c>
    </row>
    <row r="162" spans="1:17" x14ac:dyDescent="0.2">
      <c r="A162" t="str">
        <f ca="1">表_网址[[#This Row],[1级]]&amp;"-"&amp;表_网址[[#This Row],[2级]]&amp;"-"&amp;表_网址[[#This Row],[3级]]&amp;"-"&amp;表_网址[[#This Row],[级内]]</f>
        <v>8003-11-13-104</v>
      </c>
      <c r="B162">
        <f ca="1">MATCH(表_网址[[#This Row],[版层分类]],序列_版层分类,0)*1000+MATCH(表_网址[[#This Row],[首要关键词]],序列_首要关键词,0)</f>
        <v>8003</v>
      </c>
      <c r="C162">
        <f ca="1">IF(表_网址[[#This Row],[次要关键词]]="",10,MATCH(表_网址[[#This Row],[次要关键词]],序列_次要关键词,0)+10)</f>
        <v>11</v>
      </c>
      <c r="D162">
        <f ca="1">IF(表_网址[[#This Row],[重点关键词]]="",10,MATCH(表_网址[[#This Row],[重点关键词]],序列_重点关键词,0)+10)</f>
        <v>13</v>
      </c>
      <c r="E162">
        <f>IF(AND(表_网址[[#This Row],[首要关键词]]=K161,表_网址[[#This Row],[次要关键词]]=L161,表_网址[[#This Row],[重点关键词]]=M161),E161+1,IF(表_网址[[#This Row],[重点关键词]]="",100,101))</f>
        <v>104</v>
      </c>
      <c r="F162" t="s">
        <v>129</v>
      </c>
      <c r="G162" t="s">
        <v>130</v>
      </c>
      <c r="H162" t="s">
        <v>29</v>
      </c>
      <c r="I162" t="s">
        <v>131</v>
      </c>
      <c r="J162" t="s">
        <v>1827</v>
      </c>
      <c r="K162" t="s">
        <v>24</v>
      </c>
      <c r="L162" t="s">
        <v>26</v>
      </c>
      <c r="M162" t="s">
        <v>122</v>
      </c>
      <c r="N162" t="s">
        <v>1854</v>
      </c>
      <c r="Q162">
        <v>16</v>
      </c>
    </row>
    <row r="163" spans="1:17" x14ac:dyDescent="0.2">
      <c r="A163" t="str">
        <f ca="1">表_网址[[#This Row],[1级]]&amp;"-"&amp;表_网址[[#This Row],[2级]]&amp;"-"&amp;表_网址[[#This Row],[3级]]&amp;"-"&amp;表_网址[[#This Row],[级内]]</f>
        <v>8003-11-13-105</v>
      </c>
      <c r="B163">
        <f ca="1">MATCH(表_网址[[#This Row],[版层分类]],序列_版层分类,0)*1000+MATCH(表_网址[[#This Row],[首要关键词]],序列_首要关键词,0)</f>
        <v>8003</v>
      </c>
      <c r="C163">
        <f ca="1">IF(表_网址[[#This Row],[次要关键词]]="",10,MATCH(表_网址[[#This Row],[次要关键词]],序列_次要关键词,0)+10)</f>
        <v>11</v>
      </c>
      <c r="D163">
        <f ca="1">IF(表_网址[[#This Row],[重点关键词]]="",10,MATCH(表_网址[[#This Row],[重点关键词]],序列_重点关键词,0)+10)</f>
        <v>13</v>
      </c>
      <c r="E163">
        <f>IF(AND(表_网址[[#This Row],[首要关键词]]=K162,表_网址[[#This Row],[次要关键词]]=L162,表_网址[[#This Row],[重点关键词]]=M162),E162+1,IF(表_网址[[#This Row],[重点关键词]]="",100,101))</f>
        <v>105</v>
      </c>
      <c r="F163" t="s">
        <v>132</v>
      </c>
      <c r="G163" t="s">
        <v>133</v>
      </c>
      <c r="H163" t="s">
        <v>29</v>
      </c>
      <c r="I163" t="s">
        <v>134</v>
      </c>
      <c r="J163" t="s">
        <v>1827</v>
      </c>
      <c r="K163" t="s">
        <v>24</v>
      </c>
      <c r="L163" t="s">
        <v>26</v>
      </c>
      <c r="M163" t="s">
        <v>122</v>
      </c>
      <c r="N163" t="s">
        <v>1854</v>
      </c>
      <c r="Q163">
        <v>16</v>
      </c>
    </row>
    <row r="164" spans="1:17" x14ac:dyDescent="0.2">
      <c r="A164" t="str">
        <f ca="1">表_网址[[#This Row],[1级]]&amp;"-"&amp;表_网址[[#This Row],[2级]]&amp;"-"&amp;表_网址[[#This Row],[3级]]&amp;"-"&amp;表_网址[[#This Row],[级内]]</f>
        <v>8003-11-13-106</v>
      </c>
      <c r="B164">
        <f ca="1">MATCH(表_网址[[#This Row],[版层分类]],序列_版层分类,0)*1000+MATCH(表_网址[[#This Row],[首要关键词]],序列_首要关键词,0)</f>
        <v>8003</v>
      </c>
      <c r="C164">
        <f ca="1">IF(表_网址[[#This Row],[次要关键词]]="",10,MATCH(表_网址[[#This Row],[次要关键词]],序列_次要关键词,0)+10)</f>
        <v>11</v>
      </c>
      <c r="D164">
        <f ca="1">IF(表_网址[[#This Row],[重点关键词]]="",10,MATCH(表_网址[[#This Row],[重点关键词]],序列_重点关键词,0)+10)</f>
        <v>13</v>
      </c>
      <c r="E164">
        <f>IF(AND(表_网址[[#This Row],[首要关键词]]=K163,表_网址[[#This Row],[次要关键词]]=L163,表_网址[[#This Row],[重点关键词]]=M163),E163+1,IF(表_网址[[#This Row],[重点关键词]]="",100,101))</f>
        <v>106</v>
      </c>
      <c r="F164" t="s">
        <v>135</v>
      </c>
      <c r="G164" t="s">
        <v>136</v>
      </c>
      <c r="H164" t="s">
        <v>29</v>
      </c>
      <c r="I164" t="s">
        <v>137</v>
      </c>
      <c r="J164" t="s">
        <v>1827</v>
      </c>
      <c r="K164" t="s">
        <v>24</v>
      </c>
      <c r="L164" t="s">
        <v>26</v>
      </c>
      <c r="M164" t="s">
        <v>122</v>
      </c>
      <c r="N164" t="s">
        <v>1854</v>
      </c>
      <c r="Q164">
        <v>32</v>
      </c>
    </row>
    <row r="165" spans="1:17" x14ac:dyDescent="0.2">
      <c r="A165" t="str">
        <f ca="1">表_网址[[#This Row],[1级]]&amp;"-"&amp;表_网址[[#This Row],[2级]]&amp;"-"&amp;表_网址[[#This Row],[3级]]&amp;"-"&amp;表_网址[[#This Row],[级内]]</f>
        <v>8003-11-13-107</v>
      </c>
      <c r="B165">
        <f ca="1">MATCH(表_网址[[#This Row],[版层分类]],序列_版层分类,0)*1000+MATCH(表_网址[[#This Row],[首要关键词]],序列_首要关键词,0)</f>
        <v>8003</v>
      </c>
      <c r="C165">
        <f ca="1">IF(表_网址[[#This Row],[次要关键词]]="",10,MATCH(表_网址[[#This Row],[次要关键词]],序列_次要关键词,0)+10)</f>
        <v>11</v>
      </c>
      <c r="D165">
        <f ca="1">IF(表_网址[[#This Row],[重点关键词]]="",10,MATCH(表_网址[[#This Row],[重点关键词]],序列_重点关键词,0)+10)</f>
        <v>13</v>
      </c>
      <c r="E165">
        <f>IF(AND(表_网址[[#This Row],[首要关键词]]=K164,表_网址[[#This Row],[次要关键词]]=L164,表_网址[[#This Row],[重点关键词]]=M164),E164+1,IF(表_网址[[#This Row],[重点关键词]]="",100,101))</f>
        <v>107</v>
      </c>
      <c r="F165" t="s">
        <v>138</v>
      </c>
      <c r="G165" t="s">
        <v>139</v>
      </c>
      <c r="H165" t="s">
        <v>29</v>
      </c>
      <c r="I165" t="s">
        <v>140</v>
      </c>
      <c r="J165" t="s">
        <v>1827</v>
      </c>
      <c r="K165" t="s">
        <v>24</v>
      </c>
      <c r="L165" t="s">
        <v>26</v>
      </c>
      <c r="M165" t="s">
        <v>122</v>
      </c>
      <c r="N165" t="s">
        <v>1854</v>
      </c>
    </row>
    <row r="166" spans="1:17" x14ac:dyDescent="0.2">
      <c r="A166" t="str">
        <f ca="1">表_网址[[#This Row],[1级]]&amp;"-"&amp;表_网址[[#This Row],[2级]]&amp;"-"&amp;表_网址[[#This Row],[3级]]&amp;"-"&amp;表_网址[[#This Row],[级内]]</f>
        <v>8003-11-13-108</v>
      </c>
      <c r="B166">
        <f ca="1">MATCH(表_网址[[#This Row],[版层分类]],序列_版层分类,0)*1000+MATCH(表_网址[[#This Row],[首要关键词]],序列_首要关键词,0)</f>
        <v>8003</v>
      </c>
      <c r="C166">
        <f ca="1">IF(表_网址[[#This Row],[次要关键词]]="",10,MATCH(表_网址[[#This Row],[次要关键词]],序列_次要关键词,0)+10)</f>
        <v>11</v>
      </c>
      <c r="D166">
        <f ca="1">IF(表_网址[[#This Row],[重点关键词]]="",10,MATCH(表_网址[[#This Row],[重点关键词]],序列_重点关键词,0)+10)</f>
        <v>13</v>
      </c>
      <c r="E166">
        <f>IF(AND(表_网址[[#This Row],[首要关键词]]=K165,表_网址[[#This Row],[次要关键词]]=L165,表_网址[[#This Row],[重点关键词]]=M165),E165+1,IF(表_网址[[#This Row],[重点关键词]]="",100,101))</f>
        <v>108</v>
      </c>
      <c r="F166" t="s">
        <v>141</v>
      </c>
      <c r="G166" t="s">
        <v>142</v>
      </c>
      <c r="H166" t="s">
        <v>29</v>
      </c>
      <c r="I166" t="s">
        <v>143</v>
      </c>
      <c r="J166" t="s">
        <v>1827</v>
      </c>
      <c r="K166" t="s">
        <v>24</v>
      </c>
      <c r="L166" t="s">
        <v>26</v>
      </c>
      <c r="M166" t="s">
        <v>122</v>
      </c>
      <c r="N166" t="s">
        <v>1854</v>
      </c>
      <c r="Q166">
        <v>16</v>
      </c>
    </row>
    <row r="167" spans="1:17" x14ac:dyDescent="0.2">
      <c r="A167" t="str">
        <f ca="1">表_网址[[#This Row],[1级]]&amp;"-"&amp;表_网址[[#This Row],[2级]]&amp;"-"&amp;表_网址[[#This Row],[3级]]&amp;"-"&amp;表_网址[[#This Row],[级内]]</f>
        <v>8003-11-13-109</v>
      </c>
      <c r="B167">
        <f ca="1">MATCH(表_网址[[#This Row],[版层分类]],序列_版层分类,0)*1000+MATCH(表_网址[[#This Row],[首要关键词]],序列_首要关键词,0)</f>
        <v>8003</v>
      </c>
      <c r="C167">
        <f ca="1">IF(表_网址[[#This Row],[次要关键词]]="",10,MATCH(表_网址[[#This Row],[次要关键词]],序列_次要关键词,0)+10)</f>
        <v>11</v>
      </c>
      <c r="D167">
        <f ca="1">IF(表_网址[[#This Row],[重点关键词]]="",10,MATCH(表_网址[[#This Row],[重点关键词]],序列_重点关键词,0)+10)</f>
        <v>13</v>
      </c>
      <c r="E167">
        <f>IF(AND(表_网址[[#This Row],[首要关键词]]=K166,表_网址[[#This Row],[次要关键词]]=L166,表_网址[[#This Row],[重点关键词]]=M166),E166+1,IF(表_网址[[#This Row],[重点关键词]]="",100,101))</f>
        <v>109</v>
      </c>
      <c r="F167" t="s">
        <v>144</v>
      </c>
      <c r="G167" t="s">
        <v>145</v>
      </c>
      <c r="H167" t="s">
        <v>29</v>
      </c>
      <c r="I167" t="s">
        <v>146</v>
      </c>
      <c r="J167" t="s">
        <v>1827</v>
      </c>
      <c r="K167" t="s">
        <v>24</v>
      </c>
      <c r="L167" t="s">
        <v>26</v>
      </c>
      <c r="M167" t="s">
        <v>122</v>
      </c>
      <c r="N167" t="s">
        <v>1854</v>
      </c>
      <c r="Q167">
        <v>16</v>
      </c>
    </row>
    <row r="168" spans="1:17" x14ac:dyDescent="0.2">
      <c r="A168" t="str">
        <f ca="1">表_网址[[#This Row],[1级]]&amp;"-"&amp;表_网址[[#This Row],[2级]]&amp;"-"&amp;表_网址[[#This Row],[3级]]&amp;"-"&amp;表_网址[[#This Row],[级内]]</f>
        <v>8003-11-13-110</v>
      </c>
      <c r="B168">
        <f ca="1">MATCH(表_网址[[#This Row],[版层分类]],序列_版层分类,0)*1000+MATCH(表_网址[[#This Row],[首要关键词]],序列_首要关键词,0)</f>
        <v>8003</v>
      </c>
      <c r="C168">
        <f ca="1">IF(表_网址[[#This Row],[次要关键词]]="",10,MATCH(表_网址[[#This Row],[次要关键词]],序列_次要关键词,0)+10)</f>
        <v>11</v>
      </c>
      <c r="D168">
        <f ca="1">IF(表_网址[[#This Row],[重点关键词]]="",10,MATCH(表_网址[[#This Row],[重点关键词]],序列_重点关键词,0)+10)</f>
        <v>13</v>
      </c>
      <c r="E168">
        <f>IF(AND(表_网址[[#This Row],[首要关键词]]=K167,表_网址[[#This Row],[次要关键词]]=L167,表_网址[[#This Row],[重点关键词]]=M167),E167+1,IF(表_网址[[#This Row],[重点关键词]]="",100,101))</f>
        <v>110</v>
      </c>
      <c r="F168" t="s">
        <v>147</v>
      </c>
      <c r="G168" t="s">
        <v>148</v>
      </c>
      <c r="H168" t="s">
        <v>29</v>
      </c>
      <c r="I168" t="s">
        <v>149</v>
      </c>
      <c r="J168" t="s">
        <v>1827</v>
      </c>
      <c r="K168" t="s">
        <v>24</v>
      </c>
      <c r="L168" t="s">
        <v>26</v>
      </c>
      <c r="M168" t="s">
        <v>122</v>
      </c>
      <c r="N168" t="s">
        <v>1854</v>
      </c>
      <c r="Q168">
        <v>19</v>
      </c>
    </row>
    <row r="169" spans="1:17" x14ac:dyDescent="0.2">
      <c r="A169" t="str">
        <f ca="1">表_网址[[#This Row],[1级]]&amp;"-"&amp;表_网址[[#This Row],[2级]]&amp;"-"&amp;表_网址[[#This Row],[3级]]&amp;"-"&amp;表_网址[[#This Row],[级内]]</f>
        <v>8003-11-13-111</v>
      </c>
      <c r="B169">
        <f ca="1">MATCH(表_网址[[#This Row],[版层分类]],序列_版层分类,0)*1000+MATCH(表_网址[[#This Row],[首要关键词]],序列_首要关键词,0)</f>
        <v>8003</v>
      </c>
      <c r="C169">
        <f ca="1">IF(表_网址[[#This Row],[次要关键词]]="",10,MATCH(表_网址[[#This Row],[次要关键词]],序列_次要关键词,0)+10)</f>
        <v>11</v>
      </c>
      <c r="D169">
        <f ca="1">IF(表_网址[[#This Row],[重点关键词]]="",10,MATCH(表_网址[[#This Row],[重点关键词]],序列_重点关键词,0)+10)</f>
        <v>13</v>
      </c>
      <c r="E169">
        <f>IF(AND(表_网址[[#This Row],[首要关键词]]=K168,表_网址[[#This Row],[次要关键词]]=L168,表_网址[[#This Row],[重点关键词]]=M168),E168+1,IF(表_网址[[#This Row],[重点关键词]]="",100,101))</f>
        <v>111</v>
      </c>
      <c r="F169" t="s">
        <v>150</v>
      </c>
      <c r="G169" t="s">
        <v>151</v>
      </c>
      <c r="H169" t="s">
        <v>29</v>
      </c>
      <c r="I169" t="s">
        <v>152</v>
      </c>
      <c r="J169" t="s">
        <v>1827</v>
      </c>
      <c r="K169" t="s">
        <v>24</v>
      </c>
      <c r="L169" t="s">
        <v>26</v>
      </c>
      <c r="M169" t="s">
        <v>122</v>
      </c>
      <c r="N169" t="s">
        <v>1854</v>
      </c>
    </row>
    <row r="170" spans="1:17" x14ac:dyDescent="0.2">
      <c r="A170" t="str">
        <f ca="1">表_网址[[#This Row],[1级]]&amp;"-"&amp;表_网址[[#This Row],[2级]]&amp;"-"&amp;表_网址[[#This Row],[3级]]&amp;"-"&amp;表_网址[[#This Row],[级内]]</f>
        <v>8003-11-13-112</v>
      </c>
      <c r="B170">
        <f ca="1">MATCH(表_网址[[#This Row],[版层分类]],序列_版层分类,0)*1000+MATCH(表_网址[[#This Row],[首要关键词]],序列_首要关键词,0)</f>
        <v>8003</v>
      </c>
      <c r="C170">
        <f ca="1">IF(表_网址[[#This Row],[次要关键词]]="",10,MATCH(表_网址[[#This Row],[次要关键词]],序列_次要关键词,0)+10)</f>
        <v>11</v>
      </c>
      <c r="D170">
        <f ca="1">IF(表_网址[[#This Row],[重点关键词]]="",10,MATCH(表_网址[[#This Row],[重点关键词]],序列_重点关键词,0)+10)</f>
        <v>13</v>
      </c>
      <c r="E170">
        <f>IF(AND(表_网址[[#This Row],[首要关键词]]=K169,表_网址[[#This Row],[次要关键词]]=L169,表_网址[[#This Row],[重点关键词]]=M169),E169+1,IF(表_网址[[#This Row],[重点关键词]]="",100,101))</f>
        <v>112</v>
      </c>
      <c r="F170" t="s">
        <v>153</v>
      </c>
      <c r="G170" t="s">
        <v>154</v>
      </c>
      <c r="H170" t="s">
        <v>29</v>
      </c>
      <c r="I170" t="s">
        <v>155</v>
      </c>
      <c r="J170" t="s">
        <v>1827</v>
      </c>
      <c r="K170" t="s">
        <v>24</v>
      </c>
      <c r="L170" t="s">
        <v>26</v>
      </c>
      <c r="M170" t="s">
        <v>122</v>
      </c>
      <c r="N170" t="s">
        <v>1854</v>
      </c>
    </row>
    <row r="171" spans="1:17" x14ac:dyDescent="0.2">
      <c r="A171" t="str">
        <f ca="1">表_网址[[#This Row],[1级]]&amp;"-"&amp;表_网址[[#This Row],[2级]]&amp;"-"&amp;表_网址[[#This Row],[3级]]&amp;"-"&amp;表_网址[[#This Row],[级内]]</f>
        <v>8003-11-13-113</v>
      </c>
      <c r="B171">
        <f ca="1">MATCH(表_网址[[#This Row],[版层分类]],序列_版层分类,0)*1000+MATCH(表_网址[[#This Row],[首要关键词]],序列_首要关键词,0)</f>
        <v>8003</v>
      </c>
      <c r="C171">
        <f ca="1">IF(表_网址[[#This Row],[次要关键词]]="",10,MATCH(表_网址[[#This Row],[次要关键词]],序列_次要关键词,0)+10)</f>
        <v>11</v>
      </c>
      <c r="D171">
        <f ca="1">IF(表_网址[[#This Row],[重点关键词]]="",10,MATCH(表_网址[[#This Row],[重点关键词]],序列_重点关键词,0)+10)</f>
        <v>13</v>
      </c>
      <c r="E171">
        <f>IF(AND(表_网址[[#This Row],[首要关键词]]=K170,表_网址[[#This Row],[次要关键词]]=L170,表_网址[[#This Row],[重点关键词]]=M170),E170+1,IF(表_网址[[#This Row],[重点关键词]]="",100,101))</f>
        <v>113</v>
      </c>
      <c r="F171" t="s">
        <v>156</v>
      </c>
      <c r="G171" t="s">
        <v>157</v>
      </c>
      <c r="H171" t="s">
        <v>29</v>
      </c>
      <c r="I171" t="s">
        <v>158</v>
      </c>
      <c r="J171" t="s">
        <v>1827</v>
      </c>
      <c r="K171" t="s">
        <v>24</v>
      </c>
      <c r="L171" t="s">
        <v>26</v>
      </c>
      <c r="M171" t="s">
        <v>122</v>
      </c>
      <c r="N171" t="s">
        <v>1854</v>
      </c>
      <c r="Q171">
        <v>32</v>
      </c>
    </row>
    <row r="172" spans="1:17" x14ac:dyDescent="0.2">
      <c r="A172" t="str">
        <f ca="1">表_网址[[#This Row],[1级]]&amp;"-"&amp;表_网址[[#This Row],[2级]]&amp;"-"&amp;表_网址[[#This Row],[3级]]&amp;"-"&amp;表_网址[[#This Row],[级内]]</f>
        <v>8003-11-13-114</v>
      </c>
      <c r="B172">
        <f ca="1">MATCH(表_网址[[#This Row],[版层分类]],序列_版层分类,0)*1000+MATCH(表_网址[[#This Row],[首要关键词]],序列_首要关键词,0)</f>
        <v>8003</v>
      </c>
      <c r="C172">
        <f ca="1">IF(表_网址[[#This Row],[次要关键词]]="",10,MATCH(表_网址[[#This Row],[次要关键词]],序列_次要关键词,0)+10)</f>
        <v>11</v>
      </c>
      <c r="D172">
        <f ca="1">IF(表_网址[[#This Row],[重点关键词]]="",10,MATCH(表_网址[[#This Row],[重点关键词]],序列_重点关键词,0)+10)</f>
        <v>13</v>
      </c>
      <c r="E172">
        <f>IF(AND(表_网址[[#This Row],[首要关键词]]=K171,表_网址[[#This Row],[次要关键词]]=L171,表_网址[[#This Row],[重点关键词]]=M171),E171+1,IF(表_网址[[#This Row],[重点关键词]]="",100,101))</f>
        <v>114</v>
      </c>
      <c r="F172" t="s">
        <v>159</v>
      </c>
      <c r="G172" t="s">
        <v>160</v>
      </c>
      <c r="H172" t="s">
        <v>29</v>
      </c>
      <c r="I172" t="s">
        <v>161</v>
      </c>
      <c r="J172" t="s">
        <v>1827</v>
      </c>
      <c r="K172" t="s">
        <v>24</v>
      </c>
      <c r="L172" t="s">
        <v>26</v>
      </c>
      <c r="M172" t="s">
        <v>122</v>
      </c>
      <c r="N172" t="s">
        <v>1854</v>
      </c>
    </row>
    <row r="173" spans="1:17" x14ac:dyDescent="0.2">
      <c r="A173" t="str">
        <f ca="1">表_网址[[#This Row],[1级]]&amp;"-"&amp;表_网址[[#This Row],[2级]]&amp;"-"&amp;表_网址[[#This Row],[3级]]&amp;"-"&amp;表_网址[[#This Row],[级内]]</f>
        <v>8003-11-14-101</v>
      </c>
      <c r="B173">
        <f ca="1">MATCH(表_网址[[#This Row],[版层分类]],序列_版层分类,0)*1000+MATCH(表_网址[[#This Row],[首要关键词]],序列_首要关键词,0)</f>
        <v>8003</v>
      </c>
      <c r="C173">
        <f ca="1">IF(表_网址[[#This Row],[次要关键词]]="",10,MATCH(表_网址[[#This Row],[次要关键词]],序列_次要关键词,0)+10)</f>
        <v>11</v>
      </c>
      <c r="D173">
        <f ca="1">IF(表_网址[[#This Row],[重点关键词]]="",10,MATCH(表_网址[[#This Row],[重点关键词]],序列_重点关键词,0)+10)</f>
        <v>14</v>
      </c>
      <c r="E173">
        <f>IF(AND(表_网址[[#This Row],[首要关键词]]=K172,表_网址[[#This Row],[次要关键词]]=L172,表_网址[[#This Row],[重点关键词]]=M172),E172+1,IF(表_网址[[#This Row],[重点关键词]]="",100,101))</f>
        <v>101</v>
      </c>
      <c r="F173" t="s">
        <v>162</v>
      </c>
      <c r="G173" t="s">
        <v>163</v>
      </c>
      <c r="H173" t="s">
        <v>29</v>
      </c>
      <c r="I173" t="s">
        <v>164</v>
      </c>
      <c r="J173" t="s">
        <v>1827</v>
      </c>
      <c r="K173" t="s">
        <v>24</v>
      </c>
      <c r="L173" t="s">
        <v>26</v>
      </c>
      <c r="M173" t="s">
        <v>165</v>
      </c>
      <c r="N173" t="s">
        <v>1854</v>
      </c>
    </row>
    <row r="174" spans="1:17" x14ac:dyDescent="0.2">
      <c r="A174" t="str">
        <f ca="1">表_网址[[#This Row],[1级]]&amp;"-"&amp;表_网址[[#This Row],[2级]]&amp;"-"&amp;表_网址[[#This Row],[3级]]&amp;"-"&amp;表_网址[[#This Row],[级内]]</f>
        <v>8003-11-14-102</v>
      </c>
      <c r="B174">
        <f ca="1">MATCH(表_网址[[#This Row],[版层分类]],序列_版层分类,0)*1000+MATCH(表_网址[[#This Row],[首要关键词]],序列_首要关键词,0)</f>
        <v>8003</v>
      </c>
      <c r="C174">
        <f ca="1">IF(表_网址[[#This Row],[次要关键词]]="",10,MATCH(表_网址[[#This Row],[次要关键词]],序列_次要关键词,0)+10)</f>
        <v>11</v>
      </c>
      <c r="D174">
        <f ca="1">IF(表_网址[[#This Row],[重点关键词]]="",10,MATCH(表_网址[[#This Row],[重点关键词]],序列_重点关键词,0)+10)</f>
        <v>14</v>
      </c>
      <c r="E174">
        <f>IF(AND(表_网址[[#This Row],[首要关键词]]=K173,表_网址[[#This Row],[次要关键词]]=L173,表_网址[[#This Row],[重点关键词]]=M173),E173+1,IF(表_网址[[#This Row],[重点关键词]]="",100,101))</f>
        <v>102</v>
      </c>
      <c r="F174" t="s">
        <v>166</v>
      </c>
      <c r="G174" t="s">
        <v>167</v>
      </c>
      <c r="H174" t="s">
        <v>29</v>
      </c>
      <c r="I174" t="s">
        <v>22</v>
      </c>
      <c r="J174" t="s">
        <v>1827</v>
      </c>
      <c r="K174" t="s">
        <v>24</v>
      </c>
      <c r="L174" t="s">
        <v>26</v>
      </c>
      <c r="M174" t="s">
        <v>165</v>
      </c>
      <c r="N174" t="s">
        <v>1854</v>
      </c>
      <c r="O174" t="s">
        <v>1166</v>
      </c>
      <c r="Q174">
        <v>16</v>
      </c>
    </row>
    <row r="175" spans="1:17" x14ac:dyDescent="0.2">
      <c r="A175" t="str">
        <f ca="1">表_网址[[#This Row],[1级]]&amp;"-"&amp;表_网址[[#This Row],[2级]]&amp;"-"&amp;表_网址[[#This Row],[3级]]&amp;"-"&amp;表_网址[[#This Row],[级内]]</f>
        <v>8003-11-14-103</v>
      </c>
      <c r="B175">
        <f ca="1">MATCH(表_网址[[#This Row],[版层分类]],序列_版层分类,0)*1000+MATCH(表_网址[[#This Row],[首要关键词]],序列_首要关键词,0)</f>
        <v>8003</v>
      </c>
      <c r="C175">
        <f ca="1">IF(表_网址[[#This Row],[次要关键词]]="",10,MATCH(表_网址[[#This Row],[次要关键词]],序列_次要关键词,0)+10)</f>
        <v>11</v>
      </c>
      <c r="D175">
        <f ca="1">IF(表_网址[[#This Row],[重点关键词]]="",10,MATCH(表_网址[[#This Row],[重点关键词]],序列_重点关键词,0)+10)</f>
        <v>14</v>
      </c>
      <c r="E175">
        <f>IF(AND(表_网址[[#This Row],[首要关键词]]=K174,表_网址[[#This Row],[次要关键词]]=L174,表_网址[[#This Row],[重点关键词]]=M174),E174+1,IF(表_网址[[#This Row],[重点关键词]]="",100,101))</f>
        <v>103</v>
      </c>
      <c r="F175" t="s">
        <v>168</v>
      </c>
      <c r="G175" t="s">
        <v>169</v>
      </c>
      <c r="H175" t="s">
        <v>29</v>
      </c>
      <c r="I175" t="s">
        <v>170</v>
      </c>
      <c r="J175" t="s">
        <v>1827</v>
      </c>
      <c r="K175" t="s">
        <v>24</v>
      </c>
      <c r="L175" t="s">
        <v>26</v>
      </c>
      <c r="M175" t="s">
        <v>165</v>
      </c>
      <c r="N175" t="s">
        <v>1854</v>
      </c>
    </row>
    <row r="176" spans="1:17" x14ac:dyDescent="0.2">
      <c r="A176" t="str">
        <f ca="1">表_网址[[#This Row],[1级]]&amp;"-"&amp;表_网址[[#This Row],[2级]]&amp;"-"&amp;表_网址[[#This Row],[3级]]&amp;"-"&amp;表_网址[[#This Row],[级内]]</f>
        <v>8003-11-14-104</v>
      </c>
      <c r="B176">
        <f ca="1">MATCH(表_网址[[#This Row],[版层分类]],序列_版层分类,0)*1000+MATCH(表_网址[[#This Row],[首要关键词]],序列_首要关键词,0)</f>
        <v>8003</v>
      </c>
      <c r="C176">
        <f ca="1">IF(表_网址[[#This Row],[次要关键词]]="",10,MATCH(表_网址[[#This Row],[次要关键词]],序列_次要关键词,0)+10)</f>
        <v>11</v>
      </c>
      <c r="D176">
        <f ca="1">IF(表_网址[[#This Row],[重点关键词]]="",10,MATCH(表_网址[[#This Row],[重点关键词]],序列_重点关键词,0)+10)</f>
        <v>14</v>
      </c>
      <c r="E176">
        <f>IF(AND(表_网址[[#This Row],[首要关键词]]=K175,表_网址[[#This Row],[次要关键词]]=L175,表_网址[[#This Row],[重点关键词]]=M175),E175+1,IF(表_网址[[#This Row],[重点关键词]]="",100,101))</f>
        <v>104</v>
      </c>
      <c r="F176" t="s">
        <v>171</v>
      </c>
      <c r="G176" t="s">
        <v>172</v>
      </c>
      <c r="H176" t="s">
        <v>29</v>
      </c>
      <c r="I176" t="s">
        <v>173</v>
      </c>
      <c r="J176" t="s">
        <v>1827</v>
      </c>
      <c r="K176" t="s">
        <v>24</v>
      </c>
      <c r="L176" t="s">
        <v>26</v>
      </c>
      <c r="M176" t="s">
        <v>165</v>
      </c>
      <c r="N176" t="s">
        <v>1854</v>
      </c>
    </row>
    <row r="177" spans="1:17" x14ac:dyDescent="0.2">
      <c r="A177" t="str">
        <f ca="1">表_网址[[#This Row],[1级]]&amp;"-"&amp;表_网址[[#This Row],[2级]]&amp;"-"&amp;表_网址[[#This Row],[3级]]&amp;"-"&amp;表_网址[[#This Row],[级内]]</f>
        <v>8003-11-14-105</v>
      </c>
      <c r="B177">
        <f ca="1">MATCH(表_网址[[#This Row],[版层分类]],序列_版层分类,0)*1000+MATCH(表_网址[[#This Row],[首要关键词]],序列_首要关键词,0)</f>
        <v>8003</v>
      </c>
      <c r="C177">
        <f ca="1">IF(表_网址[[#This Row],[次要关键词]]="",10,MATCH(表_网址[[#This Row],[次要关键词]],序列_次要关键词,0)+10)</f>
        <v>11</v>
      </c>
      <c r="D177">
        <f ca="1">IF(表_网址[[#This Row],[重点关键词]]="",10,MATCH(表_网址[[#This Row],[重点关键词]],序列_重点关键词,0)+10)</f>
        <v>14</v>
      </c>
      <c r="E177">
        <f>IF(AND(表_网址[[#This Row],[首要关键词]]=K176,表_网址[[#This Row],[次要关键词]]=L176,表_网址[[#This Row],[重点关键词]]=M176),E176+1,IF(表_网址[[#This Row],[重点关键词]]="",100,101))</f>
        <v>105</v>
      </c>
      <c r="F177" t="s">
        <v>174</v>
      </c>
      <c r="G177" t="s">
        <v>175</v>
      </c>
      <c r="H177" t="s">
        <v>29</v>
      </c>
      <c r="I177" t="s">
        <v>176</v>
      </c>
      <c r="J177" t="s">
        <v>1827</v>
      </c>
      <c r="K177" t="s">
        <v>24</v>
      </c>
      <c r="L177" t="s">
        <v>26</v>
      </c>
      <c r="M177" t="s">
        <v>165</v>
      </c>
      <c r="N177" t="s">
        <v>1854</v>
      </c>
      <c r="Q177">
        <v>16</v>
      </c>
    </row>
    <row r="178" spans="1:17" x14ac:dyDescent="0.2">
      <c r="A178" t="str">
        <f ca="1">表_网址[[#This Row],[1级]]&amp;"-"&amp;表_网址[[#This Row],[2级]]&amp;"-"&amp;表_网址[[#This Row],[3级]]&amp;"-"&amp;表_网址[[#This Row],[级内]]</f>
        <v>8003-11-14-106</v>
      </c>
      <c r="B178">
        <f ca="1">MATCH(表_网址[[#This Row],[版层分类]],序列_版层分类,0)*1000+MATCH(表_网址[[#This Row],[首要关键词]],序列_首要关键词,0)</f>
        <v>8003</v>
      </c>
      <c r="C178">
        <f ca="1">IF(表_网址[[#This Row],[次要关键词]]="",10,MATCH(表_网址[[#This Row],[次要关键词]],序列_次要关键词,0)+10)</f>
        <v>11</v>
      </c>
      <c r="D178">
        <f ca="1">IF(表_网址[[#This Row],[重点关键词]]="",10,MATCH(表_网址[[#This Row],[重点关键词]],序列_重点关键词,0)+10)</f>
        <v>14</v>
      </c>
      <c r="E178">
        <f>IF(AND(表_网址[[#This Row],[首要关键词]]=K177,表_网址[[#This Row],[次要关键词]]=L177,表_网址[[#This Row],[重点关键词]]=M177),E177+1,IF(表_网址[[#This Row],[重点关键词]]="",100,101))</f>
        <v>106</v>
      </c>
      <c r="F178" t="s">
        <v>177</v>
      </c>
      <c r="G178" t="s">
        <v>178</v>
      </c>
      <c r="H178" t="s">
        <v>29</v>
      </c>
      <c r="I178" t="s">
        <v>179</v>
      </c>
      <c r="J178" t="s">
        <v>1827</v>
      </c>
      <c r="K178" t="s">
        <v>24</v>
      </c>
      <c r="L178" t="s">
        <v>26</v>
      </c>
      <c r="M178" t="s">
        <v>165</v>
      </c>
      <c r="N178" t="s">
        <v>1854</v>
      </c>
      <c r="Q178">
        <v>256</v>
      </c>
    </row>
    <row r="179" spans="1:17" x14ac:dyDescent="0.2">
      <c r="A179" t="str">
        <f ca="1">表_网址[[#This Row],[1级]]&amp;"-"&amp;表_网址[[#This Row],[2级]]&amp;"-"&amp;表_网址[[#This Row],[3级]]&amp;"-"&amp;表_网址[[#This Row],[级内]]</f>
        <v>8003-11-15-101</v>
      </c>
      <c r="B179">
        <f ca="1">MATCH(表_网址[[#This Row],[版层分类]],序列_版层分类,0)*1000+MATCH(表_网址[[#This Row],[首要关键词]],序列_首要关键词,0)</f>
        <v>8003</v>
      </c>
      <c r="C179">
        <f ca="1">IF(表_网址[[#This Row],[次要关键词]]="",10,MATCH(表_网址[[#This Row],[次要关键词]],序列_次要关键词,0)+10)</f>
        <v>11</v>
      </c>
      <c r="D179">
        <f ca="1">IF(表_网址[[#This Row],[重点关键词]]="",10,MATCH(表_网址[[#This Row],[重点关键词]],序列_重点关键词,0)+10)</f>
        <v>15</v>
      </c>
      <c r="E179">
        <f>IF(AND(表_网址[[#This Row],[首要关键词]]=K178,表_网址[[#This Row],[次要关键词]]=L178,表_网址[[#This Row],[重点关键词]]=M178),E178+1,IF(表_网址[[#This Row],[重点关键词]]="",100,101))</f>
        <v>101</v>
      </c>
      <c r="F179" t="s">
        <v>180</v>
      </c>
      <c r="G179" t="s">
        <v>181</v>
      </c>
      <c r="H179" t="s">
        <v>29</v>
      </c>
      <c r="I179" t="s">
        <v>182</v>
      </c>
      <c r="J179" t="s">
        <v>1827</v>
      </c>
      <c r="K179" t="s">
        <v>24</v>
      </c>
      <c r="L179" t="s">
        <v>26</v>
      </c>
      <c r="M179" t="s">
        <v>183</v>
      </c>
      <c r="N179" t="s">
        <v>1854</v>
      </c>
    </row>
    <row r="180" spans="1:17" x14ac:dyDescent="0.2">
      <c r="A180" t="str">
        <f ca="1">表_网址[[#This Row],[1级]]&amp;"-"&amp;表_网址[[#This Row],[2级]]&amp;"-"&amp;表_网址[[#This Row],[3级]]&amp;"-"&amp;表_网址[[#This Row],[级内]]</f>
        <v>8003-11-15-102</v>
      </c>
      <c r="B180">
        <f ca="1">MATCH(表_网址[[#This Row],[版层分类]],序列_版层分类,0)*1000+MATCH(表_网址[[#This Row],[首要关键词]],序列_首要关键词,0)</f>
        <v>8003</v>
      </c>
      <c r="C180">
        <f ca="1">IF(表_网址[[#This Row],[次要关键词]]="",10,MATCH(表_网址[[#This Row],[次要关键词]],序列_次要关键词,0)+10)</f>
        <v>11</v>
      </c>
      <c r="D180">
        <f ca="1">IF(表_网址[[#This Row],[重点关键词]]="",10,MATCH(表_网址[[#This Row],[重点关键词]],序列_重点关键词,0)+10)</f>
        <v>15</v>
      </c>
      <c r="E180">
        <f>IF(AND(表_网址[[#This Row],[首要关键词]]=K179,表_网址[[#This Row],[次要关键词]]=L179,表_网址[[#This Row],[重点关键词]]=M179),E179+1,IF(表_网址[[#This Row],[重点关键词]]="",100,101))</f>
        <v>102</v>
      </c>
      <c r="F180" t="s">
        <v>184</v>
      </c>
      <c r="G180" t="s">
        <v>185</v>
      </c>
      <c r="H180" t="s">
        <v>29</v>
      </c>
      <c r="I180" t="s">
        <v>186</v>
      </c>
      <c r="J180" t="s">
        <v>1827</v>
      </c>
      <c r="K180" t="s">
        <v>24</v>
      </c>
      <c r="L180" t="s">
        <v>26</v>
      </c>
      <c r="M180" t="s">
        <v>183</v>
      </c>
      <c r="N180" t="s">
        <v>1854</v>
      </c>
      <c r="O180" t="s">
        <v>1166</v>
      </c>
      <c r="Q180">
        <v>64</v>
      </c>
    </row>
    <row r="181" spans="1:17" x14ac:dyDescent="0.2">
      <c r="A181" t="str">
        <f ca="1">表_网址[[#This Row],[1级]]&amp;"-"&amp;表_网址[[#This Row],[2级]]&amp;"-"&amp;表_网址[[#This Row],[3级]]&amp;"-"&amp;表_网址[[#This Row],[级内]]</f>
        <v>8003-11-15-103</v>
      </c>
      <c r="B181">
        <f ca="1">MATCH(表_网址[[#This Row],[版层分类]],序列_版层分类,0)*1000+MATCH(表_网址[[#This Row],[首要关键词]],序列_首要关键词,0)</f>
        <v>8003</v>
      </c>
      <c r="C181">
        <f ca="1">IF(表_网址[[#This Row],[次要关键词]]="",10,MATCH(表_网址[[#This Row],[次要关键词]],序列_次要关键词,0)+10)</f>
        <v>11</v>
      </c>
      <c r="D181">
        <f ca="1">IF(表_网址[[#This Row],[重点关键词]]="",10,MATCH(表_网址[[#This Row],[重点关键词]],序列_重点关键词,0)+10)</f>
        <v>15</v>
      </c>
      <c r="E181">
        <f>IF(AND(表_网址[[#This Row],[首要关键词]]=K180,表_网址[[#This Row],[次要关键词]]=L180,表_网址[[#This Row],[重点关键词]]=M180),E180+1,IF(表_网址[[#This Row],[重点关键词]]="",100,101))</f>
        <v>103</v>
      </c>
      <c r="F181" t="s">
        <v>187</v>
      </c>
      <c r="G181" t="s">
        <v>188</v>
      </c>
      <c r="H181" t="s">
        <v>29</v>
      </c>
      <c r="I181" t="s">
        <v>189</v>
      </c>
      <c r="J181" t="s">
        <v>1827</v>
      </c>
      <c r="K181" t="s">
        <v>24</v>
      </c>
      <c r="L181" t="s">
        <v>26</v>
      </c>
      <c r="M181" t="s">
        <v>183</v>
      </c>
      <c r="N181" t="s">
        <v>1854</v>
      </c>
      <c r="Q181">
        <v>16</v>
      </c>
    </row>
    <row r="182" spans="1:17" x14ac:dyDescent="0.2">
      <c r="A182" t="str">
        <f ca="1">表_网址[[#This Row],[1级]]&amp;"-"&amp;表_网址[[#This Row],[2级]]&amp;"-"&amp;表_网址[[#This Row],[3级]]&amp;"-"&amp;表_网址[[#This Row],[级内]]</f>
        <v>8003-11-15-104</v>
      </c>
      <c r="B182">
        <f ca="1">MATCH(表_网址[[#This Row],[版层分类]],序列_版层分类,0)*1000+MATCH(表_网址[[#This Row],[首要关键词]],序列_首要关键词,0)</f>
        <v>8003</v>
      </c>
      <c r="C182">
        <f ca="1">IF(表_网址[[#This Row],[次要关键词]]="",10,MATCH(表_网址[[#This Row],[次要关键词]],序列_次要关键词,0)+10)</f>
        <v>11</v>
      </c>
      <c r="D182">
        <f ca="1">IF(表_网址[[#This Row],[重点关键词]]="",10,MATCH(表_网址[[#This Row],[重点关键词]],序列_重点关键词,0)+10)</f>
        <v>15</v>
      </c>
      <c r="E182">
        <f>IF(AND(表_网址[[#This Row],[首要关键词]]=K181,表_网址[[#This Row],[次要关键词]]=L181,表_网址[[#This Row],[重点关键词]]=M181),E181+1,IF(表_网址[[#This Row],[重点关键词]]="",100,101))</f>
        <v>104</v>
      </c>
      <c r="F182" t="s">
        <v>190</v>
      </c>
      <c r="G182" t="s">
        <v>191</v>
      </c>
      <c r="H182" t="s">
        <v>29</v>
      </c>
      <c r="I182" t="s">
        <v>192</v>
      </c>
      <c r="J182" t="s">
        <v>1827</v>
      </c>
      <c r="K182" t="s">
        <v>24</v>
      </c>
      <c r="L182" t="s">
        <v>26</v>
      </c>
      <c r="M182" t="s">
        <v>183</v>
      </c>
      <c r="N182" t="s">
        <v>1854</v>
      </c>
      <c r="O182" t="s">
        <v>1166</v>
      </c>
      <c r="Q182">
        <v>32</v>
      </c>
    </row>
    <row r="183" spans="1:17" x14ac:dyDescent="0.2">
      <c r="A183" t="str">
        <f ca="1">表_网址[[#This Row],[1级]]&amp;"-"&amp;表_网址[[#This Row],[2级]]&amp;"-"&amp;表_网址[[#This Row],[3级]]&amp;"-"&amp;表_网址[[#This Row],[级内]]</f>
        <v>8003-11-15-105</v>
      </c>
      <c r="B183">
        <f ca="1">MATCH(表_网址[[#This Row],[版层分类]],序列_版层分类,0)*1000+MATCH(表_网址[[#This Row],[首要关键词]],序列_首要关键词,0)</f>
        <v>8003</v>
      </c>
      <c r="C183">
        <f ca="1">IF(表_网址[[#This Row],[次要关键词]]="",10,MATCH(表_网址[[#This Row],[次要关键词]],序列_次要关键词,0)+10)</f>
        <v>11</v>
      </c>
      <c r="D183">
        <f ca="1">IF(表_网址[[#This Row],[重点关键词]]="",10,MATCH(表_网址[[#This Row],[重点关键词]],序列_重点关键词,0)+10)</f>
        <v>15</v>
      </c>
      <c r="E183">
        <f>IF(AND(表_网址[[#This Row],[首要关键词]]=K182,表_网址[[#This Row],[次要关键词]]=L182,表_网址[[#This Row],[重点关键词]]=M182),E182+1,IF(表_网址[[#This Row],[重点关键词]]="",100,101))</f>
        <v>105</v>
      </c>
      <c r="F183" t="s">
        <v>193</v>
      </c>
      <c r="G183" t="s">
        <v>194</v>
      </c>
      <c r="H183" t="s">
        <v>29</v>
      </c>
      <c r="I183" t="s">
        <v>195</v>
      </c>
      <c r="J183" t="s">
        <v>1827</v>
      </c>
      <c r="K183" t="s">
        <v>24</v>
      </c>
      <c r="L183" t="s">
        <v>26</v>
      </c>
      <c r="M183" t="s">
        <v>183</v>
      </c>
      <c r="N183" t="s">
        <v>1854</v>
      </c>
    </row>
    <row r="184" spans="1:17" x14ac:dyDescent="0.2">
      <c r="A184" t="str">
        <f ca="1">表_网址[[#This Row],[1级]]&amp;"-"&amp;表_网址[[#This Row],[2级]]&amp;"-"&amp;表_网址[[#This Row],[3级]]&amp;"-"&amp;表_网址[[#This Row],[级内]]</f>
        <v>8003-11-15-106</v>
      </c>
      <c r="B184">
        <f ca="1">MATCH(表_网址[[#This Row],[版层分类]],序列_版层分类,0)*1000+MATCH(表_网址[[#This Row],[首要关键词]],序列_首要关键词,0)</f>
        <v>8003</v>
      </c>
      <c r="C184">
        <f ca="1">IF(表_网址[[#This Row],[次要关键词]]="",10,MATCH(表_网址[[#This Row],[次要关键词]],序列_次要关键词,0)+10)</f>
        <v>11</v>
      </c>
      <c r="D184">
        <f ca="1">IF(表_网址[[#This Row],[重点关键词]]="",10,MATCH(表_网址[[#This Row],[重点关键词]],序列_重点关键词,0)+10)</f>
        <v>15</v>
      </c>
      <c r="E184">
        <f>IF(AND(表_网址[[#This Row],[首要关键词]]=K183,表_网址[[#This Row],[次要关键词]]=L183,表_网址[[#This Row],[重点关键词]]=M183),E183+1,IF(表_网址[[#This Row],[重点关键词]]="",100,101))</f>
        <v>106</v>
      </c>
      <c r="F184" t="s">
        <v>196</v>
      </c>
      <c r="G184" t="s">
        <v>197</v>
      </c>
      <c r="H184" t="s">
        <v>29</v>
      </c>
      <c r="I184" t="s">
        <v>198</v>
      </c>
      <c r="J184" t="s">
        <v>1827</v>
      </c>
      <c r="K184" t="s">
        <v>24</v>
      </c>
      <c r="L184" t="s">
        <v>26</v>
      </c>
      <c r="M184" t="s">
        <v>183</v>
      </c>
      <c r="N184" t="s">
        <v>1854</v>
      </c>
      <c r="O184" t="s">
        <v>1166</v>
      </c>
      <c r="Q184">
        <v>16</v>
      </c>
    </row>
    <row r="185" spans="1:17" x14ac:dyDescent="0.2">
      <c r="A185" t="str">
        <f ca="1">表_网址[[#This Row],[1级]]&amp;"-"&amp;表_网址[[#This Row],[2级]]&amp;"-"&amp;表_网址[[#This Row],[3级]]&amp;"-"&amp;表_网址[[#This Row],[级内]]</f>
        <v>8003-11-15-107</v>
      </c>
      <c r="B185">
        <f ca="1">MATCH(表_网址[[#This Row],[版层分类]],序列_版层分类,0)*1000+MATCH(表_网址[[#This Row],[首要关键词]],序列_首要关键词,0)</f>
        <v>8003</v>
      </c>
      <c r="C185">
        <f ca="1">IF(表_网址[[#This Row],[次要关键词]]="",10,MATCH(表_网址[[#This Row],[次要关键词]],序列_次要关键词,0)+10)</f>
        <v>11</v>
      </c>
      <c r="D185">
        <f ca="1">IF(表_网址[[#This Row],[重点关键词]]="",10,MATCH(表_网址[[#This Row],[重点关键词]],序列_重点关键词,0)+10)</f>
        <v>15</v>
      </c>
      <c r="E185">
        <f>IF(AND(表_网址[[#This Row],[首要关键词]]=K184,表_网址[[#This Row],[次要关键词]]=L184,表_网址[[#This Row],[重点关键词]]=M184),E184+1,IF(表_网址[[#This Row],[重点关键词]]="",100,101))</f>
        <v>107</v>
      </c>
      <c r="F185" t="s">
        <v>199</v>
      </c>
      <c r="G185" t="s">
        <v>200</v>
      </c>
      <c r="H185" t="s">
        <v>29</v>
      </c>
      <c r="I185" t="s">
        <v>201</v>
      </c>
      <c r="J185" t="s">
        <v>1827</v>
      </c>
      <c r="K185" t="s">
        <v>24</v>
      </c>
      <c r="L185" t="s">
        <v>26</v>
      </c>
      <c r="M185" t="s">
        <v>183</v>
      </c>
      <c r="N185" t="s">
        <v>1854</v>
      </c>
      <c r="Q185">
        <v>16</v>
      </c>
    </row>
    <row r="186" spans="1:17" x14ac:dyDescent="0.2">
      <c r="A186" t="str">
        <f ca="1">表_网址[[#This Row],[1级]]&amp;"-"&amp;表_网址[[#This Row],[2级]]&amp;"-"&amp;表_网址[[#This Row],[3级]]&amp;"-"&amp;表_网址[[#This Row],[级内]]</f>
        <v>8003-11-15-108</v>
      </c>
      <c r="B186">
        <f ca="1">MATCH(表_网址[[#This Row],[版层分类]],序列_版层分类,0)*1000+MATCH(表_网址[[#This Row],[首要关键词]],序列_首要关键词,0)</f>
        <v>8003</v>
      </c>
      <c r="C186">
        <f ca="1">IF(表_网址[[#This Row],[次要关键词]]="",10,MATCH(表_网址[[#This Row],[次要关键词]],序列_次要关键词,0)+10)</f>
        <v>11</v>
      </c>
      <c r="D186">
        <f ca="1">IF(表_网址[[#This Row],[重点关键词]]="",10,MATCH(表_网址[[#This Row],[重点关键词]],序列_重点关键词,0)+10)</f>
        <v>15</v>
      </c>
      <c r="E186">
        <f>IF(AND(表_网址[[#This Row],[首要关键词]]=K185,表_网址[[#This Row],[次要关键词]]=L185,表_网址[[#This Row],[重点关键词]]=M185),E185+1,IF(表_网址[[#This Row],[重点关键词]]="",100,101))</f>
        <v>108</v>
      </c>
      <c r="F186" t="s">
        <v>202</v>
      </c>
      <c r="G186" t="s">
        <v>203</v>
      </c>
      <c r="H186" t="s">
        <v>29</v>
      </c>
      <c r="I186" t="s">
        <v>204</v>
      </c>
      <c r="J186" t="s">
        <v>1827</v>
      </c>
      <c r="K186" t="s">
        <v>24</v>
      </c>
      <c r="L186" t="s">
        <v>26</v>
      </c>
      <c r="M186" t="s">
        <v>183</v>
      </c>
      <c r="N186" t="s">
        <v>1854</v>
      </c>
      <c r="O186" t="s">
        <v>1166</v>
      </c>
      <c r="Q186">
        <v>128</v>
      </c>
    </row>
    <row r="187" spans="1:17" x14ac:dyDescent="0.2">
      <c r="A187" t="str">
        <f ca="1">表_网址[[#This Row],[1级]]&amp;"-"&amp;表_网址[[#This Row],[2级]]&amp;"-"&amp;表_网址[[#This Row],[3级]]&amp;"-"&amp;表_网址[[#This Row],[级内]]</f>
        <v>8003-11-15-109</v>
      </c>
      <c r="B187">
        <f ca="1">MATCH(表_网址[[#This Row],[版层分类]],序列_版层分类,0)*1000+MATCH(表_网址[[#This Row],[首要关键词]],序列_首要关键词,0)</f>
        <v>8003</v>
      </c>
      <c r="C187">
        <f ca="1">IF(表_网址[[#This Row],[次要关键词]]="",10,MATCH(表_网址[[#This Row],[次要关键词]],序列_次要关键词,0)+10)</f>
        <v>11</v>
      </c>
      <c r="D187">
        <f ca="1">IF(表_网址[[#This Row],[重点关键词]]="",10,MATCH(表_网址[[#This Row],[重点关键词]],序列_重点关键词,0)+10)</f>
        <v>15</v>
      </c>
      <c r="E187">
        <f>IF(AND(表_网址[[#This Row],[首要关键词]]=K186,表_网址[[#This Row],[次要关键词]]=L186,表_网址[[#This Row],[重点关键词]]=M186),E186+1,IF(表_网址[[#This Row],[重点关键词]]="",100,101))</f>
        <v>109</v>
      </c>
      <c r="F187" t="s">
        <v>205</v>
      </c>
      <c r="G187" t="s">
        <v>206</v>
      </c>
      <c r="H187" t="s">
        <v>29</v>
      </c>
      <c r="I187" t="s">
        <v>207</v>
      </c>
      <c r="J187" t="s">
        <v>1827</v>
      </c>
      <c r="K187" t="s">
        <v>24</v>
      </c>
      <c r="L187" t="s">
        <v>26</v>
      </c>
      <c r="M187" t="s">
        <v>183</v>
      </c>
      <c r="N187" t="s">
        <v>1854</v>
      </c>
    </row>
    <row r="188" spans="1:17" x14ac:dyDescent="0.2">
      <c r="A188" t="str">
        <f ca="1">表_网址[[#This Row],[1级]]&amp;"-"&amp;表_网址[[#This Row],[2级]]&amp;"-"&amp;表_网址[[#This Row],[3级]]&amp;"-"&amp;表_网址[[#This Row],[级内]]</f>
        <v>8003-11-16-101</v>
      </c>
      <c r="B188">
        <f ca="1">MATCH(表_网址[[#This Row],[版层分类]],序列_版层分类,0)*1000+MATCH(表_网址[[#This Row],[首要关键词]],序列_首要关键词,0)</f>
        <v>8003</v>
      </c>
      <c r="C188">
        <f ca="1">IF(表_网址[[#This Row],[次要关键词]]="",10,MATCH(表_网址[[#This Row],[次要关键词]],序列_次要关键词,0)+10)</f>
        <v>11</v>
      </c>
      <c r="D188">
        <f ca="1">IF(表_网址[[#This Row],[重点关键词]]="",10,MATCH(表_网址[[#This Row],[重点关键词]],序列_重点关键词,0)+10)</f>
        <v>16</v>
      </c>
      <c r="E188">
        <f>IF(AND(表_网址[[#This Row],[首要关键词]]=K187,表_网址[[#This Row],[次要关键词]]=L187,表_网址[[#This Row],[重点关键词]]=M187),E187+1,IF(表_网址[[#This Row],[重点关键词]]="",100,101))</f>
        <v>101</v>
      </c>
      <c r="F188" t="s">
        <v>208</v>
      </c>
      <c r="G188" t="s">
        <v>209</v>
      </c>
      <c r="H188" t="s">
        <v>29</v>
      </c>
      <c r="I188" t="s">
        <v>210</v>
      </c>
      <c r="J188" t="s">
        <v>1827</v>
      </c>
      <c r="K188" t="s">
        <v>24</v>
      </c>
      <c r="L188" t="s">
        <v>26</v>
      </c>
      <c r="M188" t="s">
        <v>211</v>
      </c>
      <c r="N188" t="s">
        <v>1854</v>
      </c>
      <c r="O188" t="s">
        <v>1166</v>
      </c>
      <c r="Q188">
        <v>32</v>
      </c>
    </row>
    <row r="189" spans="1:17" x14ac:dyDescent="0.2">
      <c r="A189" t="str">
        <f ca="1">表_网址[[#This Row],[1级]]&amp;"-"&amp;表_网址[[#This Row],[2级]]&amp;"-"&amp;表_网址[[#This Row],[3级]]&amp;"-"&amp;表_网址[[#This Row],[级内]]</f>
        <v>8003-11-16-102</v>
      </c>
      <c r="B189">
        <f ca="1">MATCH(表_网址[[#This Row],[版层分类]],序列_版层分类,0)*1000+MATCH(表_网址[[#This Row],[首要关键词]],序列_首要关键词,0)</f>
        <v>8003</v>
      </c>
      <c r="C189">
        <f ca="1">IF(表_网址[[#This Row],[次要关键词]]="",10,MATCH(表_网址[[#This Row],[次要关键词]],序列_次要关键词,0)+10)</f>
        <v>11</v>
      </c>
      <c r="D189">
        <f ca="1">IF(表_网址[[#This Row],[重点关键词]]="",10,MATCH(表_网址[[#This Row],[重点关键词]],序列_重点关键词,0)+10)</f>
        <v>16</v>
      </c>
      <c r="E189">
        <f>IF(AND(表_网址[[#This Row],[首要关键词]]=K188,表_网址[[#This Row],[次要关键词]]=L188,表_网址[[#This Row],[重点关键词]]=M188),E188+1,IF(表_网址[[#This Row],[重点关键词]]="",100,101))</f>
        <v>102</v>
      </c>
      <c r="F189" t="s">
        <v>212</v>
      </c>
      <c r="G189" t="s">
        <v>213</v>
      </c>
      <c r="H189" t="s">
        <v>29</v>
      </c>
      <c r="I189" t="s">
        <v>214</v>
      </c>
      <c r="J189" t="s">
        <v>1827</v>
      </c>
      <c r="K189" t="s">
        <v>24</v>
      </c>
      <c r="L189" t="s">
        <v>26</v>
      </c>
      <c r="M189" t="s">
        <v>211</v>
      </c>
      <c r="N189" t="s">
        <v>1854</v>
      </c>
      <c r="Q189">
        <v>16</v>
      </c>
    </row>
    <row r="190" spans="1:17" x14ac:dyDescent="0.2">
      <c r="A190" t="str">
        <f ca="1">表_网址[[#This Row],[1级]]&amp;"-"&amp;表_网址[[#This Row],[2级]]&amp;"-"&amp;表_网址[[#This Row],[3级]]&amp;"-"&amp;表_网址[[#This Row],[级内]]</f>
        <v>8003-11-16-103</v>
      </c>
      <c r="B190">
        <f ca="1">MATCH(表_网址[[#This Row],[版层分类]],序列_版层分类,0)*1000+MATCH(表_网址[[#This Row],[首要关键词]],序列_首要关键词,0)</f>
        <v>8003</v>
      </c>
      <c r="C190">
        <f ca="1">IF(表_网址[[#This Row],[次要关键词]]="",10,MATCH(表_网址[[#This Row],[次要关键词]],序列_次要关键词,0)+10)</f>
        <v>11</v>
      </c>
      <c r="D190">
        <f ca="1">IF(表_网址[[#This Row],[重点关键词]]="",10,MATCH(表_网址[[#This Row],[重点关键词]],序列_重点关键词,0)+10)</f>
        <v>16</v>
      </c>
      <c r="E190">
        <f>IF(AND(表_网址[[#This Row],[首要关键词]]=K189,表_网址[[#This Row],[次要关键词]]=L189,表_网址[[#This Row],[重点关键词]]=M189),E189+1,IF(表_网址[[#This Row],[重点关键词]]="",100,101))</f>
        <v>103</v>
      </c>
      <c r="F190" t="s">
        <v>215</v>
      </c>
      <c r="G190" t="s">
        <v>216</v>
      </c>
      <c r="H190" t="s">
        <v>29</v>
      </c>
      <c r="I190" t="s">
        <v>217</v>
      </c>
      <c r="J190" t="s">
        <v>1827</v>
      </c>
      <c r="K190" t="s">
        <v>24</v>
      </c>
      <c r="L190" t="s">
        <v>26</v>
      </c>
      <c r="M190" t="s">
        <v>211</v>
      </c>
      <c r="N190" t="s">
        <v>1854</v>
      </c>
    </row>
    <row r="191" spans="1:17" x14ac:dyDescent="0.2">
      <c r="A191" t="str">
        <f ca="1">表_网址[[#This Row],[1级]]&amp;"-"&amp;表_网址[[#This Row],[2级]]&amp;"-"&amp;表_网址[[#This Row],[3级]]&amp;"-"&amp;表_网址[[#This Row],[级内]]</f>
        <v>8003-11-16-104</v>
      </c>
      <c r="B191">
        <f ca="1">MATCH(表_网址[[#This Row],[版层分类]],序列_版层分类,0)*1000+MATCH(表_网址[[#This Row],[首要关键词]],序列_首要关键词,0)</f>
        <v>8003</v>
      </c>
      <c r="C191">
        <f ca="1">IF(表_网址[[#This Row],[次要关键词]]="",10,MATCH(表_网址[[#This Row],[次要关键词]],序列_次要关键词,0)+10)</f>
        <v>11</v>
      </c>
      <c r="D191">
        <f ca="1">IF(表_网址[[#This Row],[重点关键词]]="",10,MATCH(表_网址[[#This Row],[重点关键词]],序列_重点关键词,0)+10)</f>
        <v>16</v>
      </c>
      <c r="E191">
        <f>IF(AND(表_网址[[#This Row],[首要关键词]]=K190,表_网址[[#This Row],[次要关键词]]=L190,表_网址[[#This Row],[重点关键词]]=M190),E190+1,IF(表_网址[[#This Row],[重点关键词]]="",100,101))</f>
        <v>104</v>
      </c>
      <c r="F191" t="s">
        <v>218</v>
      </c>
      <c r="G191" t="s">
        <v>219</v>
      </c>
      <c r="H191" t="s">
        <v>29</v>
      </c>
      <c r="I191" t="s">
        <v>220</v>
      </c>
      <c r="J191" t="s">
        <v>1827</v>
      </c>
      <c r="K191" t="s">
        <v>24</v>
      </c>
      <c r="L191" t="s">
        <v>26</v>
      </c>
      <c r="M191" t="s">
        <v>211</v>
      </c>
      <c r="N191" t="s">
        <v>1854</v>
      </c>
    </row>
    <row r="192" spans="1:17" x14ac:dyDescent="0.2">
      <c r="A192" t="str">
        <f ca="1">表_网址[[#This Row],[1级]]&amp;"-"&amp;表_网址[[#This Row],[2级]]&amp;"-"&amp;表_网址[[#This Row],[3级]]&amp;"-"&amp;表_网址[[#This Row],[级内]]</f>
        <v>8003-11-16-105</v>
      </c>
      <c r="B192">
        <f ca="1">MATCH(表_网址[[#This Row],[版层分类]],序列_版层分类,0)*1000+MATCH(表_网址[[#This Row],[首要关键词]],序列_首要关键词,0)</f>
        <v>8003</v>
      </c>
      <c r="C192">
        <f ca="1">IF(表_网址[[#This Row],[次要关键词]]="",10,MATCH(表_网址[[#This Row],[次要关键词]],序列_次要关键词,0)+10)</f>
        <v>11</v>
      </c>
      <c r="D192">
        <f ca="1">IF(表_网址[[#This Row],[重点关键词]]="",10,MATCH(表_网址[[#This Row],[重点关键词]],序列_重点关键词,0)+10)</f>
        <v>16</v>
      </c>
      <c r="E192">
        <f>IF(AND(表_网址[[#This Row],[首要关键词]]=K191,表_网址[[#This Row],[次要关键词]]=L191,表_网址[[#This Row],[重点关键词]]=M191),E191+1,IF(表_网址[[#This Row],[重点关键词]]="",100,101))</f>
        <v>105</v>
      </c>
      <c r="F192" t="s">
        <v>221</v>
      </c>
      <c r="G192" t="s">
        <v>222</v>
      </c>
      <c r="H192" t="s">
        <v>29</v>
      </c>
      <c r="I192" t="s">
        <v>223</v>
      </c>
      <c r="J192" t="s">
        <v>1827</v>
      </c>
      <c r="K192" t="s">
        <v>24</v>
      </c>
      <c r="L192" t="s">
        <v>26</v>
      </c>
      <c r="M192" t="s">
        <v>211</v>
      </c>
      <c r="N192" t="s">
        <v>1854</v>
      </c>
    </row>
    <row r="193" spans="1:17" x14ac:dyDescent="0.2">
      <c r="A193" t="str">
        <f ca="1">表_网址[[#This Row],[1级]]&amp;"-"&amp;表_网址[[#This Row],[2级]]&amp;"-"&amp;表_网址[[#This Row],[3级]]&amp;"-"&amp;表_网址[[#This Row],[级内]]</f>
        <v>8003-11-16-106</v>
      </c>
      <c r="B193">
        <f ca="1">MATCH(表_网址[[#This Row],[版层分类]],序列_版层分类,0)*1000+MATCH(表_网址[[#This Row],[首要关键词]],序列_首要关键词,0)</f>
        <v>8003</v>
      </c>
      <c r="C193">
        <f ca="1">IF(表_网址[[#This Row],[次要关键词]]="",10,MATCH(表_网址[[#This Row],[次要关键词]],序列_次要关键词,0)+10)</f>
        <v>11</v>
      </c>
      <c r="D193">
        <f ca="1">IF(表_网址[[#This Row],[重点关键词]]="",10,MATCH(表_网址[[#This Row],[重点关键词]],序列_重点关键词,0)+10)</f>
        <v>16</v>
      </c>
      <c r="E193">
        <f>IF(AND(表_网址[[#This Row],[首要关键词]]=K192,表_网址[[#This Row],[次要关键词]]=L192,表_网址[[#This Row],[重点关键词]]=M192),E192+1,IF(表_网址[[#This Row],[重点关键词]]="",100,101))</f>
        <v>106</v>
      </c>
      <c r="F193" t="s">
        <v>224</v>
      </c>
      <c r="G193" t="s">
        <v>225</v>
      </c>
      <c r="H193" t="s">
        <v>29</v>
      </c>
      <c r="I193" t="s">
        <v>226</v>
      </c>
      <c r="J193" t="s">
        <v>1827</v>
      </c>
      <c r="K193" t="s">
        <v>24</v>
      </c>
      <c r="L193" t="s">
        <v>26</v>
      </c>
      <c r="M193" t="s">
        <v>211</v>
      </c>
      <c r="N193" t="s">
        <v>1854</v>
      </c>
      <c r="O193" t="s">
        <v>1166</v>
      </c>
      <c r="Q193">
        <v>1024</v>
      </c>
    </row>
    <row r="194" spans="1:17" x14ac:dyDescent="0.2">
      <c r="A194" t="str">
        <f ca="1">表_网址[[#This Row],[1级]]&amp;"-"&amp;表_网址[[#This Row],[2级]]&amp;"-"&amp;表_网址[[#This Row],[3级]]&amp;"-"&amp;表_网址[[#This Row],[级内]]</f>
        <v>8003-11-16-107</v>
      </c>
      <c r="B194">
        <f ca="1">MATCH(表_网址[[#This Row],[版层分类]],序列_版层分类,0)*1000+MATCH(表_网址[[#This Row],[首要关键词]],序列_首要关键词,0)</f>
        <v>8003</v>
      </c>
      <c r="C194">
        <f ca="1">IF(表_网址[[#This Row],[次要关键词]]="",10,MATCH(表_网址[[#This Row],[次要关键词]],序列_次要关键词,0)+10)</f>
        <v>11</v>
      </c>
      <c r="D194">
        <f ca="1">IF(表_网址[[#This Row],[重点关键词]]="",10,MATCH(表_网址[[#This Row],[重点关键词]],序列_重点关键词,0)+10)</f>
        <v>16</v>
      </c>
      <c r="E194">
        <f>IF(AND(表_网址[[#This Row],[首要关键词]]=K193,表_网址[[#This Row],[次要关键词]]=L193,表_网址[[#This Row],[重点关键词]]=M193),E193+1,IF(表_网址[[#This Row],[重点关键词]]="",100,101))</f>
        <v>107</v>
      </c>
      <c r="F194" t="s">
        <v>227</v>
      </c>
      <c r="G194" t="s">
        <v>228</v>
      </c>
      <c r="H194" t="s">
        <v>29</v>
      </c>
      <c r="I194" t="s">
        <v>229</v>
      </c>
      <c r="J194" t="s">
        <v>1827</v>
      </c>
      <c r="K194" t="s">
        <v>24</v>
      </c>
      <c r="L194" t="s">
        <v>26</v>
      </c>
      <c r="M194" t="s">
        <v>211</v>
      </c>
      <c r="N194" t="s">
        <v>1854</v>
      </c>
      <c r="Q194">
        <v>53</v>
      </c>
    </row>
    <row r="195" spans="1:17" x14ac:dyDescent="0.2">
      <c r="A195" t="str">
        <f ca="1">表_网址[[#This Row],[1级]]&amp;"-"&amp;表_网址[[#This Row],[2级]]&amp;"-"&amp;表_网址[[#This Row],[3级]]&amp;"-"&amp;表_网址[[#This Row],[级内]]</f>
        <v>8003-11-16-108</v>
      </c>
      <c r="B195">
        <f ca="1">MATCH(表_网址[[#This Row],[版层分类]],序列_版层分类,0)*1000+MATCH(表_网址[[#This Row],[首要关键词]],序列_首要关键词,0)</f>
        <v>8003</v>
      </c>
      <c r="C195">
        <f ca="1">IF(表_网址[[#This Row],[次要关键词]]="",10,MATCH(表_网址[[#This Row],[次要关键词]],序列_次要关键词,0)+10)</f>
        <v>11</v>
      </c>
      <c r="D195">
        <f ca="1">IF(表_网址[[#This Row],[重点关键词]]="",10,MATCH(表_网址[[#This Row],[重点关键词]],序列_重点关键词,0)+10)</f>
        <v>16</v>
      </c>
      <c r="E195">
        <f>IF(AND(表_网址[[#This Row],[首要关键词]]=K194,表_网址[[#This Row],[次要关键词]]=L194,表_网址[[#This Row],[重点关键词]]=M194),E194+1,IF(表_网址[[#This Row],[重点关键词]]="",100,101))</f>
        <v>108</v>
      </c>
      <c r="F195" t="s">
        <v>230</v>
      </c>
      <c r="G195" t="s">
        <v>228</v>
      </c>
      <c r="H195" t="s">
        <v>29</v>
      </c>
      <c r="I195" t="s">
        <v>229</v>
      </c>
      <c r="J195" t="s">
        <v>1827</v>
      </c>
      <c r="K195" t="s">
        <v>24</v>
      </c>
      <c r="L195" t="s">
        <v>26</v>
      </c>
      <c r="M195" t="s">
        <v>211</v>
      </c>
      <c r="N195" t="s">
        <v>1854</v>
      </c>
      <c r="Q195">
        <v>53</v>
      </c>
    </row>
    <row r="196" spans="1:17" x14ac:dyDescent="0.2">
      <c r="A196" t="str">
        <f ca="1">表_网址[[#This Row],[1级]]&amp;"-"&amp;表_网址[[#This Row],[2级]]&amp;"-"&amp;表_网址[[#This Row],[3级]]&amp;"-"&amp;表_网址[[#This Row],[级内]]</f>
        <v>8003-11-16-109</v>
      </c>
      <c r="B196">
        <f ca="1">MATCH(表_网址[[#This Row],[版层分类]],序列_版层分类,0)*1000+MATCH(表_网址[[#This Row],[首要关键词]],序列_首要关键词,0)</f>
        <v>8003</v>
      </c>
      <c r="C196">
        <f ca="1">IF(表_网址[[#This Row],[次要关键词]]="",10,MATCH(表_网址[[#This Row],[次要关键词]],序列_次要关键词,0)+10)</f>
        <v>11</v>
      </c>
      <c r="D196">
        <f ca="1">IF(表_网址[[#This Row],[重点关键词]]="",10,MATCH(表_网址[[#This Row],[重点关键词]],序列_重点关键词,0)+10)</f>
        <v>16</v>
      </c>
      <c r="E196">
        <f>IF(AND(表_网址[[#This Row],[首要关键词]]=K195,表_网址[[#This Row],[次要关键词]]=L195,表_网址[[#This Row],[重点关键词]]=M195),E195+1,IF(表_网址[[#This Row],[重点关键词]]="",100,101))</f>
        <v>109</v>
      </c>
      <c r="F196" t="s">
        <v>231</v>
      </c>
      <c r="G196" t="s">
        <v>232</v>
      </c>
      <c r="H196" t="s">
        <v>29</v>
      </c>
      <c r="I196" t="s">
        <v>233</v>
      </c>
      <c r="J196" t="s">
        <v>1827</v>
      </c>
      <c r="K196" t="s">
        <v>24</v>
      </c>
      <c r="L196" t="s">
        <v>26</v>
      </c>
      <c r="M196" t="s">
        <v>211</v>
      </c>
      <c r="N196" t="s">
        <v>1854</v>
      </c>
    </row>
    <row r="197" spans="1:17" x14ac:dyDescent="0.2">
      <c r="A197" t="str">
        <f ca="1">表_网址[[#This Row],[1级]]&amp;"-"&amp;表_网址[[#This Row],[2级]]&amp;"-"&amp;表_网址[[#This Row],[3级]]&amp;"-"&amp;表_网址[[#This Row],[级内]]</f>
        <v>8003-11-16-110</v>
      </c>
      <c r="B197">
        <f ca="1">MATCH(表_网址[[#This Row],[版层分类]],序列_版层分类,0)*1000+MATCH(表_网址[[#This Row],[首要关键词]],序列_首要关键词,0)</f>
        <v>8003</v>
      </c>
      <c r="C197">
        <f ca="1">IF(表_网址[[#This Row],[次要关键词]]="",10,MATCH(表_网址[[#This Row],[次要关键词]],序列_次要关键词,0)+10)</f>
        <v>11</v>
      </c>
      <c r="D197">
        <f ca="1">IF(表_网址[[#This Row],[重点关键词]]="",10,MATCH(表_网址[[#This Row],[重点关键词]],序列_重点关键词,0)+10)</f>
        <v>16</v>
      </c>
      <c r="E197">
        <f>IF(AND(表_网址[[#This Row],[首要关键词]]=K196,表_网址[[#This Row],[次要关键词]]=L196,表_网址[[#This Row],[重点关键词]]=M196),E196+1,IF(表_网址[[#This Row],[重点关键词]]="",100,101))</f>
        <v>110</v>
      </c>
      <c r="F197" t="s">
        <v>234</v>
      </c>
      <c r="G197" t="s">
        <v>235</v>
      </c>
      <c r="H197" t="s">
        <v>29</v>
      </c>
      <c r="I197" t="s">
        <v>236</v>
      </c>
      <c r="J197" t="s">
        <v>1827</v>
      </c>
      <c r="K197" t="s">
        <v>24</v>
      </c>
      <c r="L197" t="s">
        <v>26</v>
      </c>
      <c r="M197" t="s">
        <v>211</v>
      </c>
      <c r="N197" t="s">
        <v>1854</v>
      </c>
      <c r="Q197">
        <v>197</v>
      </c>
    </row>
    <row r="198" spans="1:17" x14ac:dyDescent="0.2">
      <c r="A198" t="str">
        <f ca="1">表_网址[[#This Row],[1级]]&amp;"-"&amp;表_网址[[#This Row],[2级]]&amp;"-"&amp;表_网址[[#This Row],[3级]]&amp;"-"&amp;表_网址[[#This Row],[级内]]</f>
        <v>8003-11-16-111</v>
      </c>
      <c r="B198">
        <f ca="1">MATCH(表_网址[[#This Row],[版层分类]],序列_版层分类,0)*1000+MATCH(表_网址[[#This Row],[首要关键词]],序列_首要关键词,0)</f>
        <v>8003</v>
      </c>
      <c r="C198">
        <f ca="1">IF(表_网址[[#This Row],[次要关键词]]="",10,MATCH(表_网址[[#This Row],[次要关键词]],序列_次要关键词,0)+10)</f>
        <v>11</v>
      </c>
      <c r="D198">
        <f ca="1">IF(表_网址[[#This Row],[重点关键词]]="",10,MATCH(表_网址[[#This Row],[重点关键词]],序列_重点关键词,0)+10)</f>
        <v>16</v>
      </c>
      <c r="E198">
        <f>IF(AND(表_网址[[#This Row],[首要关键词]]=K197,表_网址[[#This Row],[次要关键词]]=L197,表_网址[[#This Row],[重点关键词]]=M197),E197+1,IF(表_网址[[#This Row],[重点关键词]]="",100,101))</f>
        <v>111</v>
      </c>
      <c r="F198" t="s">
        <v>237</v>
      </c>
      <c r="G198" t="s">
        <v>238</v>
      </c>
      <c r="H198" t="s">
        <v>29</v>
      </c>
      <c r="I198" t="s">
        <v>239</v>
      </c>
      <c r="J198" t="s">
        <v>1827</v>
      </c>
      <c r="K198" t="s">
        <v>24</v>
      </c>
      <c r="L198" t="s">
        <v>26</v>
      </c>
      <c r="M198" t="s">
        <v>211</v>
      </c>
      <c r="N198" t="s">
        <v>1854</v>
      </c>
    </row>
    <row r="199" spans="1:17" x14ac:dyDescent="0.2">
      <c r="A199" t="str">
        <f ca="1">表_网址[[#This Row],[1级]]&amp;"-"&amp;表_网址[[#This Row],[2级]]&amp;"-"&amp;表_网址[[#This Row],[3级]]&amp;"-"&amp;表_网址[[#This Row],[级内]]</f>
        <v>8003-11-16-112</v>
      </c>
      <c r="B199">
        <f ca="1">MATCH(表_网址[[#This Row],[版层分类]],序列_版层分类,0)*1000+MATCH(表_网址[[#This Row],[首要关键词]],序列_首要关键词,0)</f>
        <v>8003</v>
      </c>
      <c r="C199">
        <f ca="1">IF(表_网址[[#This Row],[次要关键词]]="",10,MATCH(表_网址[[#This Row],[次要关键词]],序列_次要关键词,0)+10)</f>
        <v>11</v>
      </c>
      <c r="D199">
        <f ca="1">IF(表_网址[[#This Row],[重点关键词]]="",10,MATCH(表_网址[[#This Row],[重点关键词]],序列_重点关键词,0)+10)</f>
        <v>16</v>
      </c>
      <c r="E199">
        <f>IF(AND(表_网址[[#This Row],[首要关键词]]=K198,表_网址[[#This Row],[次要关键词]]=L198,表_网址[[#This Row],[重点关键词]]=M198),E198+1,IF(表_网址[[#This Row],[重点关键词]]="",100,101))</f>
        <v>112</v>
      </c>
      <c r="F199" t="s">
        <v>240</v>
      </c>
      <c r="G199" t="s">
        <v>241</v>
      </c>
      <c r="H199" t="s">
        <v>29</v>
      </c>
      <c r="I199" t="s">
        <v>242</v>
      </c>
      <c r="J199" t="s">
        <v>1827</v>
      </c>
      <c r="K199" t="s">
        <v>24</v>
      </c>
      <c r="L199" t="s">
        <v>26</v>
      </c>
      <c r="M199" t="s">
        <v>211</v>
      </c>
      <c r="N199" t="s">
        <v>1854</v>
      </c>
    </row>
    <row r="200" spans="1:17" x14ac:dyDescent="0.2">
      <c r="A200" t="str">
        <f ca="1">表_网址[[#This Row],[1级]]&amp;"-"&amp;表_网址[[#This Row],[2级]]&amp;"-"&amp;表_网址[[#This Row],[3级]]&amp;"-"&amp;表_网址[[#This Row],[级内]]</f>
        <v>8003-11-16-113</v>
      </c>
      <c r="B200">
        <f ca="1">MATCH(表_网址[[#This Row],[版层分类]],序列_版层分类,0)*1000+MATCH(表_网址[[#This Row],[首要关键词]],序列_首要关键词,0)</f>
        <v>8003</v>
      </c>
      <c r="C200">
        <f ca="1">IF(表_网址[[#This Row],[次要关键词]]="",10,MATCH(表_网址[[#This Row],[次要关键词]],序列_次要关键词,0)+10)</f>
        <v>11</v>
      </c>
      <c r="D200">
        <f ca="1">IF(表_网址[[#This Row],[重点关键词]]="",10,MATCH(表_网址[[#This Row],[重点关键词]],序列_重点关键词,0)+10)</f>
        <v>16</v>
      </c>
      <c r="E200">
        <f>IF(AND(表_网址[[#This Row],[首要关键词]]=K199,表_网址[[#This Row],[次要关键词]]=L199,表_网址[[#This Row],[重点关键词]]=M199),E199+1,IF(表_网址[[#This Row],[重点关键词]]="",100,101))</f>
        <v>113</v>
      </c>
      <c r="F200" t="s">
        <v>243</v>
      </c>
      <c r="G200" t="s">
        <v>244</v>
      </c>
      <c r="H200" t="s">
        <v>29</v>
      </c>
      <c r="I200" t="s">
        <v>245</v>
      </c>
      <c r="J200" t="s">
        <v>1827</v>
      </c>
      <c r="K200" t="s">
        <v>24</v>
      </c>
      <c r="L200" t="s">
        <v>26</v>
      </c>
      <c r="M200" t="s">
        <v>211</v>
      </c>
      <c r="N200" t="s">
        <v>1854</v>
      </c>
      <c r="Q200">
        <v>256</v>
      </c>
    </row>
    <row r="201" spans="1:17" x14ac:dyDescent="0.2">
      <c r="A201" t="str">
        <f ca="1">表_网址[[#This Row],[1级]]&amp;"-"&amp;表_网址[[#This Row],[2级]]&amp;"-"&amp;表_网址[[#This Row],[3级]]&amp;"-"&amp;表_网址[[#This Row],[级内]]</f>
        <v>8003-11-16-114</v>
      </c>
      <c r="B201">
        <f ca="1">MATCH(表_网址[[#This Row],[版层分类]],序列_版层分类,0)*1000+MATCH(表_网址[[#This Row],[首要关键词]],序列_首要关键词,0)</f>
        <v>8003</v>
      </c>
      <c r="C201">
        <f ca="1">IF(表_网址[[#This Row],[次要关键词]]="",10,MATCH(表_网址[[#This Row],[次要关键词]],序列_次要关键词,0)+10)</f>
        <v>11</v>
      </c>
      <c r="D201">
        <f ca="1">IF(表_网址[[#This Row],[重点关键词]]="",10,MATCH(表_网址[[#This Row],[重点关键词]],序列_重点关键词,0)+10)</f>
        <v>16</v>
      </c>
      <c r="E201">
        <f>IF(AND(表_网址[[#This Row],[首要关键词]]=K200,表_网址[[#This Row],[次要关键词]]=L200,表_网址[[#This Row],[重点关键词]]=M200),E200+1,IF(表_网址[[#This Row],[重点关键词]]="",100,101))</f>
        <v>114</v>
      </c>
      <c r="F201" t="s">
        <v>246</v>
      </c>
      <c r="G201" t="s">
        <v>247</v>
      </c>
      <c r="H201" t="s">
        <v>29</v>
      </c>
      <c r="J201" t="s">
        <v>1827</v>
      </c>
      <c r="K201" t="s">
        <v>24</v>
      </c>
      <c r="L201" t="s">
        <v>26</v>
      </c>
      <c r="M201" t="s">
        <v>211</v>
      </c>
      <c r="N201" t="s">
        <v>1854</v>
      </c>
    </row>
    <row r="202" spans="1:17" x14ac:dyDescent="0.2">
      <c r="A202" t="str">
        <f ca="1">表_网址[[#This Row],[1级]]&amp;"-"&amp;表_网址[[#This Row],[2级]]&amp;"-"&amp;表_网址[[#This Row],[3级]]&amp;"-"&amp;表_网址[[#This Row],[级内]]</f>
        <v>8003-11-16-115</v>
      </c>
      <c r="B202">
        <f ca="1">MATCH(表_网址[[#This Row],[版层分类]],序列_版层分类,0)*1000+MATCH(表_网址[[#This Row],[首要关键词]],序列_首要关键词,0)</f>
        <v>8003</v>
      </c>
      <c r="C202">
        <f ca="1">IF(表_网址[[#This Row],[次要关键词]]="",10,MATCH(表_网址[[#This Row],[次要关键词]],序列_次要关键词,0)+10)</f>
        <v>11</v>
      </c>
      <c r="D202">
        <f ca="1">IF(表_网址[[#This Row],[重点关键词]]="",10,MATCH(表_网址[[#This Row],[重点关键词]],序列_重点关键词,0)+10)</f>
        <v>16</v>
      </c>
      <c r="E202">
        <f>IF(AND(表_网址[[#This Row],[首要关键词]]=K201,表_网址[[#This Row],[次要关键词]]=L201,表_网址[[#This Row],[重点关键词]]=M201),E201+1,IF(表_网址[[#This Row],[重点关键词]]="",100,101))</f>
        <v>115</v>
      </c>
      <c r="F202" t="s">
        <v>248</v>
      </c>
      <c r="G202" t="s">
        <v>249</v>
      </c>
      <c r="H202" t="s">
        <v>29</v>
      </c>
      <c r="I202" t="s">
        <v>250</v>
      </c>
      <c r="J202" t="s">
        <v>1827</v>
      </c>
      <c r="K202" t="s">
        <v>24</v>
      </c>
      <c r="L202" t="s">
        <v>26</v>
      </c>
      <c r="M202" t="s">
        <v>211</v>
      </c>
      <c r="N202" t="s">
        <v>1854</v>
      </c>
      <c r="Q202">
        <v>32</v>
      </c>
    </row>
    <row r="203" spans="1:17" x14ac:dyDescent="0.2">
      <c r="A203" t="str">
        <f ca="1">表_网址[[#This Row],[1级]]&amp;"-"&amp;表_网址[[#This Row],[2级]]&amp;"-"&amp;表_网址[[#This Row],[3级]]&amp;"-"&amp;表_网址[[#This Row],[级内]]</f>
        <v>8003-11-16-116</v>
      </c>
      <c r="B203">
        <f ca="1">MATCH(表_网址[[#This Row],[版层分类]],序列_版层分类,0)*1000+MATCH(表_网址[[#This Row],[首要关键词]],序列_首要关键词,0)</f>
        <v>8003</v>
      </c>
      <c r="C203">
        <f ca="1">IF(表_网址[[#This Row],[次要关键词]]="",10,MATCH(表_网址[[#This Row],[次要关键词]],序列_次要关键词,0)+10)</f>
        <v>11</v>
      </c>
      <c r="D203">
        <f ca="1">IF(表_网址[[#This Row],[重点关键词]]="",10,MATCH(表_网址[[#This Row],[重点关键词]],序列_重点关键词,0)+10)</f>
        <v>16</v>
      </c>
      <c r="E203">
        <f>IF(AND(表_网址[[#This Row],[首要关键词]]=K202,表_网址[[#This Row],[次要关键词]]=L202,表_网址[[#This Row],[重点关键词]]=M202),E202+1,IF(表_网址[[#This Row],[重点关键词]]="",100,101))</f>
        <v>116</v>
      </c>
      <c r="F203" t="s">
        <v>251</v>
      </c>
      <c r="G203" t="s">
        <v>252</v>
      </c>
      <c r="H203" t="s">
        <v>29</v>
      </c>
      <c r="I203" t="s">
        <v>253</v>
      </c>
      <c r="J203" t="s">
        <v>1827</v>
      </c>
      <c r="K203" t="s">
        <v>24</v>
      </c>
      <c r="L203" t="s">
        <v>26</v>
      </c>
      <c r="M203" t="s">
        <v>211</v>
      </c>
      <c r="N203" t="s">
        <v>1854</v>
      </c>
      <c r="O203" t="s">
        <v>1166</v>
      </c>
      <c r="Q203">
        <v>16</v>
      </c>
    </row>
    <row r="204" spans="1:17" x14ac:dyDescent="0.2">
      <c r="A204" t="str">
        <f ca="1">表_网址[[#This Row],[1级]]&amp;"-"&amp;表_网址[[#This Row],[2级]]&amp;"-"&amp;表_网址[[#This Row],[3级]]&amp;"-"&amp;表_网址[[#This Row],[级内]]</f>
        <v>8003-11-16-117</v>
      </c>
      <c r="B204">
        <f ca="1">MATCH(表_网址[[#This Row],[版层分类]],序列_版层分类,0)*1000+MATCH(表_网址[[#This Row],[首要关键词]],序列_首要关键词,0)</f>
        <v>8003</v>
      </c>
      <c r="C204">
        <f ca="1">IF(表_网址[[#This Row],[次要关键词]]="",10,MATCH(表_网址[[#This Row],[次要关键词]],序列_次要关键词,0)+10)</f>
        <v>11</v>
      </c>
      <c r="D204">
        <f ca="1">IF(表_网址[[#This Row],[重点关键词]]="",10,MATCH(表_网址[[#This Row],[重点关键词]],序列_重点关键词,0)+10)</f>
        <v>16</v>
      </c>
      <c r="E204">
        <f>IF(AND(表_网址[[#This Row],[首要关键词]]=K203,表_网址[[#This Row],[次要关键词]]=L203,表_网址[[#This Row],[重点关键词]]=M203),E203+1,IF(表_网址[[#This Row],[重点关键词]]="",100,101))</f>
        <v>117</v>
      </c>
      <c r="F204" t="s">
        <v>254</v>
      </c>
      <c r="G204" t="s">
        <v>255</v>
      </c>
      <c r="H204" t="s">
        <v>29</v>
      </c>
      <c r="I204" t="s">
        <v>256</v>
      </c>
      <c r="J204" t="s">
        <v>1827</v>
      </c>
      <c r="K204" t="s">
        <v>24</v>
      </c>
      <c r="L204" t="s">
        <v>26</v>
      </c>
      <c r="M204" t="s">
        <v>211</v>
      </c>
      <c r="N204" t="s">
        <v>1854</v>
      </c>
      <c r="O204" t="s">
        <v>1166</v>
      </c>
      <c r="Q204">
        <v>128</v>
      </c>
    </row>
    <row r="205" spans="1:17" x14ac:dyDescent="0.2">
      <c r="A205" t="str">
        <f ca="1">表_网址[[#This Row],[1级]]&amp;"-"&amp;表_网址[[#This Row],[2级]]&amp;"-"&amp;表_网址[[#This Row],[3级]]&amp;"-"&amp;表_网址[[#This Row],[级内]]</f>
        <v>8003-11-16-118</v>
      </c>
      <c r="B205">
        <f ca="1">MATCH(表_网址[[#This Row],[版层分类]],序列_版层分类,0)*1000+MATCH(表_网址[[#This Row],[首要关键词]],序列_首要关键词,0)</f>
        <v>8003</v>
      </c>
      <c r="C205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16</v>
      </c>
      <c r="E205">
        <f>IF(AND(表_网址[[#This Row],[首要关键词]]=K204,表_网址[[#This Row],[次要关键词]]=L204,表_网址[[#This Row],[重点关键词]]=M204),E204+1,IF(表_网址[[#This Row],[重点关键词]]="",100,101))</f>
        <v>118</v>
      </c>
      <c r="F205" t="s">
        <v>257</v>
      </c>
      <c r="G205" t="s">
        <v>258</v>
      </c>
      <c r="H205" t="s">
        <v>29</v>
      </c>
      <c r="I205" t="s">
        <v>259</v>
      </c>
      <c r="J205" t="s">
        <v>1827</v>
      </c>
      <c r="K205" t="s">
        <v>24</v>
      </c>
      <c r="L205" t="s">
        <v>26</v>
      </c>
      <c r="M205" t="s">
        <v>211</v>
      </c>
      <c r="N205" t="s">
        <v>1854</v>
      </c>
    </row>
    <row r="206" spans="1:17" x14ac:dyDescent="0.2">
      <c r="A206" t="str">
        <f ca="1">表_网址[[#This Row],[1级]]&amp;"-"&amp;表_网址[[#This Row],[2级]]&amp;"-"&amp;表_网址[[#This Row],[3级]]&amp;"-"&amp;表_网址[[#This Row],[级内]]</f>
        <v>8003-11-16-119</v>
      </c>
      <c r="B206">
        <f ca="1">MATCH(表_网址[[#This Row],[版层分类]],序列_版层分类,0)*1000+MATCH(表_网址[[#This Row],[首要关键词]],序列_首要关键词,0)</f>
        <v>8003</v>
      </c>
      <c r="C206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16</v>
      </c>
      <c r="E206">
        <f>IF(AND(表_网址[[#This Row],[首要关键词]]=K205,表_网址[[#This Row],[次要关键词]]=L205,表_网址[[#This Row],[重点关键词]]=M205),E205+1,IF(表_网址[[#This Row],[重点关键词]]="",100,101))</f>
        <v>119</v>
      </c>
      <c r="F206" t="s">
        <v>260</v>
      </c>
      <c r="G206" t="s">
        <v>261</v>
      </c>
      <c r="H206" t="s">
        <v>29</v>
      </c>
      <c r="I206" t="s">
        <v>262</v>
      </c>
      <c r="J206" t="s">
        <v>1827</v>
      </c>
      <c r="K206" t="s">
        <v>24</v>
      </c>
      <c r="L206" t="s">
        <v>26</v>
      </c>
      <c r="M206" t="s">
        <v>211</v>
      </c>
      <c r="N206" t="s">
        <v>1854</v>
      </c>
    </row>
    <row r="207" spans="1:17" x14ac:dyDescent="0.2">
      <c r="A207" t="str">
        <f ca="1">表_网址[[#This Row],[1级]]&amp;"-"&amp;表_网址[[#This Row],[2级]]&amp;"-"&amp;表_网址[[#This Row],[3级]]&amp;"-"&amp;表_网址[[#This Row],[级内]]</f>
        <v>8003-11-16-120</v>
      </c>
      <c r="B207">
        <f ca="1">MATCH(表_网址[[#This Row],[版层分类]],序列_版层分类,0)*1000+MATCH(表_网址[[#This Row],[首要关键词]],序列_首要关键词,0)</f>
        <v>8003</v>
      </c>
      <c r="C207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16</v>
      </c>
      <c r="E207">
        <f>IF(AND(表_网址[[#This Row],[首要关键词]]=K206,表_网址[[#This Row],[次要关键词]]=L206,表_网址[[#This Row],[重点关键词]]=M206),E206+1,IF(表_网址[[#This Row],[重点关键词]]="",100,101))</f>
        <v>120</v>
      </c>
      <c r="F207" t="s">
        <v>263</v>
      </c>
      <c r="G207" t="s">
        <v>264</v>
      </c>
      <c r="H207" t="s">
        <v>29</v>
      </c>
      <c r="I207" t="s">
        <v>265</v>
      </c>
      <c r="J207" t="s">
        <v>1827</v>
      </c>
      <c r="K207" t="s">
        <v>24</v>
      </c>
      <c r="L207" t="s">
        <v>26</v>
      </c>
      <c r="M207" t="s">
        <v>211</v>
      </c>
      <c r="N207" t="s">
        <v>1854</v>
      </c>
    </row>
    <row r="208" spans="1:17" x14ac:dyDescent="0.2">
      <c r="A208" t="str">
        <f ca="1">表_网址[[#This Row],[1级]]&amp;"-"&amp;表_网址[[#This Row],[2级]]&amp;"-"&amp;表_网址[[#This Row],[3级]]&amp;"-"&amp;表_网址[[#This Row],[级内]]</f>
        <v>8003-11-17-101</v>
      </c>
      <c r="B208">
        <f ca="1">MATCH(表_网址[[#This Row],[版层分类]],序列_版层分类,0)*1000+MATCH(表_网址[[#This Row],[首要关键词]],序列_首要关键词,0)</f>
        <v>8003</v>
      </c>
      <c r="C208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17</v>
      </c>
      <c r="E208">
        <f>IF(AND(表_网址[[#This Row],[首要关键词]]=K207,表_网址[[#This Row],[次要关键词]]=L207,表_网址[[#This Row],[重点关键词]]=M207),E207+1,IF(表_网址[[#This Row],[重点关键词]]="",100,101))</f>
        <v>101</v>
      </c>
      <c r="F208" t="s">
        <v>266</v>
      </c>
      <c r="G208" t="s">
        <v>267</v>
      </c>
      <c r="H208" t="s">
        <v>268</v>
      </c>
      <c r="I208" t="s">
        <v>269</v>
      </c>
      <c r="J208" t="s">
        <v>1827</v>
      </c>
      <c r="K208" t="s">
        <v>24</v>
      </c>
      <c r="L208" t="s">
        <v>26</v>
      </c>
      <c r="M208" t="s">
        <v>270</v>
      </c>
      <c r="N208" t="s">
        <v>1854</v>
      </c>
      <c r="Q208">
        <v>32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8003-11-17-102</v>
      </c>
      <c r="B209">
        <f ca="1">MATCH(表_网址[[#This Row],[版层分类]],序列_版层分类,0)*1000+MATCH(表_网址[[#This Row],[首要关键词]],序列_首要关键词,0)</f>
        <v>8003</v>
      </c>
      <c r="C209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17</v>
      </c>
      <c r="E209">
        <f>IF(AND(表_网址[[#This Row],[首要关键词]]=K208,表_网址[[#This Row],[次要关键词]]=L208,表_网址[[#This Row],[重点关键词]]=M208),E208+1,IF(表_网址[[#This Row],[重点关键词]]="",100,101))</f>
        <v>102</v>
      </c>
      <c r="F209" t="s">
        <v>271</v>
      </c>
      <c r="G209" t="s">
        <v>272</v>
      </c>
      <c r="H209" t="s">
        <v>273</v>
      </c>
      <c r="I209" t="s">
        <v>29</v>
      </c>
      <c r="J209" t="s">
        <v>1827</v>
      </c>
      <c r="K209" t="s">
        <v>24</v>
      </c>
      <c r="L209" t="s">
        <v>26</v>
      </c>
      <c r="M209" t="s">
        <v>270</v>
      </c>
      <c r="N209" t="s">
        <v>1854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8003-11-17-103</v>
      </c>
      <c r="B210">
        <f ca="1">MATCH(表_网址[[#This Row],[版层分类]],序列_版层分类,0)*1000+MATCH(表_网址[[#This Row],[首要关键词]],序列_首要关键词,0)</f>
        <v>8003</v>
      </c>
      <c r="C210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17</v>
      </c>
      <c r="E210">
        <f>IF(AND(表_网址[[#This Row],[首要关键词]]=K209,表_网址[[#This Row],[次要关键词]]=L209,表_网址[[#This Row],[重点关键词]]=M209),E209+1,IF(表_网址[[#This Row],[重点关键词]]="",100,101))</f>
        <v>103</v>
      </c>
      <c r="F210" t="s">
        <v>274</v>
      </c>
      <c r="H210" t="s">
        <v>275</v>
      </c>
      <c r="I210" t="s">
        <v>29</v>
      </c>
      <c r="J210" t="s">
        <v>1827</v>
      </c>
      <c r="K210" t="s">
        <v>24</v>
      </c>
      <c r="L210" t="s">
        <v>26</v>
      </c>
      <c r="M210" t="s">
        <v>270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8004-10-10-100</v>
      </c>
      <c r="B211">
        <f ca="1">MATCH(表_网址[[#This Row],[版层分类]],序列_版层分类,0)*1000+MATCH(表_网址[[#This Row],[首要关键词]],序列_首要关键词,0)</f>
        <v>8004</v>
      </c>
      <c r="C211">
        <f>IF(表_网址[[#This Row],[次要关键词]]="",10,MATCH(表_网址[[#This Row],[次要关键词]],序列_次要关键词,0)+10)</f>
        <v>10</v>
      </c>
      <c r="D211">
        <f>IF(表_网址[[#This Row],[重点关键词]]="",10,MATCH(表_网址[[#This Row],[重点关键词]],序列_重点关键词,0)+10)</f>
        <v>10</v>
      </c>
      <c r="E211">
        <f>IF(AND(表_网址[[#This Row],[首要关键词]]=K210,表_网址[[#This Row],[次要关键词]]=L210,表_网址[[#This Row],[重点关键词]]=M210),E210+1,IF(表_网址[[#This Row],[重点关键词]]="",100,101))</f>
        <v>100</v>
      </c>
      <c r="F211" t="s">
        <v>276</v>
      </c>
      <c r="G211" t="s">
        <v>277</v>
      </c>
      <c r="H211" t="s">
        <v>29</v>
      </c>
      <c r="I211" t="s">
        <v>278</v>
      </c>
      <c r="J211" t="s">
        <v>1827</v>
      </c>
      <c r="K211" t="s">
        <v>279</v>
      </c>
      <c r="N211" t="s">
        <v>1854</v>
      </c>
      <c r="Q211">
        <v>16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8004-11-10-100</v>
      </c>
      <c r="B212">
        <f ca="1">MATCH(表_网址[[#This Row],[版层分类]],序列_版层分类,0)*1000+MATCH(表_网址[[#This Row],[首要关键词]],序列_首要关键词,0)</f>
        <v>8004</v>
      </c>
      <c r="C212">
        <f ca="1">IF(表_网址[[#This Row],[次要关键词]]="",10,MATCH(表_网址[[#This Row],[次要关键词]],序列_次要关键词,0)+10)</f>
        <v>11</v>
      </c>
      <c r="D212">
        <f>IF(表_网址[[#This Row],[重点关键词]]="",10,MATCH(表_网址[[#This Row],[重点关键词]],序列_重点关键词,0)+10)</f>
        <v>10</v>
      </c>
      <c r="E212">
        <f>IF(AND(表_网址[[#This Row],[首要关键词]]=K211,表_网址[[#This Row],[次要关键词]]=L211,表_网址[[#This Row],[重点关键词]]=M211),E211+1,IF(表_网址[[#This Row],[重点关键词]]="",100,101))</f>
        <v>100</v>
      </c>
      <c r="F212" t="s">
        <v>280</v>
      </c>
      <c r="G212" t="s">
        <v>281</v>
      </c>
      <c r="H212" t="s">
        <v>29</v>
      </c>
      <c r="I212" t="s">
        <v>282</v>
      </c>
      <c r="J212" t="s">
        <v>1827</v>
      </c>
      <c r="K212" t="s">
        <v>279</v>
      </c>
      <c r="L212" t="s">
        <v>283</v>
      </c>
      <c r="N212" t="s">
        <v>1854</v>
      </c>
      <c r="Q212">
        <v>25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8004-12-10-100</v>
      </c>
      <c r="B213">
        <f ca="1">MATCH(表_网址[[#This Row],[版层分类]],序列_版层分类,0)*1000+MATCH(表_网址[[#This Row],[首要关键词]],序列_首要关键词,0)</f>
        <v>8004</v>
      </c>
      <c r="C213">
        <f ca="1">IF(表_网址[[#This Row],[次要关键词]]="",10,MATCH(表_网址[[#This Row],[次要关键词]],序列_次要关键词,0)+10)</f>
        <v>12</v>
      </c>
      <c r="D213">
        <f>IF(表_网址[[#This Row],[重点关键词]]="",10,MATCH(表_网址[[#This Row],[重点关键词]],序列_重点关键词,0)+10)</f>
        <v>10</v>
      </c>
      <c r="E213">
        <f>IF(AND(表_网址[[#This Row],[首要关键词]]=K212,表_网址[[#This Row],[次要关键词]]=L212,表_网址[[#This Row],[重点关键词]]=M212),E212+1,IF(表_网址[[#This Row],[重点关键词]]="",100,101))</f>
        <v>100</v>
      </c>
      <c r="F213" t="s">
        <v>284</v>
      </c>
      <c r="G213" t="s">
        <v>285</v>
      </c>
      <c r="H213" t="s">
        <v>29</v>
      </c>
      <c r="I213" t="s">
        <v>286</v>
      </c>
      <c r="J213" t="s">
        <v>1827</v>
      </c>
      <c r="K213" t="s">
        <v>279</v>
      </c>
      <c r="L213" t="s">
        <v>287</v>
      </c>
      <c r="N213" t="s">
        <v>1854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8004-13-10-100</v>
      </c>
      <c r="B214">
        <f ca="1">MATCH(表_网址[[#This Row],[版层分类]],序列_版层分类,0)*1000+MATCH(表_网址[[#This Row],[首要关键词]],序列_首要关键词,0)</f>
        <v>8004</v>
      </c>
      <c r="C214">
        <f ca="1">IF(表_网址[[#This Row],[次要关键词]]="",10,MATCH(表_网址[[#This Row],[次要关键词]],序列_次要关键词,0)+10)</f>
        <v>13</v>
      </c>
      <c r="D214">
        <f>IF(表_网址[[#This Row],[重点关键词]]="",10,MATCH(表_网址[[#This Row],[重点关键词]],序列_重点关键词,0)+10)</f>
        <v>10</v>
      </c>
      <c r="E214">
        <f>IF(AND(表_网址[[#This Row],[首要关键词]]=K213,表_网址[[#This Row],[次要关键词]]=L213,表_网址[[#This Row],[重点关键词]]=M213),E213+1,IF(表_网址[[#This Row],[重点关键词]]="",100,101))</f>
        <v>100</v>
      </c>
      <c r="F214" t="s">
        <v>288</v>
      </c>
      <c r="G214" t="s">
        <v>289</v>
      </c>
      <c r="H214" t="s">
        <v>29</v>
      </c>
      <c r="I214" t="s">
        <v>290</v>
      </c>
      <c r="J214" t="s">
        <v>1827</v>
      </c>
      <c r="K214" t="s">
        <v>279</v>
      </c>
      <c r="L214" t="s">
        <v>291</v>
      </c>
      <c r="N214" t="s">
        <v>1854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8004-14-10-100</v>
      </c>
      <c r="B215">
        <f ca="1">MATCH(表_网址[[#This Row],[版层分类]],序列_版层分类,0)*1000+MATCH(表_网址[[#This Row],[首要关键词]],序列_首要关键词,0)</f>
        <v>8004</v>
      </c>
      <c r="C215">
        <f ca="1">IF(表_网址[[#This Row],[次要关键词]]="",10,MATCH(表_网址[[#This Row],[次要关键词]],序列_次要关键词,0)+10)</f>
        <v>14</v>
      </c>
      <c r="D215">
        <f>IF(表_网址[[#This Row],[重点关键词]]="",10,MATCH(表_网址[[#This Row],[重点关键词]],序列_重点关键词,0)+10)</f>
        <v>10</v>
      </c>
      <c r="E215">
        <f>IF(AND(表_网址[[#This Row],[首要关键词]]=K214,表_网址[[#This Row],[次要关键词]]=L214,表_网址[[#This Row],[重点关键词]]=M214),E214+1,IF(表_网址[[#This Row],[重点关键词]]="",100,101))</f>
        <v>100</v>
      </c>
      <c r="F215" t="s">
        <v>292</v>
      </c>
      <c r="G215" t="s">
        <v>293</v>
      </c>
      <c r="H215" t="s">
        <v>29</v>
      </c>
      <c r="I215" t="s">
        <v>294</v>
      </c>
      <c r="J215" t="s">
        <v>1827</v>
      </c>
      <c r="K215" t="s">
        <v>279</v>
      </c>
      <c r="L215" t="s">
        <v>295</v>
      </c>
      <c r="N215" t="s">
        <v>1854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8004-15-10-100</v>
      </c>
      <c r="B216">
        <f ca="1">MATCH(表_网址[[#This Row],[版层分类]],序列_版层分类,0)*1000+MATCH(表_网址[[#This Row],[首要关键词]],序列_首要关键词,0)</f>
        <v>8004</v>
      </c>
      <c r="C216">
        <f ca="1">IF(表_网址[[#This Row],[次要关键词]]="",10,MATCH(表_网址[[#This Row],[次要关键词]],序列_次要关键词,0)+10)</f>
        <v>15</v>
      </c>
      <c r="D216">
        <f>IF(表_网址[[#This Row],[重点关键词]]="",10,MATCH(表_网址[[#This Row],[重点关键词]],序列_重点关键词,0)+10)</f>
        <v>10</v>
      </c>
      <c r="E216">
        <f>IF(AND(表_网址[[#This Row],[首要关键词]]=K215,表_网址[[#This Row],[次要关键词]]=L215,表_网址[[#This Row],[重点关键词]]=M215),E215+1,IF(表_网址[[#This Row],[重点关键词]]="",100,101))</f>
        <v>100</v>
      </c>
      <c r="F216" t="s">
        <v>296</v>
      </c>
      <c r="G216" t="s">
        <v>297</v>
      </c>
      <c r="H216" t="s">
        <v>29</v>
      </c>
      <c r="I216" t="s">
        <v>298</v>
      </c>
      <c r="J216" t="s">
        <v>1827</v>
      </c>
      <c r="K216" t="s">
        <v>279</v>
      </c>
      <c r="L216" t="s">
        <v>299</v>
      </c>
      <c r="N216" t="s">
        <v>1854</v>
      </c>
      <c r="Q216">
        <v>241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8004-16-10-100</v>
      </c>
      <c r="B217">
        <f ca="1">MATCH(表_网址[[#This Row],[版层分类]],序列_版层分类,0)*1000+MATCH(表_网址[[#This Row],[首要关键词]],序列_首要关键词,0)</f>
        <v>8004</v>
      </c>
      <c r="C217">
        <f ca="1">IF(表_网址[[#This Row],[次要关键词]]="",10,MATCH(表_网址[[#This Row],[次要关键词]],序列_次要关键词,0)+10)</f>
        <v>16</v>
      </c>
      <c r="D217">
        <f>IF(表_网址[[#This Row],[重点关键词]]="",10,MATCH(表_网址[[#This Row],[重点关键词]],序列_重点关键词,0)+10)</f>
        <v>10</v>
      </c>
      <c r="E217">
        <f>IF(AND(表_网址[[#This Row],[首要关键词]]=K216,表_网址[[#This Row],[次要关键词]]=L216,表_网址[[#This Row],[重点关键词]]=M216),E216+1,IF(表_网址[[#This Row],[重点关键词]]="",100,101))</f>
        <v>100</v>
      </c>
      <c r="F217" t="s">
        <v>300</v>
      </c>
      <c r="G217" t="s">
        <v>301</v>
      </c>
      <c r="H217" t="s">
        <v>29</v>
      </c>
      <c r="I217" t="s">
        <v>302</v>
      </c>
      <c r="J217" t="s">
        <v>1827</v>
      </c>
      <c r="K217" t="s">
        <v>279</v>
      </c>
      <c r="L217" t="s">
        <v>303</v>
      </c>
      <c r="N217" t="s">
        <v>1854</v>
      </c>
      <c r="O217" t="s">
        <v>1166</v>
      </c>
      <c r="Q217">
        <v>268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8004-17-10-100</v>
      </c>
      <c r="B218">
        <f ca="1">MATCH(表_网址[[#This Row],[版层分类]],序列_版层分类,0)*1000+MATCH(表_网址[[#This Row],[首要关键词]],序列_首要关键词,0)</f>
        <v>8004</v>
      </c>
      <c r="C218">
        <f ca="1">IF(表_网址[[#This Row],[次要关键词]]="",10,MATCH(表_网址[[#This Row],[次要关键词]],序列_次要关键词,0)+10)</f>
        <v>17</v>
      </c>
      <c r="D218">
        <f>IF(表_网址[[#This Row],[重点关键词]]="",10,MATCH(表_网址[[#This Row],[重点关键词]],序列_重点关键词,0)+10)</f>
        <v>10</v>
      </c>
      <c r="E218">
        <f>IF(AND(表_网址[[#This Row],[首要关键词]]=K217,表_网址[[#This Row],[次要关键词]]=L217,表_网址[[#This Row],[重点关键词]]=M217),E217+1,IF(表_网址[[#This Row],[重点关键词]]="",100,101))</f>
        <v>100</v>
      </c>
      <c r="F218" t="s">
        <v>304</v>
      </c>
      <c r="G218" t="s">
        <v>305</v>
      </c>
      <c r="H218" t="s">
        <v>29</v>
      </c>
      <c r="I218" t="s">
        <v>306</v>
      </c>
      <c r="J218" t="s">
        <v>1827</v>
      </c>
      <c r="K218" t="s">
        <v>279</v>
      </c>
      <c r="L218" t="s">
        <v>307</v>
      </c>
      <c r="N218" t="s">
        <v>1854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8004-18-10-100</v>
      </c>
      <c r="B219">
        <f ca="1">MATCH(表_网址[[#This Row],[版层分类]],序列_版层分类,0)*1000+MATCH(表_网址[[#This Row],[首要关键词]],序列_首要关键词,0)</f>
        <v>8004</v>
      </c>
      <c r="C219">
        <f ca="1">IF(表_网址[[#This Row],[次要关键词]]="",10,MATCH(表_网址[[#This Row],[次要关键词]],序列_次要关键词,0)+10)</f>
        <v>18</v>
      </c>
      <c r="D219">
        <f>IF(表_网址[[#This Row],[重点关键词]]="",10,MATCH(表_网址[[#This Row],[重点关键词]],序列_重点关键词,0)+10)</f>
        <v>10</v>
      </c>
      <c r="E219">
        <f>IF(AND(表_网址[[#This Row],[首要关键词]]=K218,表_网址[[#This Row],[次要关键词]]=L218,表_网址[[#This Row],[重点关键词]]=M218),E218+1,IF(表_网址[[#This Row],[重点关键词]]="",100,101))</f>
        <v>100</v>
      </c>
      <c r="F219" t="s">
        <v>308</v>
      </c>
      <c r="G219" t="s">
        <v>309</v>
      </c>
      <c r="H219" t="s">
        <v>29</v>
      </c>
      <c r="I219" t="s">
        <v>310</v>
      </c>
      <c r="J219" t="s">
        <v>1827</v>
      </c>
      <c r="K219" t="s">
        <v>279</v>
      </c>
      <c r="L219" t="s">
        <v>311</v>
      </c>
      <c r="N219" t="s">
        <v>1854</v>
      </c>
      <c r="Q219">
        <v>16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8004-19-10-100</v>
      </c>
      <c r="B220">
        <f ca="1">MATCH(表_网址[[#This Row],[版层分类]],序列_版层分类,0)*1000+MATCH(表_网址[[#This Row],[首要关键词]],序列_首要关键词,0)</f>
        <v>8004</v>
      </c>
      <c r="C220">
        <f ca="1">IF(表_网址[[#This Row],[次要关键词]]="",10,MATCH(表_网址[[#This Row],[次要关键词]],序列_次要关键词,0)+10)</f>
        <v>19</v>
      </c>
      <c r="D220">
        <f>IF(表_网址[[#This Row],[重点关键词]]="",10,MATCH(表_网址[[#This Row],[重点关键词]],序列_重点关键词,0)+10)</f>
        <v>10</v>
      </c>
      <c r="E220">
        <f>IF(AND(表_网址[[#This Row],[首要关键词]]=K219,表_网址[[#This Row],[次要关键词]]=L219,表_网址[[#This Row],[重点关键词]]=M219),E219+1,IF(表_网址[[#This Row],[重点关键词]]="",100,101))</f>
        <v>100</v>
      </c>
      <c r="F220" t="s">
        <v>312</v>
      </c>
      <c r="G220" t="s">
        <v>313</v>
      </c>
      <c r="H220" t="s">
        <v>29</v>
      </c>
      <c r="I220" t="s">
        <v>314</v>
      </c>
      <c r="J220" t="s">
        <v>1827</v>
      </c>
      <c r="K220" t="s">
        <v>279</v>
      </c>
      <c r="L220" t="s">
        <v>315</v>
      </c>
      <c r="N220" t="s">
        <v>1854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8004-20-10-100</v>
      </c>
      <c r="B221">
        <f ca="1">MATCH(表_网址[[#This Row],[版层分类]],序列_版层分类,0)*1000+MATCH(表_网址[[#This Row],[首要关键词]],序列_首要关键词,0)</f>
        <v>8004</v>
      </c>
      <c r="C221">
        <f ca="1">IF(表_网址[[#This Row],[次要关键词]]="",10,MATCH(表_网址[[#This Row],[次要关键词]],序列_次要关键词,0)+10)</f>
        <v>20</v>
      </c>
      <c r="D221">
        <f>IF(表_网址[[#This Row],[重点关键词]]="",10,MATCH(表_网址[[#This Row],[重点关键词]],序列_重点关键词,0)+10)</f>
        <v>10</v>
      </c>
      <c r="E221">
        <f>IF(AND(表_网址[[#This Row],[首要关键词]]=K220,表_网址[[#This Row],[次要关键词]]=L220,表_网址[[#This Row],[重点关键词]]=M220),E220+1,IF(表_网址[[#This Row],[重点关键词]]="",100,101))</f>
        <v>100</v>
      </c>
      <c r="F221" t="s">
        <v>316</v>
      </c>
      <c r="G221" t="s">
        <v>317</v>
      </c>
      <c r="H221" t="s">
        <v>29</v>
      </c>
      <c r="I221" t="s">
        <v>318</v>
      </c>
      <c r="J221" t="s">
        <v>1827</v>
      </c>
      <c r="K221" t="s">
        <v>279</v>
      </c>
      <c r="L221" t="s">
        <v>319</v>
      </c>
      <c r="N221" t="s">
        <v>1854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8004-21-10-100</v>
      </c>
      <c r="B222">
        <f ca="1">MATCH(表_网址[[#This Row],[版层分类]],序列_版层分类,0)*1000+MATCH(表_网址[[#This Row],[首要关键词]],序列_首要关键词,0)</f>
        <v>8004</v>
      </c>
      <c r="C222">
        <f ca="1">IF(表_网址[[#This Row],[次要关键词]]="",10,MATCH(表_网址[[#This Row],[次要关键词]],序列_次要关键词,0)+10)</f>
        <v>21</v>
      </c>
      <c r="D222">
        <f>IF(表_网址[[#This Row],[重点关键词]]="",10,MATCH(表_网址[[#This Row],[重点关键词]],序列_重点关键词,0)+10)</f>
        <v>10</v>
      </c>
      <c r="E222">
        <f>IF(AND(表_网址[[#This Row],[首要关键词]]=K221,表_网址[[#This Row],[次要关键词]]=L221,表_网址[[#This Row],[重点关键词]]=M221),E221+1,IF(表_网址[[#This Row],[重点关键词]]="",100,101))</f>
        <v>100</v>
      </c>
      <c r="F222" t="s">
        <v>320</v>
      </c>
      <c r="G222" t="s">
        <v>321</v>
      </c>
      <c r="H222" t="s">
        <v>29</v>
      </c>
      <c r="I222" t="s">
        <v>322</v>
      </c>
      <c r="J222" t="s">
        <v>1827</v>
      </c>
      <c r="K222" t="s">
        <v>279</v>
      </c>
      <c r="L222" t="s">
        <v>323</v>
      </c>
      <c r="N222" t="s">
        <v>1854</v>
      </c>
      <c r="Q222">
        <v>25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8004-22-10-100</v>
      </c>
      <c r="B223">
        <f ca="1">MATCH(表_网址[[#This Row],[版层分类]],序列_版层分类,0)*1000+MATCH(表_网址[[#This Row],[首要关键词]],序列_首要关键词,0)</f>
        <v>8004</v>
      </c>
      <c r="C223">
        <f ca="1">IF(表_网址[[#This Row],[次要关键词]]="",10,MATCH(表_网址[[#This Row],[次要关键词]],序列_次要关键词,0)+10)</f>
        <v>22</v>
      </c>
      <c r="D223">
        <f>IF(表_网址[[#This Row],[重点关键词]]="",10,MATCH(表_网址[[#This Row],[重点关键词]],序列_重点关键词,0)+10)</f>
        <v>10</v>
      </c>
      <c r="E223">
        <f>IF(AND(表_网址[[#This Row],[首要关键词]]=K222,表_网址[[#This Row],[次要关键词]]=L222,表_网址[[#This Row],[重点关键词]]=M222),E222+1,IF(表_网址[[#This Row],[重点关键词]]="",100,101))</f>
        <v>100</v>
      </c>
      <c r="F223" t="s">
        <v>324</v>
      </c>
      <c r="G223" t="s">
        <v>325</v>
      </c>
      <c r="H223" t="s">
        <v>29</v>
      </c>
      <c r="I223" t="s">
        <v>326</v>
      </c>
      <c r="J223" t="s">
        <v>1827</v>
      </c>
      <c r="K223" t="s">
        <v>279</v>
      </c>
      <c r="L223" t="s">
        <v>327</v>
      </c>
      <c r="N223" t="s">
        <v>1854</v>
      </c>
      <c r="Q223">
        <v>32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8004-23-10-100</v>
      </c>
      <c r="B224">
        <f ca="1">MATCH(表_网址[[#This Row],[版层分类]],序列_版层分类,0)*1000+MATCH(表_网址[[#This Row],[首要关键词]],序列_首要关键词,0)</f>
        <v>8004</v>
      </c>
      <c r="C224">
        <f ca="1">IF(表_网址[[#This Row],[次要关键词]]="",10,MATCH(表_网址[[#This Row],[次要关键词]],序列_次要关键词,0)+10)</f>
        <v>23</v>
      </c>
      <c r="D224">
        <f>IF(表_网址[[#This Row],[重点关键词]]="",10,MATCH(表_网址[[#This Row],[重点关键词]],序列_重点关键词,0)+10)</f>
        <v>10</v>
      </c>
      <c r="E224">
        <f>IF(AND(表_网址[[#This Row],[首要关键词]]=K223,表_网址[[#This Row],[次要关键词]]=L223,表_网址[[#This Row],[重点关键词]]=M223),E223+1,IF(表_网址[[#This Row],[重点关键词]]="",100,101))</f>
        <v>100</v>
      </c>
      <c r="F224" t="s">
        <v>328</v>
      </c>
      <c r="G224" t="s">
        <v>329</v>
      </c>
      <c r="H224" t="s">
        <v>29</v>
      </c>
      <c r="I224" t="s">
        <v>330</v>
      </c>
      <c r="J224" t="s">
        <v>1827</v>
      </c>
      <c r="K224" t="s">
        <v>279</v>
      </c>
      <c r="L224" t="s">
        <v>331</v>
      </c>
      <c r="N224" t="s">
        <v>1854</v>
      </c>
      <c r="Q224">
        <v>32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8004-23-11-101</v>
      </c>
      <c r="B225">
        <f ca="1">MATCH(表_网址[[#This Row],[版层分类]],序列_版层分类,0)*1000+MATCH(表_网址[[#This Row],[首要关键词]],序列_首要关键词,0)</f>
        <v>8004</v>
      </c>
      <c r="C225">
        <f ca="1">IF(表_网址[[#This Row],[次要关键词]]="",10,MATCH(表_网址[[#This Row],[次要关键词]],序列_次要关键词,0)+10)</f>
        <v>23</v>
      </c>
      <c r="D225">
        <f ca="1">IF(表_网址[[#This Row],[重点关键词]]="",10,MATCH(表_网址[[#This Row],[重点关键词]],序列_重点关键词,0)+10)</f>
        <v>11</v>
      </c>
      <c r="E225">
        <f>IF(AND(表_网址[[#This Row],[首要关键词]]=K224,表_网址[[#This Row],[次要关键词]]=L224,表_网址[[#This Row],[重点关键词]]=M224),E224+1,IF(表_网址[[#This Row],[重点关键词]]="",100,101))</f>
        <v>101</v>
      </c>
      <c r="F225" t="s">
        <v>332</v>
      </c>
      <c r="G225" t="s">
        <v>333</v>
      </c>
      <c r="H225" t="s">
        <v>29</v>
      </c>
      <c r="I225" t="s">
        <v>334</v>
      </c>
      <c r="J225" t="s">
        <v>1827</v>
      </c>
      <c r="K225" t="s">
        <v>279</v>
      </c>
      <c r="L225" t="s">
        <v>331</v>
      </c>
      <c r="M225" t="s">
        <v>335</v>
      </c>
      <c r="N225" t="s">
        <v>1854</v>
      </c>
      <c r="O225" t="s">
        <v>1166</v>
      </c>
      <c r="Q225">
        <v>40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8004-23-12-101</v>
      </c>
      <c r="B226">
        <f ca="1">MATCH(表_网址[[#This Row],[版层分类]],序列_版层分类,0)*1000+MATCH(表_网址[[#This Row],[首要关键词]],序列_首要关键词,0)</f>
        <v>8004</v>
      </c>
      <c r="C226">
        <f ca="1">IF(表_网址[[#This Row],[次要关键词]]="",10,MATCH(表_网址[[#This Row],[次要关键词]],序列_次要关键词,0)+10)</f>
        <v>23</v>
      </c>
      <c r="D226">
        <f ca="1">IF(表_网址[[#This Row],[重点关键词]]="",10,MATCH(表_网址[[#This Row],[重点关键词]],序列_重点关键词,0)+10)</f>
        <v>12</v>
      </c>
      <c r="E226">
        <f>IF(AND(表_网址[[#This Row],[首要关键词]]=K225,表_网址[[#This Row],[次要关键词]]=L225,表_网址[[#This Row],[重点关键词]]=M225),E225+1,IF(表_网址[[#This Row],[重点关键词]]="",100,101))</f>
        <v>101</v>
      </c>
      <c r="F226" t="s">
        <v>336</v>
      </c>
      <c r="G226" t="s">
        <v>337</v>
      </c>
      <c r="H226" t="s">
        <v>29</v>
      </c>
      <c r="I226" t="s">
        <v>338</v>
      </c>
      <c r="J226" t="s">
        <v>1827</v>
      </c>
      <c r="K226" t="s">
        <v>279</v>
      </c>
      <c r="L226" t="s">
        <v>331</v>
      </c>
      <c r="M226" t="s">
        <v>339</v>
      </c>
      <c r="N226" t="s">
        <v>1854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8004-23-13-101</v>
      </c>
      <c r="B227">
        <f ca="1">MATCH(表_网址[[#This Row],[版层分类]],序列_版层分类,0)*1000+MATCH(表_网址[[#This Row],[首要关键词]],序列_首要关键词,0)</f>
        <v>8004</v>
      </c>
      <c r="C227">
        <f ca="1">IF(表_网址[[#This Row],[次要关键词]]="",10,MATCH(表_网址[[#This Row],[次要关键词]],序列_次要关键词,0)+10)</f>
        <v>23</v>
      </c>
      <c r="D227">
        <f ca="1">IF(表_网址[[#This Row],[重点关键词]]="",10,MATCH(表_网址[[#This Row],[重点关键词]],序列_重点关键词,0)+10)</f>
        <v>13</v>
      </c>
      <c r="E227">
        <f>IF(AND(表_网址[[#This Row],[首要关键词]]=K226,表_网址[[#This Row],[次要关键词]]=L226,表_网址[[#This Row],[重点关键词]]=M226),E226+1,IF(表_网址[[#This Row],[重点关键词]]="",100,101))</f>
        <v>101</v>
      </c>
      <c r="F227" t="s">
        <v>340</v>
      </c>
      <c r="G227" t="s">
        <v>341</v>
      </c>
      <c r="H227" t="s">
        <v>29</v>
      </c>
      <c r="I227" t="s">
        <v>342</v>
      </c>
      <c r="J227" t="s">
        <v>1827</v>
      </c>
      <c r="K227" t="s">
        <v>279</v>
      </c>
      <c r="L227" t="s">
        <v>331</v>
      </c>
      <c r="M227" t="s">
        <v>343</v>
      </c>
      <c r="N227" t="s">
        <v>1854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8004-23-14-101</v>
      </c>
      <c r="B228">
        <f ca="1">MATCH(表_网址[[#This Row],[版层分类]],序列_版层分类,0)*1000+MATCH(表_网址[[#This Row],[首要关键词]],序列_首要关键词,0)</f>
        <v>8004</v>
      </c>
      <c r="C228">
        <f ca="1">IF(表_网址[[#This Row],[次要关键词]]="",10,MATCH(表_网址[[#This Row],[次要关键词]],序列_次要关键词,0)+10)</f>
        <v>23</v>
      </c>
      <c r="D228">
        <f ca="1">IF(表_网址[[#This Row],[重点关键词]]="",10,MATCH(表_网址[[#This Row],[重点关键词]],序列_重点关键词,0)+10)</f>
        <v>14</v>
      </c>
      <c r="E228">
        <f>IF(AND(表_网址[[#This Row],[首要关键词]]=K227,表_网址[[#This Row],[次要关键词]]=L227,表_网址[[#This Row],[重点关键词]]=M227),E227+1,IF(表_网址[[#This Row],[重点关键词]]="",100,101))</f>
        <v>101</v>
      </c>
      <c r="F228" t="s">
        <v>344</v>
      </c>
      <c r="G228" t="s">
        <v>345</v>
      </c>
      <c r="H228" t="s">
        <v>29</v>
      </c>
      <c r="I228" t="s">
        <v>346</v>
      </c>
      <c r="J228" t="s">
        <v>1827</v>
      </c>
      <c r="K228" t="s">
        <v>279</v>
      </c>
      <c r="L228" t="s">
        <v>331</v>
      </c>
      <c r="M228" t="s">
        <v>347</v>
      </c>
      <c r="N228" t="s">
        <v>1854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8004-23-14-102</v>
      </c>
      <c r="B229">
        <f ca="1">MATCH(表_网址[[#This Row],[版层分类]],序列_版层分类,0)*1000+MATCH(表_网址[[#This Row],[首要关键词]],序列_首要关键词,0)</f>
        <v>8004</v>
      </c>
      <c r="C229">
        <f ca="1">IF(表_网址[[#This Row],[次要关键词]]="",10,MATCH(表_网址[[#This Row],[次要关键词]],序列_次要关键词,0)+10)</f>
        <v>23</v>
      </c>
      <c r="D229">
        <f ca="1">IF(表_网址[[#This Row],[重点关键词]]="",10,MATCH(表_网址[[#This Row],[重点关键词]],序列_重点关键词,0)+10)</f>
        <v>14</v>
      </c>
      <c r="E229">
        <f>IF(AND(表_网址[[#This Row],[首要关键词]]=K228,表_网址[[#This Row],[次要关键词]]=L228,表_网址[[#This Row],[重点关键词]]=M228),E228+1,IF(表_网址[[#This Row],[重点关键词]]="",100,101))</f>
        <v>102</v>
      </c>
      <c r="F229" t="s">
        <v>348</v>
      </c>
      <c r="G229" t="s">
        <v>349</v>
      </c>
      <c r="H229" t="s">
        <v>29</v>
      </c>
      <c r="I229" t="s">
        <v>350</v>
      </c>
      <c r="J229" t="s">
        <v>1827</v>
      </c>
      <c r="K229" t="s">
        <v>279</v>
      </c>
      <c r="L229" t="s">
        <v>331</v>
      </c>
      <c r="M229" t="s">
        <v>347</v>
      </c>
      <c r="N229" t="s">
        <v>1854</v>
      </c>
      <c r="O229" t="s">
        <v>1166</v>
      </c>
      <c r="Q229">
        <v>16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8004-23-15-101</v>
      </c>
      <c r="B230">
        <f ca="1">MATCH(表_网址[[#This Row],[版层分类]],序列_版层分类,0)*1000+MATCH(表_网址[[#This Row],[首要关键词]],序列_首要关键词,0)</f>
        <v>8004</v>
      </c>
      <c r="C230">
        <f ca="1">IF(表_网址[[#This Row],[次要关键词]]="",10,MATCH(表_网址[[#This Row],[次要关键词]],序列_次要关键词,0)+10)</f>
        <v>23</v>
      </c>
      <c r="D230">
        <f ca="1">IF(表_网址[[#This Row],[重点关键词]]="",10,MATCH(表_网址[[#This Row],[重点关键词]],序列_重点关键词,0)+10)</f>
        <v>15</v>
      </c>
      <c r="E230">
        <f>IF(AND(表_网址[[#This Row],[首要关键词]]=K229,表_网址[[#This Row],[次要关键词]]=L229,表_网址[[#This Row],[重点关键词]]=M229),E229+1,IF(表_网址[[#This Row],[重点关键词]]="",100,101))</f>
        <v>101</v>
      </c>
      <c r="F230" t="s">
        <v>351</v>
      </c>
      <c r="G230" t="s">
        <v>352</v>
      </c>
      <c r="H230" t="s">
        <v>29</v>
      </c>
      <c r="I230" t="s">
        <v>353</v>
      </c>
      <c r="J230" t="s">
        <v>1827</v>
      </c>
      <c r="K230" t="s">
        <v>279</v>
      </c>
      <c r="L230" t="s">
        <v>331</v>
      </c>
      <c r="M230" t="s">
        <v>354</v>
      </c>
      <c r="N230" t="s">
        <v>1854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8004-23-16-101</v>
      </c>
      <c r="B231">
        <f ca="1">MATCH(表_网址[[#This Row],[版层分类]],序列_版层分类,0)*1000+MATCH(表_网址[[#This Row],[首要关键词]],序列_首要关键词,0)</f>
        <v>8004</v>
      </c>
      <c r="C231">
        <f ca="1">IF(表_网址[[#This Row],[次要关键词]]="",10,MATCH(表_网址[[#This Row],[次要关键词]],序列_次要关键词,0)+10)</f>
        <v>23</v>
      </c>
      <c r="D231">
        <f ca="1">IF(表_网址[[#This Row],[重点关键词]]="",10,MATCH(表_网址[[#This Row],[重点关键词]],序列_重点关键词,0)+10)</f>
        <v>16</v>
      </c>
      <c r="E231">
        <f>IF(AND(表_网址[[#This Row],[首要关键词]]=K230,表_网址[[#This Row],[次要关键词]]=L230,表_网址[[#This Row],[重点关键词]]=M230),E230+1,IF(表_网址[[#This Row],[重点关键词]]="",100,101))</f>
        <v>101</v>
      </c>
      <c r="F231" t="s">
        <v>355</v>
      </c>
      <c r="G231" t="s">
        <v>356</v>
      </c>
      <c r="H231" t="s">
        <v>29</v>
      </c>
      <c r="I231" t="s">
        <v>357</v>
      </c>
      <c r="J231" t="s">
        <v>1827</v>
      </c>
      <c r="K231" t="s">
        <v>279</v>
      </c>
      <c r="L231" t="s">
        <v>331</v>
      </c>
      <c r="M231" t="s">
        <v>358</v>
      </c>
      <c r="N231" t="s">
        <v>1854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8004-23-17-101</v>
      </c>
      <c r="B232">
        <f ca="1">MATCH(表_网址[[#This Row],[版层分类]],序列_版层分类,0)*1000+MATCH(表_网址[[#This Row],[首要关键词]],序列_首要关键词,0)</f>
        <v>8004</v>
      </c>
      <c r="C232">
        <f ca="1">IF(表_网址[[#This Row],[次要关键词]]="",10,MATCH(表_网址[[#This Row],[次要关键词]],序列_次要关键词,0)+10)</f>
        <v>23</v>
      </c>
      <c r="D232">
        <f ca="1">IF(表_网址[[#This Row],[重点关键词]]="",10,MATCH(表_网址[[#This Row],[重点关键词]],序列_重点关键词,0)+10)</f>
        <v>17</v>
      </c>
      <c r="E232">
        <f>IF(AND(表_网址[[#This Row],[首要关键词]]=K231,表_网址[[#This Row],[次要关键词]]=L231,表_网址[[#This Row],[重点关键词]]=M231),E231+1,IF(表_网址[[#This Row],[重点关键词]]="",100,101))</f>
        <v>101</v>
      </c>
      <c r="F232" t="s">
        <v>359</v>
      </c>
      <c r="G232" t="s">
        <v>360</v>
      </c>
      <c r="H232" t="s">
        <v>29</v>
      </c>
      <c r="I232" t="s">
        <v>361</v>
      </c>
      <c r="J232" t="s">
        <v>1827</v>
      </c>
      <c r="K232" t="s">
        <v>279</v>
      </c>
      <c r="L232" t="s">
        <v>331</v>
      </c>
      <c r="M232" t="s">
        <v>362</v>
      </c>
      <c r="N232" t="s">
        <v>1854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8004-23-18-101</v>
      </c>
      <c r="B233">
        <f ca="1">MATCH(表_网址[[#This Row],[版层分类]],序列_版层分类,0)*1000+MATCH(表_网址[[#This Row],[首要关键词]],序列_首要关键词,0)</f>
        <v>8004</v>
      </c>
      <c r="C233">
        <f ca="1">IF(表_网址[[#This Row],[次要关键词]]="",10,MATCH(表_网址[[#This Row],[次要关键词]],序列_次要关键词,0)+10)</f>
        <v>23</v>
      </c>
      <c r="D233">
        <f ca="1">IF(表_网址[[#This Row],[重点关键词]]="",10,MATCH(表_网址[[#This Row],[重点关键词]],序列_重点关键词,0)+10)</f>
        <v>18</v>
      </c>
      <c r="E233">
        <f>IF(AND(表_网址[[#This Row],[首要关键词]]=K232,表_网址[[#This Row],[次要关键词]]=L232,表_网址[[#This Row],[重点关键词]]=M232),E232+1,IF(表_网址[[#This Row],[重点关键词]]="",100,101))</f>
        <v>101</v>
      </c>
      <c r="F233" t="s">
        <v>363</v>
      </c>
      <c r="G233" t="s">
        <v>364</v>
      </c>
      <c r="H233" t="s">
        <v>29</v>
      </c>
      <c r="I233" t="s">
        <v>365</v>
      </c>
      <c r="J233" t="s">
        <v>1827</v>
      </c>
      <c r="K233" t="s">
        <v>279</v>
      </c>
      <c r="L233" t="s">
        <v>331</v>
      </c>
      <c r="M233" t="s">
        <v>366</v>
      </c>
      <c r="N233" t="s">
        <v>1854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8004-23-19-101</v>
      </c>
      <c r="B234">
        <f ca="1">MATCH(表_网址[[#This Row],[版层分类]],序列_版层分类,0)*1000+MATCH(表_网址[[#This Row],[首要关键词]],序列_首要关键词,0)</f>
        <v>8004</v>
      </c>
      <c r="C234">
        <f ca="1">IF(表_网址[[#This Row],[次要关键词]]="",10,MATCH(表_网址[[#This Row],[次要关键词]],序列_次要关键词,0)+10)</f>
        <v>23</v>
      </c>
      <c r="D234">
        <f ca="1">IF(表_网址[[#This Row],[重点关键词]]="",10,MATCH(表_网址[[#This Row],[重点关键词]],序列_重点关键词,0)+10)</f>
        <v>19</v>
      </c>
      <c r="E234">
        <f>IF(AND(表_网址[[#This Row],[首要关键词]]=K233,表_网址[[#This Row],[次要关键词]]=L233,表_网址[[#This Row],[重点关键词]]=M233),E233+1,IF(表_网址[[#This Row],[重点关键词]]="",100,101))</f>
        <v>101</v>
      </c>
      <c r="F234" t="s">
        <v>367</v>
      </c>
      <c r="G234" t="s">
        <v>368</v>
      </c>
      <c r="H234" t="s">
        <v>29</v>
      </c>
      <c r="I234" t="s">
        <v>369</v>
      </c>
      <c r="J234" t="s">
        <v>1827</v>
      </c>
      <c r="K234" t="s">
        <v>279</v>
      </c>
      <c r="L234" t="s">
        <v>331</v>
      </c>
      <c r="M234" t="s">
        <v>370</v>
      </c>
      <c r="N234" t="s">
        <v>1854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8004-23-20-101</v>
      </c>
      <c r="B235">
        <f ca="1">MATCH(表_网址[[#This Row],[版层分类]],序列_版层分类,0)*1000+MATCH(表_网址[[#This Row],[首要关键词]],序列_首要关键词,0)</f>
        <v>8004</v>
      </c>
      <c r="C235">
        <f ca="1">IF(表_网址[[#This Row],[次要关键词]]="",10,MATCH(表_网址[[#This Row],[次要关键词]],序列_次要关键词,0)+10)</f>
        <v>23</v>
      </c>
      <c r="D235">
        <f ca="1">IF(表_网址[[#This Row],[重点关键词]]="",10,MATCH(表_网址[[#This Row],[重点关键词]],序列_重点关键词,0)+10)</f>
        <v>20</v>
      </c>
      <c r="E235">
        <f>IF(AND(表_网址[[#This Row],[首要关键词]]=K234,表_网址[[#This Row],[次要关键词]]=L234,表_网址[[#This Row],[重点关键词]]=M234),E234+1,IF(表_网址[[#This Row],[重点关键词]]="",100,101))</f>
        <v>101</v>
      </c>
      <c r="F235" t="s">
        <v>371</v>
      </c>
      <c r="G235" t="s">
        <v>372</v>
      </c>
      <c r="H235" t="s">
        <v>29</v>
      </c>
      <c r="I235" t="s">
        <v>373</v>
      </c>
      <c r="J235" t="s">
        <v>1827</v>
      </c>
      <c r="K235" t="s">
        <v>279</v>
      </c>
      <c r="L235" t="s">
        <v>331</v>
      </c>
      <c r="M235" t="s">
        <v>374</v>
      </c>
      <c r="N235" t="s">
        <v>1854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8004-23-21-101</v>
      </c>
      <c r="B236">
        <f ca="1">MATCH(表_网址[[#This Row],[版层分类]],序列_版层分类,0)*1000+MATCH(表_网址[[#This Row],[首要关键词]],序列_首要关键词,0)</f>
        <v>8004</v>
      </c>
      <c r="C236">
        <f ca="1">IF(表_网址[[#This Row],[次要关键词]]="",10,MATCH(表_网址[[#This Row],[次要关键词]],序列_次要关键词,0)+10)</f>
        <v>23</v>
      </c>
      <c r="D236">
        <f ca="1">IF(表_网址[[#This Row],[重点关键词]]="",10,MATCH(表_网址[[#This Row],[重点关键词]],序列_重点关键词,0)+10)</f>
        <v>21</v>
      </c>
      <c r="E236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375</v>
      </c>
      <c r="G236" t="s">
        <v>376</v>
      </c>
      <c r="H236" t="s">
        <v>29</v>
      </c>
      <c r="I236" t="s">
        <v>377</v>
      </c>
      <c r="J236" t="s">
        <v>1827</v>
      </c>
      <c r="K236" t="s">
        <v>279</v>
      </c>
      <c r="L236" t="s">
        <v>331</v>
      </c>
      <c r="M236" t="s">
        <v>378</v>
      </c>
      <c r="N236" t="s">
        <v>1854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8004-23-22-101</v>
      </c>
      <c r="B237">
        <f ca="1">MATCH(表_网址[[#This Row],[版层分类]],序列_版层分类,0)*1000+MATCH(表_网址[[#This Row],[首要关键词]],序列_首要关键词,0)</f>
        <v>8004</v>
      </c>
      <c r="C237">
        <f ca="1">IF(表_网址[[#This Row],[次要关键词]]="",10,MATCH(表_网址[[#This Row],[次要关键词]],序列_次要关键词,0)+10)</f>
        <v>23</v>
      </c>
      <c r="D237">
        <f ca="1">IF(表_网址[[#This Row],[重点关键词]]="",10,MATCH(表_网址[[#This Row],[重点关键词]],序列_重点关键词,0)+10)</f>
        <v>22</v>
      </c>
      <c r="E237">
        <f>IF(AND(表_网址[[#This Row],[首要关键词]]=K236,表_网址[[#This Row],[次要关键词]]=L236,表_网址[[#This Row],[重点关键词]]=M236),E236+1,IF(表_网址[[#This Row],[重点关键词]]="",100,101))</f>
        <v>101</v>
      </c>
      <c r="F237" t="s">
        <v>379</v>
      </c>
      <c r="G237" t="s">
        <v>380</v>
      </c>
      <c r="H237" t="s">
        <v>29</v>
      </c>
      <c r="I237" t="s">
        <v>381</v>
      </c>
      <c r="J237" t="s">
        <v>1827</v>
      </c>
      <c r="K237" t="s">
        <v>279</v>
      </c>
      <c r="L237" t="s">
        <v>331</v>
      </c>
      <c r="M237" t="s">
        <v>382</v>
      </c>
      <c r="N237" t="s">
        <v>1854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8004-23-23-101</v>
      </c>
      <c r="B238">
        <f ca="1">MATCH(表_网址[[#This Row],[版层分类]],序列_版层分类,0)*1000+MATCH(表_网址[[#This Row],[首要关键词]],序列_首要关键词,0)</f>
        <v>8004</v>
      </c>
      <c r="C238">
        <f ca="1">IF(表_网址[[#This Row],[次要关键词]]="",10,MATCH(表_网址[[#This Row],[次要关键词]],序列_次要关键词,0)+10)</f>
        <v>23</v>
      </c>
      <c r="D238">
        <f ca="1">IF(表_网址[[#This Row],[重点关键词]]="",10,MATCH(表_网址[[#This Row],[重点关键词]],序列_重点关键词,0)+10)</f>
        <v>23</v>
      </c>
      <c r="E238">
        <f>IF(AND(表_网址[[#This Row],[首要关键词]]=K237,表_网址[[#This Row],[次要关键词]]=L237,表_网址[[#This Row],[重点关键词]]=M237),E237+1,IF(表_网址[[#This Row],[重点关键词]]="",100,101))</f>
        <v>101</v>
      </c>
      <c r="F238" t="s">
        <v>383</v>
      </c>
      <c r="G238" t="s">
        <v>384</v>
      </c>
      <c r="H238" t="s">
        <v>29</v>
      </c>
      <c r="I238" t="s">
        <v>385</v>
      </c>
      <c r="J238" t="s">
        <v>1827</v>
      </c>
      <c r="K238" t="s">
        <v>279</v>
      </c>
      <c r="L238" t="s">
        <v>331</v>
      </c>
      <c r="M238" t="s">
        <v>386</v>
      </c>
      <c r="N238" t="s">
        <v>1854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8004-23-24-101</v>
      </c>
      <c r="B239">
        <f ca="1">MATCH(表_网址[[#This Row],[版层分类]],序列_版层分类,0)*1000+MATCH(表_网址[[#This Row],[首要关键词]],序列_首要关键词,0)</f>
        <v>8004</v>
      </c>
      <c r="C239">
        <f ca="1">IF(表_网址[[#This Row],[次要关键词]]="",10,MATCH(表_网址[[#This Row],[次要关键词]],序列_次要关键词,0)+10)</f>
        <v>23</v>
      </c>
      <c r="D239">
        <f ca="1">IF(表_网址[[#This Row],[重点关键词]]="",10,MATCH(表_网址[[#This Row],[重点关键词]],序列_重点关键词,0)+10)</f>
        <v>24</v>
      </c>
      <c r="E239">
        <f>IF(AND(表_网址[[#This Row],[首要关键词]]=K238,表_网址[[#This Row],[次要关键词]]=L238,表_网址[[#This Row],[重点关键词]]=M238),E238+1,IF(表_网址[[#This Row],[重点关键词]]="",100,101))</f>
        <v>101</v>
      </c>
      <c r="F239" t="s">
        <v>387</v>
      </c>
      <c r="G239" t="s">
        <v>388</v>
      </c>
      <c r="H239" t="s">
        <v>29</v>
      </c>
      <c r="I239" t="s">
        <v>389</v>
      </c>
      <c r="J239" t="s">
        <v>1827</v>
      </c>
      <c r="K239" t="s">
        <v>279</v>
      </c>
      <c r="L239" t="s">
        <v>331</v>
      </c>
      <c r="M239" t="s">
        <v>390</v>
      </c>
      <c r="N239" t="s">
        <v>1854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8004-23-25-101</v>
      </c>
      <c r="B240">
        <f ca="1">MATCH(表_网址[[#This Row],[版层分类]],序列_版层分类,0)*1000+MATCH(表_网址[[#This Row],[首要关键词]],序列_首要关键词,0)</f>
        <v>8004</v>
      </c>
      <c r="C240">
        <f ca="1">IF(表_网址[[#This Row],[次要关键词]]="",10,MATCH(表_网址[[#This Row],[次要关键词]],序列_次要关键词,0)+10)</f>
        <v>23</v>
      </c>
      <c r="D240">
        <f ca="1">IF(表_网址[[#This Row],[重点关键词]]="",10,MATCH(表_网址[[#This Row],[重点关键词]],序列_重点关键词,0)+10)</f>
        <v>25</v>
      </c>
      <c r="E240">
        <f>IF(AND(表_网址[[#This Row],[首要关键词]]=K239,表_网址[[#This Row],[次要关键词]]=L239,表_网址[[#This Row],[重点关键词]]=M239),E239+1,IF(表_网址[[#This Row],[重点关键词]]="",100,101))</f>
        <v>101</v>
      </c>
      <c r="F240" t="s">
        <v>391</v>
      </c>
      <c r="G240" t="s">
        <v>392</v>
      </c>
      <c r="H240" t="s">
        <v>29</v>
      </c>
      <c r="I240" t="s">
        <v>393</v>
      </c>
      <c r="J240" t="s">
        <v>1827</v>
      </c>
      <c r="K240" t="s">
        <v>279</v>
      </c>
      <c r="L240" t="s">
        <v>331</v>
      </c>
      <c r="M240" t="s">
        <v>394</v>
      </c>
      <c r="N240" t="s">
        <v>1854</v>
      </c>
      <c r="O240" t="s">
        <v>1166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8004-23-26-101</v>
      </c>
      <c r="B241">
        <f ca="1">MATCH(表_网址[[#This Row],[版层分类]],序列_版层分类,0)*1000+MATCH(表_网址[[#This Row],[首要关键词]],序列_首要关键词,0)</f>
        <v>8004</v>
      </c>
      <c r="C241">
        <f ca="1">IF(表_网址[[#This Row],[次要关键词]]="",10,MATCH(表_网址[[#This Row],[次要关键词]],序列_次要关键词,0)+10)</f>
        <v>23</v>
      </c>
      <c r="D241">
        <f ca="1">IF(表_网址[[#This Row],[重点关键词]]="",10,MATCH(表_网址[[#This Row],[重点关键词]],序列_重点关键词,0)+10)</f>
        <v>26</v>
      </c>
      <c r="E241">
        <f>IF(AND(表_网址[[#This Row],[首要关键词]]=K240,表_网址[[#This Row],[次要关键词]]=L240,表_网址[[#This Row],[重点关键词]]=M240),E240+1,IF(表_网址[[#This Row],[重点关键词]]="",100,101))</f>
        <v>101</v>
      </c>
      <c r="F241" t="s">
        <v>395</v>
      </c>
      <c r="G241" t="s">
        <v>396</v>
      </c>
      <c r="H241" t="s">
        <v>29</v>
      </c>
      <c r="I241" t="s">
        <v>397</v>
      </c>
      <c r="J241" t="s">
        <v>1827</v>
      </c>
      <c r="K241" t="s">
        <v>279</v>
      </c>
      <c r="L241" t="s">
        <v>331</v>
      </c>
      <c r="M241" t="s">
        <v>398</v>
      </c>
      <c r="N241" t="s">
        <v>1854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8004-23-27-101</v>
      </c>
      <c r="B242">
        <f ca="1">MATCH(表_网址[[#This Row],[版层分类]],序列_版层分类,0)*1000+MATCH(表_网址[[#This Row],[首要关键词]],序列_首要关键词,0)</f>
        <v>8004</v>
      </c>
      <c r="C242">
        <f ca="1">IF(表_网址[[#This Row],[次要关键词]]="",10,MATCH(表_网址[[#This Row],[次要关键词]],序列_次要关键词,0)+10)</f>
        <v>23</v>
      </c>
      <c r="D242">
        <f ca="1">IF(表_网址[[#This Row],[重点关键词]]="",10,MATCH(表_网址[[#This Row],[重点关键词]],序列_重点关键词,0)+10)</f>
        <v>27</v>
      </c>
      <c r="E242">
        <f>IF(AND(表_网址[[#This Row],[首要关键词]]=K241,表_网址[[#This Row],[次要关键词]]=L241,表_网址[[#This Row],[重点关键词]]=M241),E241+1,IF(表_网址[[#This Row],[重点关键词]]="",100,101))</f>
        <v>101</v>
      </c>
      <c r="F242" t="s">
        <v>399</v>
      </c>
      <c r="G242" t="s">
        <v>400</v>
      </c>
      <c r="H242" t="s">
        <v>29</v>
      </c>
      <c r="I242" t="s">
        <v>401</v>
      </c>
      <c r="J242" t="s">
        <v>1827</v>
      </c>
      <c r="K242" t="s">
        <v>279</v>
      </c>
      <c r="L242" t="s">
        <v>331</v>
      </c>
      <c r="M242" t="s">
        <v>402</v>
      </c>
      <c r="N242" t="s">
        <v>1854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8004-23-28-101</v>
      </c>
      <c r="B243">
        <f ca="1">MATCH(表_网址[[#This Row],[版层分类]],序列_版层分类,0)*1000+MATCH(表_网址[[#This Row],[首要关键词]],序列_首要关键词,0)</f>
        <v>8004</v>
      </c>
      <c r="C243">
        <f ca="1">IF(表_网址[[#This Row],[次要关键词]]="",10,MATCH(表_网址[[#This Row],[次要关键词]],序列_次要关键词,0)+10)</f>
        <v>23</v>
      </c>
      <c r="D243">
        <f ca="1">IF(表_网址[[#This Row],[重点关键词]]="",10,MATCH(表_网址[[#This Row],[重点关键词]],序列_重点关键词,0)+10)</f>
        <v>28</v>
      </c>
      <c r="E243">
        <f>IF(AND(表_网址[[#This Row],[首要关键词]]=K242,表_网址[[#This Row],[次要关键词]]=L242,表_网址[[#This Row],[重点关键词]]=M242),E242+1,IF(表_网址[[#This Row],[重点关键词]]="",100,101))</f>
        <v>101</v>
      </c>
      <c r="F243" t="s">
        <v>403</v>
      </c>
      <c r="G243" t="s">
        <v>404</v>
      </c>
      <c r="H243" t="s">
        <v>29</v>
      </c>
      <c r="I243" t="s">
        <v>405</v>
      </c>
      <c r="J243" t="s">
        <v>1827</v>
      </c>
      <c r="K243" t="s">
        <v>279</v>
      </c>
      <c r="L243" t="s">
        <v>331</v>
      </c>
      <c r="M243" t="s">
        <v>406</v>
      </c>
      <c r="N243" t="s">
        <v>1854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8004-23-29-101</v>
      </c>
      <c r="B244">
        <f ca="1">MATCH(表_网址[[#This Row],[版层分类]],序列_版层分类,0)*1000+MATCH(表_网址[[#This Row],[首要关键词]],序列_首要关键词,0)</f>
        <v>8004</v>
      </c>
      <c r="C244">
        <f ca="1">IF(表_网址[[#This Row],[次要关键词]]="",10,MATCH(表_网址[[#This Row],[次要关键词]],序列_次要关键词,0)+10)</f>
        <v>23</v>
      </c>
      <c r="D244">
        <f ca="1">IF(表_网址[[#This Row],[重点关键词]]="",10,MATCH(表_网址[[#This Row],[重点关键词]],序列_重点关键词,0)+10)</f>
        <v>29</v>
      </c>
      <c r="E244">
        <f>IF(AND(表_网址[[#This Row],[首要关键词]]=K243,表_网址[[#This Row],[次要关键词]]=L243,表_网址[[#This Row],[重点关键词]]=M243),E243+1,IF(表_网址[[#This Row],[重点关键词]]="",100,101))</f>
        <v>101</v>
      </c>
      <c r="F244" t="s">
        <v>407</v>
      </c>
      <c r="G244" t="s">
        <v>408</v>
      </c>
      <c r="H244" t="s">
        <v>29</v>
      </c>
      <c r="I244" t="s">
        <v>409</v>
      </c>
      <c r="J244" t="s">
        <v>1827</v>
      </c>
      <c r="K244" t="s">
        <v>279</v>
      </c>
      <c r="L244" t="s">
        <v>331</v>
      </c>
      <c r="M244" t="s">
        <v>410</v>
      </c>
      <c r="N244" t="s">
        <v>1854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8004-23-30-101</v>
      </c>
      <c r="B245">
        <f ca="1">MATCH(表_网址[[#This Row],[版层分类]],序列_版层分类,0)*1000+MATCH(表_网址[[#This Row],[首要关键词]],序列_首要关键词,0)</f>
        <v>8004</v>
      </c>
      <c r="C245">
        <f ca="1">IF(表_网址[[#This Row],[次要关键词]]="",10,MATCH(表_网址[[#This Row],[次要关键词]],序列_次要关键词,0)+10)</f>
        <v>23</v>
      </c>
      <c r="D245">
        <f ca="1">IF(表_网址[[#This Row],[重点关键词]]="",10,MATCH(表_网址[[#This Row],[重点关键词]],序列_重点关键词,0)+10)</f>
        <v>30</v>
      </c>
      <c r="E245">
        <f>IF(AND(表_网址[[#This Row],[首要关键词]]=K244,表_网址[[#This Row],[次要关键词]]=L244,表_网址[[#This Row],[重点关键词]]=M244),E244+1,IF(表_网址[[#This Row],[重点关键词]]="",100,101))</f>
        <v>101</v>
      </c>
      <c r="F245" t="s">
        <v>411</v>
      </c>
      <c r="G245" t="s">
        <v>412</v>
      </c>
      <c r="H245" t="s">
        <v>29</v>
      </c>
      <c r="I245" t="s">
        <v>413</v>
      </c>
      <c r="J245" t="s">
        <v>1827</v>
      </c>
      <c r="K245" t="s">
        <v>279</v>
      </c>
      <c r="L245" t="s">
        <v>331</v>
      </c>
      <c r="M245" t="s">
        <v>414</v>
      </c>
      <c r="N245" t="s">
        <v>1854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8004-24-10-100</v>
      </c>
      <c r="B246">
        <f ca="1">MATCH(表_网址[[#This Row],[版层分类]],序列_版层分类,0)*1000+MATCH(表_网址[[#This Row],[首要关键词]],序列_首要关键词,0)</f>
        <v>8004</v>
      </c>
      <c r="C246">
        <f ca="1">IF(表_网址[[#This Row],[次要关键词]]="",10,MATCH(表_网址[[#This Row],[次要关键词]],序列_次要关键词,0)+10)</f>
        <v>24</v>
      </c>
      <c r="D246">
        <f>IF(表_网址[[#This Row],[重点关键词]]="",10,MATCH(表_网址[[#This Row],[重点关键词]],序列_重点关键词,0)+10)</f>
        <v>10</v>
      </c>
      <c r="E246">
        <f>IF(AND(表_网址[[#This Row],[首要关键词]]=K245,表_网址[[#This Row],[次要关键词]]=L245,表_网址[[#This Row],[重点关键词]]=M245),E245+1,IF(表_网址[[#This Row],[重点关键词]]="",100,101))</f>
        <v>100</v>
      </c>
      <c r="F246" t="s">
        <v>415</v>
      </c>
      <c r="G246" t="s">
        <v>416</v>
      </c>
      <c r="H246" t="s">
        <v>29</v>
      </c>
      <c r="I246" t="s">
        <v>417</v>
      </c>
      <c r="J246" t="s">
        <v>1827</v>
      </c>
      <c r="K246" t="s">
        <v>279</v>
      </c>
      <c r="L246" t="s">
        <v>418</v>
      </c>
      <c r="N246" t="s">
        <v>1854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8004-25-10-100</v>
      </c>
      <c r="B247">
        <f ca="1">MATCH(表_网址[[#This Row],[版层分类]],序列_版层分类,0)*1000+MATCH(表_网址[[#This Row],[首要关键词]],序列_首要关键词,0)</f>
        <v>8004</v>
      </c>
      <c r="C247">
        <f ca="1">IF(表_网址[[#This Row],[次要关键词]]="",10,MATCH(表_网址[[#This Row],[次要关键词]],序列_次要关键词,0)+10)</f>
        <v>25</v>
      </c>
      <c r="D247">
        <f>IF(表_网址[[#This Row],[重点关键词]]="",10,MATCH(表_网址[[#This Row],[重点关键词]],序列_重点关键词,0)+10)</f>
        <v>10</v>
      </c>
      <c r="E247">
        <f>IF(AND(表_网址[[#This Row],[首要关键词]]=K246,表_网址[[#This Row],[次要关键词]]=L246,表_网址[[#This Row],[重点关键词]]=M246),E246+1,IF(表_网址[[#This Row],[重点关键词]]="",100,101))</f>
        <v>100</v>
      </c>
      <c r="F247" t="s">
        <v>419</v>
      </c>
      <c r="G247" t="s">
        <v>420</v>
      </c>
      <c r="H247" t="s">
        <v>29</v>
      </c>
      <c r="I247" t="s">
        <v>421</v>
      </c>
      <c r="J247" t="s">
        <v>1827</v>
      </c>
      <c r="K247" t="s">
        <v>279</v>
      </c>
      <c r="L247" t="s">
        <v>422</v>
      </c>
      <c r="N247" t="s">
        <v>1854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8004-26-10-100</v>
      </c>
      <c r="B248">
        <f ca="1">MATCH(表_网址[[#This Row],[版层分类]],序列_版层分类,0)*1000+MATCH(表_网址[[#This Row],[首要关键词]],序列_首要关键词,0)</f>
        <v>8004</v>
      </c>
      <c r="C248">
        <f ca="1">IF(表_网址[[#This Row],[次要关键词]]="",10,MATCH(表_网址[[#This Row],[次要关键词]],序列_次要关键词,0)+10)</f>
        <v>26</v>
      </c>
      <c r="D248">
        <f>IF(表_网址[[#This Row],[重点关键词]]="",10,MATCH(表_网址[[#This Row],[重点关键词]],序列_重点关键词,0)+10)</f>
        <v>10</v>
      </c>
      <c r="E248">
        <f>IF(AND(表_网址[[#This Row],[首要关键词]]=K247,表_网址[[#This Row],[次要关键词]]=L247,表_网址[[#This Row],[重点关键词]]=M247),E247+1,IF(表_网址[[#This Row],[重点关键词]]="",100,101))</f>
        <v>100</v>
      </c>
      <c r="F248" t="s">
        <v>423</v>
      </c>
      <c r="G248" t="s">
        <v>424</v>
      </c>
      <c r="H248" t="s">
        <v>29</v>
      </c>
      <c r="I248" t="s">
        <v>425</v>
      </c>
      <c r="J248" t="s">
        <v>1827</v>
      </c>
      <c r="K248" t="s">
        <v>279</v>
      </c>
      <c r="L248" t="s">
        <v>426</v>
      </c>
      <c r="N248" t="s">
        <v>1854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8004-27-10-100</v>
      </c>
      <c r="B249">
        <f ca="1">MATCH(表_网址[[#This Row],[版层分类]],序列_版层分类,0)*1000+MATCH(表_网址[[#This Row],[首要关键词]],序列_首要关键词,0)</f>
        <v>8004</v>
      </c>
      <c r="C249">
        <f ca="1">IF(表_网址[[#This Row],[次要关键词]]="",10,MATCH(表_网址[[#This Row],[次要关键词]],序列_次要关键词,0)+10)</f>
        <v>27</v>
      </c>
      <c r="D249">
        <f>IF(表_网址[[#This Row],[重点关键词]]="",10,MATCH(表_网址[[#This Row],[重点关键词]],序列_重点关键词,0)+10)</f>
        <v>10</v>
      </c>
      <c r="E249">
        <f>IF(AND(表_网址[[#This Row],[首要关键词]]=K248,表_网址[[#This Row],[次要关键词]]=L248,表_网址[[#This Row],[重点关键词]]=M248),E248+1,IF(表_网址[[#This Row],[重点关键词]]="",100,101))</f>
        <v>100</v>
      </c>
      <c r="F249" t="s">
        <v>427</v>
      </c>
      <c r="G249" t="s">
        <v>428</v>
      </c>
      <c r="H249" t="s">
        <v>29</v>
      </c>
      <c r="I249" t="s">
        <v>429</v>
      </c>
      <c r="J249" t="s">
        <v>1827</v>
      </c>
      <c r="K249" t="s">
        <v>279</v>
      </c>
      <c r="L249" t="s">
        <v>430</v>
      </c>
      <c r="N249" t="s">
        <v>1854</v>
      </c>
      <c r="O249" t="s">
        <v>1166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8004-28-10-100</v>
      </c>
      <c r="B250">
        <f ca="1">MATCH(表_网址[[#This Row],[版层分类]],序列_版层分类,0)*1000+MATCH(表_网址[[#This Row],[首要关键词]],序列_首要关键词,0)</f>
        <v>8004</v>
      </c>
      <c r="C250">
        <f ca="1">IF(表_网址[[#This Row],[次要关键词]]="",10,MATCH(表_网址[[#This Row],[次要关键词]],序列_次要关键词,0)+10)</f>
        <v>28</v>
      </c>
      <c r="D250">
        <f>IF(表_网址[[#This Row],[重点关键词]]="",10,MATCH(表_网址[[#This Row],[重点关键词]],序列_重点关键词,0)+10)</f>
        <v>10</v>
      </c>
      <c r="E250">
        <f>IF(AND(表_网址[[#This Row],[首要关键词]]=K249,表_网址[[#This Row],[次要关键词]]=L249,表_网址[[#This Row],[重点关键词]]=M249),E249+1,IF(表_网址[[#This Row],[重点关键词]]="",100,101))</f>
        <v>100</v>
      </c>
      <c r="F250" t="s">
        <v>431</v>
      </c>
      <c r="G250" t="s">
        <v>432</v>
      </c>
      <c r="H250" t="s">
        <v>29</v>
      </c>
      <c r="I250" t="s">
        <v>433</v>
      </c>
      <c r="J250" t="s">
        <v>1827</v>
      </c>
      <c r="K250" t="s">
        <v>279</v>
      </c>
      <c r="L250" t="s">
        <v>434</v>
      </c>
      <c r="N250" t="s">
        <v>1854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8004-28-11-101</v>
      </c>
      <c r="B251">
        <f ca="1">MATCH(表_网址[[#This Row],[版层分类]],序列_版层分类,0)*1000+MATCH(表_网址[[#This Row],[首要关键词]],序列_首要关键词,0)</f>
        <v>8004</v>
      </c>
      <c r="C251">
        <f ca="1">IF(表_网址[[#This Row],[次要关键词]]="",10,MATCH(表_网址[[#This Row],[次要关键词]],序列_次要关键词,0)+10)</f>
        <v>28</v>
      </c>
      <c r="D251">
        <f ca="1">IF(表_网址[[#This Row],[重点关键词]]="",10,MATCH(表_网址[[#This Row],[重点关键词]],序列_重点关键词,0)+10)</f>
        <v>11</v>
      </c>
      <c r="E251">
        <f>IF(AND(表_网址[[#This Row],[首要关键词]]=K250,表_网址[[#This Row],[次要关键词]]=L250,表_网址[[#This Row],[重点关键词]]=M250),E250+1,IF(表_网址[[#This Row],[重点关键词]]="",100,101))</f>
        <v>101</v>
      </c>
      <c r="F251" t="s">
        <v>435</v>
      </c>
      <c r="G251" t="s">
        <v>436</v>
      </c>
      <c r="H251" t="s">
        <v>29</v>
      </c>
      <c r="I251" t="s">
        <v>437</v>
      </c>
      <c r="J251" t="s">
        <v>1827</v>
      </c>
      <c r="K251" t="s">
        <v>279</v>
      </c>
      <c r="L251" t="s">
        <v>434</v>
      </c>
      <c r="M251" t="s">
        <v>438</v>
      </c>
      <c r="N251" t="s">
        <v>1854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8004-29-10-100</v>
      </c>
      <c r="B252">
        <f ca="1">MATCH(表_网址[[#This Row],[版层分类]],序列_版层分类,0)*1000+MATCH(表_网址[[#This Row],[首要关键词]],序列_首要关键词,0)</f>
        <v>8004</v>
      </c>
      <c r="C252">
        <f ca="1">IF(表_网址[[#This Row],[次要关键词]]="",10,MATCH(表_网址[[#This Row],[次要关键词]],序列_次要关键词,0)+10)</f>
        <v>29</v>
      </c>
      <c r="D252">
        <f>IF(表_网址[[#This Row],[重点关键词]]="",10,MATCH(表_网址[[#This Row],[重点关键词]],序列_重点关键词,0)+10)</f>
        <v>10</v>
      </c>
      <c r="E252">
        <f>IF(AND(表_网址[[#This Row],[首要关键词]]=K251,表_网址[[#This Row],[次要关键词]]=L251,表_网址[[#This Row],[重点关键词]]=M251),E251+1,IF(表_网址[[#This Row],[重点关键词]]="",100,101))</f>
        <v>100</v>
      </c>
      <c r="F252" t="s">
        <v>439</v>
      </c>
      <c r="G252" t="s">
        <v>440</v>
      </c>
      <c r="H252" t="s">
        <v>29</v>
      </c>
      <c r="I252" t="s">
        <v>441</v>
      </c>
      <c r="J252" t="s">
        <v>1827</v>
      </c>
      <c r="K252" t="s">
        <v>279</v>
      </c>
      <c r="L252" t="s">
        <v>442</v>
      </c>
      <c r="N252" t="s">
        <v>1854</v>
      </c>
      <c r="O252" t="s">
        <v>1166</v>
      </c>
      <c r="Q252">
        <v>32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8004-29-11-101</v>
      </c>
      <c r="B253">
        <f ca="1">MATCH(表_网址[[#This Row],[版层分类]],序列_版层分类,0)*1000+MATCH(表_网址[[#This Row],[首要关键词]],序列_首要关键词,0)</f>
        <v>8004</v>
      </c>
      <c r="C253">
        <f ca="1">IF(表_网址[[#This Row],[次要关键词]]="",10,MATCH(表_网址[[#This Row],[次要关键词]],序列_次要关键词,0)+10)</f>
        <v>29</v>
      </c>
      <c r="D253">
        <f ca="1">IF(表_网址[[#This Row],[重点关键词]]="",10,MATCH(表_网址[[#This Row],[重点关键词]],序列_重点关键词,0)+10)</f>
        <v>11</v>
      </c>
      <c r="E253">
        <f>IF(AND(表_网址[[#This Row],[首要关键词]]=K252,表_网址[[#This Row],[次要关键词]]=L252,表_网址[[#This Row],[重点关键词]]=M252),E252+1,IF(表_网址[[#This Row],[重点关键词]]="",100,101))</f>
        <v>101</v>
      </c>
      <c r="F253" t="s">
        <v>443</v>
      </c>
      <c r="G253" t="s">
        <v>444</v>
      </c>
      <c r="H253" t="s">
        <v>29</v>
      </c>
      <c r="I253" t="s">
        <v>445</v>
      </c>
      <c r="J253" t="s">
        <v>1827</v>
      </c>
      <c r="K253" t="s">
        <v>279</v>
      </c>
      <c r="L253" t="s">
        <v>442</v>
      </c>
      <c r="M253" t="s">
        <v>446</v>
      </c>
      <c r="N253" t="s">
        <v>1854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8004-30-10-100</v>
      </c>
      <c r="B254">
        <f ca="1">MATCH(表_网址[[#This Row],[版层分类]],序列_版层分类,0)*1000+MATCH(表_网址[[#This Row],[首要关键词]],序列_首要关键词,0)</f>
        <v>8004</v>
      </c>
      <c r="C254">
        <f ca="1">IF(表_网址[[#This Row],[次要关键词]]="",10,MATCH(表_网址[[#This Row],[次要关键词]],序列_次要关键词,0)+10)</f>
        <v>30</v>
      </c>
      <c r="D254">
        <f>IF(表_网址[[#This Row],[重点关键词]]="",10,MATCH(表_网址[[#This Row],[重点关键词]],序列_重点关键词,0)+10)</f>
        <v>10</v>
      </c>
      <c r="E254">
        <f>IF(AND(表_网址[[#This Row],[首要关键词]]=K253,表_网址[[#This Row],[次要关键词]]=L253,表_网址[[#This Row],[重点关键词]]=M253),E253+1,IF(表_网址[[#This Row],[重点关键词]]="",100,101))</f>
        <v>100</v>
      </c>
      <c r="F254" t="s">
        <v>447</v>
      </c>
      <c r="G254" t="s">
        <v>448</v>
      </c>
      <c r="H254" t="s">
        <v>29</v>
      </c>
      <c r="I254" t="s">
        <v>449</v>
      </c>
      <c r="J254" t="s">
        <v>1827</v>
      </c>
      <c r="K254" t="s">
        <v>279</v>
      </c>
      <c r="L254" t="s">
        <v>450</v>
      </c>
      <c r="N254" t="s">
        <v>1854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8004-31-10-100</v>
      </c>
      <c r="B255">
        <f ca="1">MATCH(表_网址[[#This Row],[版层分类]],序列_版层分类,0)*1000+MATCH(表_网址[[#This Row],[首要关键词]],序列_首要关键词,0)</f>
        <v>8004</v>
      </c>
      <c r="C255">
        <f ca="1">IF(表_网址[[#This Row],[次要关键词]]="",10,MATCH(表_网址[[#This Row],[次要关键词]],序列_次要关键词,0)+10)</f>
        <v>31</v>
      </c>
      <c r="D255">
        <f>IF(表_网址[[#This Row],[重点关键词]]="",10,MATCH(表_网址[[#This Row],[重点关键词]],序列_重点关键词,0)+10)</f>
        <v>10</v>
      </c>
      <c r="E255">
        <f>IF(AND(表_网址[[#This Row],[首要关键词]]=K254,表_网址[[#This Row],[次要关键词]]=L254,表_网址[[#This Row],[重点关键词]]=M254),E254+1,IF(表_网址[[#This Row],[重点关键词]]="",100,101))</f>
        <v>100</v>
      </c>
      <c r="F255" t="s">
        <v>451</v>
      </c>
      <c r="G255" t="s">
        <v>452</v>
      </c>
      <c r="H255" t="s">
        <v>29</v>
      </c>
      <c r="I255" t="s">
        <v>453</v>
      </c>
      <c r="J255" t="s">
        <v>1827</v>
      </c>
      <c r="K255" t="s">
        <v>279</v>
      </c>
      <c r="L255" t="s">
        <v>454</v>
      </c>
      <c r="N255" t="s">
        <v>1854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8004-32-10-100</v>
      </c>
      <c r="B256">
        <f ca="1">MATCH(表_网址[[#This Row],[版层分类]],序列_版层分类,0)*1000+MATCH(表_网址[[#This Row],[首要关键词]],序列_首要关键词,0)</f>
        <v>8004</v>
      </c>
      <c r="C256">
        <f ca="1">IF(表_网址[[#This Row],[次要关键词]]="",10,MATCH(表_网址[[#This Row],[次要关键词]],序列_次要关键词,0)+10)</f>
        <v>32</v>
      </c>
      <c r="D256">
        <f>IF(表_网址[[#This Row],[重点关键词]]="",10,MATCH(表_网址[[#This Row],[重点关键词]],序列_重点关键词,0)+10)</f>
        <v>10</v>
      </c>
      <c r="E256">
        <f>IF(AND(表_网址[[#This Row],[首要关键词]]=K255,表_网址[[#This Row],[次要关键词]]=L255,表_网址[[#This Row],[重点关键词]]=M255),E255+1,IF(表_网址[[#This Row],[重点关键词]]="",100,101))</f>
        <v>100</v>
      </c>
      <c r="F256" t="s">
        <v>455</v>
      </c>
      <c r="G256" t="s">
        <v>456</v>
      </c>
      <c r="H256" t="s">
        <v>29</v>
      </c>
      <c r="I256" t="s">
        <v>457</v>
      </c>
      <c r="J256" t="s">
        <v>1827</v>
      </c>
      <c r="K256" t="s">
        <v>279</v>
      </c>
      <c r="L256" t="s">
        <v>458</v>
      </c>
      <c r="N256" t="s">
        <v>1854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8004-33-10-100</v>
      </c>
      <c r="B257">
        <f ca="1">MATCH(表_网址[[#This Row],[版层分类]],序列_版层分类,0)*1000+MATCH(表_网址[[#This Row],[首要关键词]],序列_首要关键词,0)</f>
        <v>8004</v>
      </c>
      <c r="C257">
        <f ca="1">IF(表_网址[[#This Row],[次要关键词]]="",10,MATCH(表_网址[[#This Row],[次要关键词]],序列_次要关键词,0)+10)</f>
        <v>33</v>
      </c>
      <c r="D257">
        <f>IF(表_网址[[#This Row],[重点关键词]]="",10,MATCH(表_网址[[#This Row],[重点关键词]],序列_重点关键词,0)+10)</f>
        <v>10</v>
      </c>
      <c r="E257">
        <f>IF(AND(表_网址[[#This Row],[首要关键词]]=K256,表_网址[[#This Row],[次要关键词]]=L256,表_网址[[#This Row],[重点关键词]]=M256),E256+1,IF(表_网址[[#This Row],[重点关键词]]="",100,101))</f>
        <v>100</v>
      </c>
      <c r="F257" t="s">
        <v>459</v>
      </c>
      <c r="G257" t="s">
        <v>460</v>
      </c>
      <c r="H257" t="s">
        <v>29</v>
      </c>
      <c r="I257" t="s">
        <v>461</v>
      </c>
      <c r="J257" t="s">
        <v>1827</v>
      </c>
      <c r="K257" t="s">
        <v>279</v>
      </c>
      <c r="L257" t="s">
        <v>462</v>
      </c>
      <c r="N257" t="s">
        <v>1854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8004-34-10-100</v>
      </c>
      <c r="B258">
        <f ca="1">MATCH(表_网址[[#This Row],[版层分类]],序列_版层分类,0)*1000+MATCH(表_网址[[#This Row],[首要关键词]],序列_首要关键词,0)</f>
        <v>8004</v>
      </c>
      <c r="C258">
        <f ca="1">IF(表_网址[[#This Row],[次要关键词]]="",10,MATCH(表_网址[[#This Row],[次要关键词]],序列_次要关键词,0)+10)</f>
        <v>34</v>
      </c>
      <c r="D258">
        <f>IF(表_网址[[#This Row],[重点关键词]]="",10,MATCH(表_网址[[#This Row],[重点关键词]],序列_重点关键词,0)+10)</f>
        <v>10</v>
      </c>
      <c r="E258">
        <f>IF(AND(表_网址[[#This Row],[首要关键词]]=K257,表_网址[[#This Row],[次要关键词]]=L257,表_网址[[#This Row],[重点关键词]]=M257),E257+1,IF(表_网址[[#This Row],[重点关键词]]="",100,101))</f>
        <v>100</v>
      </c>
      <c r="F258" t="s">
        <v>463</v>
      </c>
      <c r="G258" t="s">
        <v>464</v>
      </c>
      <c r="H258" t="s">
        <v>29</v>
      </c>
      <c r="I258" t="s">
        <v>465</v>
      </c>
      <c r="J258" t="s">
        <v>1827</v>
      </c>
      <c r="K258" t="s">
        <v>279</v>
      </c>
      <c r="L258" t="s">
        <v>466</v>
      </c>
      <c r="N258" t="s">
        <v>1854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8004-35-10-100</v>
      </c>
      <c r="B259">
        <f ca="1">MATCH(表_网址[[#This Row],[版层分类]],序列_版层分类,0)*1000+MATCH(表_网址[[#This Row],[首要关键词]],序列_首要关键词,0)</f>
        <v>8004</v>
      </c>
      <c r="C259">
        <f ca="1">IF(表_网址[[#This Row],[次要关键词]]="",10,MATCH(表_网址[[#This Row],[次要关键词]],序列_次要关键词,0)+10)</f>
        <v>35</v>
      </c>
      <c r="D259">
        <f>IF(表_网址[[#This Row],[重点关键词]]="",10,MATCH(表_网址[[#This Row],[重点关键词]],序列_重点关键词,0)+10)</f>
        <v>10</v>
      </c>
      <c r="E259">
        <f>IF(AND(表_网址[[#This Row],[首要关键词]]=K258,表_网址[[#This Row],[次要关键词]]=L258,表_网址[[#This Row],[重点关键词]]=M258),E258+1,IF(表_网址[[#This Row],[重点关键词]]="",100,101))</f>
        <v>100</v>
      </c>
      <c r="F259" t="s">
        <v>467</v>
      </c>
      <c r="G259" t="s">
        <v>468</v>
      </c>
      <c r="H259" t="s">
        <v>29</v>
      </c>
      <c r="I259" t="s">
        <v>469</v>
      </c>
      <c r="J259" t="s">
        <v>1827</v>
      </c>
      <c r="K259" t="s">
        <v>279</v>
      </c>
      <c r="L259" t="s">
        <v>470</v>
      </c>
      <c r="N259" t="s">
        <v>1854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8004-36-10-100</v>
      </c>
      <c r="B260">
        <f ca="1">MATCH(表_网址[[#This Row],[版层分类]],序列_版层分类,0)*1000+MATCH(表_网址[[#This Row],[首要关键词]],序列_首要关键词,0)</f>
        <v>8004</v>
      </c>
      <c r="C260">
        <f ca="1">IF(表_网址[[#This Row],[次要关键词]]="",10,MATCH(表_网址[[#This Row],[次要关键词]],序列_次要关键词,0)+10)</f>
        <v>36</v>
      </c>
      <c r="D260">
        <f>IF(表_网址[[#This Row],[重点关键词]]="",10,MATCH(表_网址[[#This Row],[重点关键词]],序列_重点关键词,0)+10)</f>
        <v>10</v>
      </c>
      <c r="E260">
        <f>IF(AND(表_网址[[#This Row],[首要关键词]]=K259,表_网址[[#This Row],[次要关键词]]=L259,表_网址[[#This Row],[重点关键词]]=M259),E259+1,IF(表_网址[[#This Row],[重点关键词]]="",100,101))</f>
        <v>100</v>
      </c>
      <c r="F260" t="s">
        <v>471</v>
      </c>
      <c r="G260" t="s">
        <v>472</v>
      </c>
      <c r="H260" t="s">
        <v>29</v>
      </c>
      <c r="I260" t="s">
        <v>473</v>
      </c>
      <c r="J260" t="s">
        <v>1827</v>
      </c>
      <c r="K260" t="s">
        <v>279</v>
      </c>
      <c r="L260" t="s">
        <v>474</v>
      </c>
      <c r="N260" t="s">
        <v>1854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8004-37-10-100</v>
      </c>
      <c r="B261">
        <f ca="1">MATCH(表_网址[[#This Row],[版层分类]],序列_版层分类,0)*1000+MATCH(表_网址[[#This Row],[首要关键词]],序列_首要关键词,0)</f>
        <v>8004</v>
      </c>
      <c r="C261">
        <f ca="1">IF(表_网址[[#This Row],[次要关键词]]="",10,MATCH(表_网址[[#This Row],[次要关键词]],序列_次要关键词,0)+10)</f>
        <v>37</v>
      </c>
      <c r="D261">
        <f>IF(表_网址[[#This Row],[重点关键词]]="",10,MATCH(表_网址[[#This Row],[重点关键词]],序列_重点关键词,0)+10)</f>
        <v>10</v>
      </c>
      <c r="E261">
        <f>IF(AND(表_网址[[#This Row],[首要关键词]]=K260,表_网址[[#This Row],[次要关键词]]=L260,表_网址[[#This Row],[重点关键词]]=M260),E260+1,IF(表_网址[[#This Row],[重点关键词]]="",100,101))</f>
        <v>100</v>
      </c>
      <c r="F261" t="s">
        <v>475</v>
      </c>
      <c r="G261" t="s">
        <v>476</v>
      </c>
      <c r="H261" t="s">
        <v>29</v>
      </c>
      <c r="I261" t="s">
        <v>477</v>
      </c>
      <c r="J261" t="s">
        <v>1827</v>
      </c>
      <c r="K261" t="s">
        <v>279</v>
      </c>
      <c r="L261" t="s">
        <v>478</v>
      </c>
      <c r="N261" t="s">
        <v>1854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8004-38-10-100</v>
      </c>
      <c r="B262">
        <f ca="1">MATCH(表_网址[[#This Row],[版层分类]],序列_版层分类,0)*1000+MATCH(表_网址[[#This Row],[首要关键词]],序列_首要关键词,0)</f>
        <v>8004</v>
      </c>
      <c r="C262">
        <f ca="1">IF(表_网址[[#This Row],[次要关键词]]="",10,MATCH(表_网址[[#This Row],[次要关键词]],序列_次要关键词,0)+10)</f>
        <v>38</v>
      </c>
      <c r="D262">
        <f>IF(表_网址[[#This Row],[重点关键词]]="",10,MATCH(表_网址[[#This Row],[重点关键词]],序列_重点关键词,0)+10)</f>
        <v>10</v>
      </c>
      <c r="E262">
        <f>IF(AND(表_网址[[#This Row],[首要关键词]]=K261,表_网址[[#This Row],[次要关键词]]=L261,表_网址[[#This Row],[重点关键词]]=M261),E261+1,IF(表_网址[[#This Row],[重点关键词]]="",100,101))</f>
        <v>100</v>
      </c>
      <c r="F262" t="s">
        <v>479</v>
      </c>
      <c r="G262" t="s">
        <v>480</v>
      </c>
      <c r="H262" t="s">
        <v>29</v>
      </c>
      <c r="I262" t="s">
        <v>481</v>
      </c>
      <c r="J262" t="s">
        <v>1827</v>
      </c>
      <c r="K262" t="s">
        <v>279</v>
      </c>
      <c r="L262" t="s">
        <v>482</v>
      </c>
      <c r="N262" t="s">
        <v>1854</v>
      </c>
      <c r="Q262">
        <v>32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8004-39-10-100</v>
      </c>
      <c r="B263">
        <f ca="1">MATCH(表_网址[[#This Row],[版层分类]],序列_版层分类,0)*1000+MATCH(表_网址[[#This Row],[首要关键词]],序列_首要关键词,0)</f>
        <v>8004</v>
      </c>
      <c r="C263">
        <f ca="1">IF(表_网址[[#This Row],[次要关键词]]="",10,MATCH(表_网址[[#This Row],[次要关键词]],序列_次要关键词,0)+10)</f>
        <v>39</v>
      </c>
      <c r="D263">
        <f>IF(表_网址[[#This Row],[重点关键词]]="",10,MATCH(表_网址[[#This Row],[重点关键词]],序列_重点关键词,0)+10)</f>
        <v>10</v>
      </c>
      <c r="E263">
        <f>IF(AND(表_网址[[#This Row],[首要关键词]]=K262,表_网址[[#This Row],[次要关键词]]=L262,表_网址[[#This Row],[重点关键词]]=M262),E262+1,IF(表_网址[[#This Row],[重点关键词]]="",100,101))</f>
        <v>100</v>
      </c>
      <c r="F263" t="s">
        <v>483</v>
      </c>
      <c r="G263" t="s">
        <v>484</v>
      </c>
      <c r="H263" t="s">
        <v>29</v>
      </c>
      <c r="I263" t="s">
        <v>485</v>
      </c>
      <c r="J263" t="s">
        <v>1827</v>
      </c>
      <c r="K263" t="s">
        <v>279</v>
      </c>
      <c r="L263" t="s">
        <v>486</v>
      </c>
      <c r="N263" t="s">
        <v>1854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8004-40-10-100</v>
      </c>
      <c r="B264">
        <f ca="1">MATCH(表_网址[[#This Row],[版层分类]],序列_版层分类,0)*1000+MATCH(表_网址[[#This Row],[首要关键词]],序列_首要关键词,0)</f>
        <v>8004</v>
      </c>
      <c r="C264">
        <f ca="1">IF(表_网址[[#This Row],[次要关键词]]="",10,MATCH(表_网址[[#This Row],[次要关键词]],序列_次要关键词,0)+10)</f>
        <v>40</v>
      </c>
      <c r="D264">
        <f>IF(表_网址[[#This Row],[重点关键词]]="",10,MATCH(表_网址[[#This Row],[重点关键词]],序列_重点关键词,0)+10)</f>
        <v>10</v>
      </c>
      <c r="E264">
        <f>IF(AND(表_网址[[#This Row],[首要关键词]]=K263,表_网址[[#This Row],[次要关键词]]=L263,表_网址[[#This Row],[重点关键词]]=M263),E263+1,IF(表_网址[[#This Row],[重点关键词]]="",100,101))</f>
        <v>100</v>
      </c>
      <c r="F264" t="s">
        <v>487</v>
      </c>
      <c r="G264" t="s">
        <v>488</v>
      </c>
      <c r="H264" t="s">
        <v>29</v>
      </c>
      <c r="I264" t="s">
        <v>489</v>
      </c>
      <c r="J264" t="s">
        <v>1827</v>
      </c>
      <c r="K264" t="s">
        <v>279</v>
      </c>
      <c r="L264" t="s">
        <v>490</v>
      </c>
      <c r="N264" t="s">
        <v>1854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8004-41-10-100</v>
      </c>
      <c r="B265">
        <f ca="1">MATCH(表_网址[[#This Row],[版层分类]],序列_版层分类,0)*1000+MATCH(表_网址[[#This Row],[首要关键词]],序列_首要关键词,0)</f>
        <v>8004</v>
      </c>
      <c r="C265">
        <f ca="1">IF(表_网址[[#This Row],[次要关键词]]="",10,MATCH(表_网址[[#This Row],[次要关键词]],序列_次要关键词,0)+10)</f>
        <v>41</v>
      </c>
      <c r="D265">
        <f>IF(表_网址[[#This Row],[重点关键词]]="",10,MATCH(表_网址[[#This Row],[重点关键词]],序列_重点关键词,0)+10)</f>
        <v>10</v>
      </c>
      <c r="E265">
        <f>IF(AND(表_网址[[#This Row],[首要关键词]]=K264,表_网址[[#This Row],[次要关键词]]=L264,表_网址[[#This Row],[重点关键词]]=M264),E264+1,IF(表_网址[[#This Row],[重点关键词]]="",100,101))</f>
        <v>100</v>
      </c>
      <c r="F265" t="s">
        <v>491</v>
      </c>
      <c r="G265" t="s">
        <v>492</v>
      </c>
      <c r="H265" t="s">
        <v>29</v>
      </c>
      <c r="I265" t="s">
        <v>493</v>
      </c>
      <c r="J265" t="s">
        <v>1827</v>
      </c>
      <c r="K265" t="s">
        <v>279</v>
      </c>
      <c r="L265" t="s">
        <v>494</v>
      </c>
      <c r="N265" t="s">
        <v>1854</v>
      </c>
      <c r="Q265">
        <v>32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8005-10-10-100</v>
      </c>
      <c r="B266">
        <f ca="1">MATCH(表_网址[[#This Row],[版层分类]],序列_版层分类,0)*1000+MATCH(表_网址[[#This Row],[首要关键词]],序列_首要关键词,0)</f>
        <v>8005</v>
      </c>
      <c r="C266">
        <f>IF(表_网址[[#This Row],[次要关键词]]="",10,MATCH(表_网址[[#This Row],[次要关键词]],序列_次要关键词,0)+10)</f>
        <v>10</v>
      </c>
      <c r="D266">
        <f>IF(表_网址[[#This Row],[重点关键词]]="",10,MATCH(表_网址[[#This Row],[重点关键词]],序列_重点关键词,0)+10)</f>
        <v>10</v>
      </c>
      <c r="E266">
        <f>IF(AND(表_网址[[#This Row],[首要关键词]]=K265,表_网址[[#This Row],[次要关键词]]=L265,表_网址[[#This Row],[重点关键词]]=M265),E265+1,IF(表_网址[[#This Row],[重点关键词]]="",100,101))</f>
        <v>100</v>
      </c>
      <c r="F266" t="s">
        <v>29</v>
      </c>
      <c r="J266" t="s">
        <v>1827</v>
      </c>
      <c r="K266" t="s">
        <v>1637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8005-11-10-100</v>
      </c>
      <c r="B267">
        <f ca="1">MATCH(表_网址[[#This Row],[版层分类]],序列_版层分类,0)*1000+MATCH(表_网址[[#This Row],[首要关键词]],序列_首要关键词,0)</f>
        <v>8005</v>
      </c>
      <c r="C267">
        <f ca="1">IF(表_网址[[#This Row],[次要关键词]]="",10,MATCH(表_网址[[#This Row],[次要关键词]],序列_次要关键词,0)+10)</f>
        <v>11</v>
      </c>
      <c r="D267">
        <f>IF(表_网址[[#This Row],[重点关键词]]="",10,MATCH(表_网址[[#This Row],[重点关键词]],序列_重点关键词,0)+10)</f>
        <v>10</v>
      </c>
      <c r="E267">
        <f>IF(AND(表_网址[[#This Row],[首要关键词]]=K266,表_网址[[#This Row],[次要关键词]]=L266,表_网址[[#This Row],[重点关键词]]=M266),E266+1,IF(表_网址[[#This Row],[重点关键词]]="",100,101))</f>
        <v>100</v>
      </c>
      <c r="F267" t="s">
        <v>1656</v>
      </c>
      <c r="G267" t="s">
        <v>1657</v>
      </c>
      <c r="H267" t="s">
        <v>1658</v>
      </c>
      <c r="J267" t="s">
        <v>1827</v>
      </c>
      <c r="K267" t="s">
        <v>1637</v>
      </c>
      <c r="L267" t="s">
        <v>1658</v>
      </c>
      <c r="N267" t="s">
        <v>1854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8005-12-10-100</v>
      </c>
      <c r="B268">
        <f ca="1">MATCH(表_网址[[#This Row],[版层分类]],序列_版层分类,0)*1000+MATCH(表_网址[[#This Row],[首要关键词]],序列_首要关键词,0)</f>
        <v>8005</v>
      </c>
      <c r="C268">
        <f ca="1">IF(表_网址[[#This Row],[次要关键词]]="",10,MATCH(表_网址[[#This Row],[次要关键词]],序列_次要关键词,0)+10)</f>
        <v>12</v>
      </c>
      <c r="D268">
        <f>IF(表_网址[[#This Row],[重点关键词]]="",10,MATCH(表_网址[[#This Row],[重点关键词]],序列_重点关键词,0)+10)</f>
        <v>10</v>
      </c>
      <c r="E268">
        <f>IF(AND(表_网址[[#This Row],[首要关键词]]=K267,表_网址[[#This Row],[次要关键词]]=L267,表_网址[[#This Row],[重点关键词]]=M267),E267+1,IF(表_网址[[#This Row],[重点关键词]]="",100,101))</f>
        <v>100</v>
      </c>
      <c r="F268" t="s">
        <v>1647</v>
      </c>
      <c r="G268" t="s">
        <v>1648</v>
      </c>
      <c r="H268" t="s">
        <v>1649</v>
      </c>
      <c r="J268" t="s">
        <v>1827</v>
      </c>
      <c r="K268" t="s">
        <v>1637</v>
      </c>
      <c r="L268" t="s">
        <v>1649</v>
      </c>
      <c r="N268" t="s">
        <v>1854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8005-13-10-100</v>
      </c>
      <c r="B269">
        <f ca="1">MATCH(表_网址[[#This Row],[版层分类]],序列_版层分类,0)*1000+MATCH(表_网址[[#This Row],[首要关键词]],序列_首要关键词,0)</f>
        <v>8005</v>
      </c>
      <c r="C269">
        <f ca="1">IF(表_网址[[#This Row],[次要关键词]]="",10,MATCH(表_网址[[#This Row],[次要关键词]],序列_次要关键词,0)+10)</f>
        <v>13</v>
      </c>
      <c r="D269">
        <f>IF(表_网址[[#This Row],[重点关键词]]="",10,MATCH(表_网址[[#This Row],[重点关键词]],序列_重点关键词,0)+10)</f>
        <v>10</v>
      </c>
      <c r="E269">
        <f>IF(AND(表_网址[[#This Row],[首要关键词]]=K268,表_网址[[#This Row],[次要关键词]]=L268,表_网址[[#This Row],[重点关键词]]=M268),E268+1,IF(表_网址[[#This Row],[重点关键词]]="",100,101))</f>
        <v>100</v>
      </c>
      <c r="F269" t="s">
        <v>1653</v>
      </c>
      <c r="G269" t="s">
        <v>1654</v>
      </c>
      <c r="H269" t="s">
        <v>1655</v>
      </c>
      <c r="J269" t="s">
        <v>1827</v>
      </c>
      <c r="K269" t="s">
        <v>1637</v>
      </c>
      <c r="L269" t="s">
        <v>1655</v>
      </c>
      <c r="N269" t="s">
        <v>1854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8005-14-10-100</v>
      </c>
      <c r="B270">
        <f ca="1">MATCH(表_网址[[#This Row],[版层分类]],序列_版层分类,0)*1000+MATCH(表_网址[[#This Row],[首要关键词]],序列_首要关键词,0)</f>
        <v>8005</v>
      </c>
      <c r="C270">
        <f ca="1">IF(表_网址[[#This Row],[次要关键词]]="",10,MATCH(表_网址[[#This Row],[次要关键词]],序列_次要关键词,0)+10)</f>
        <v>14</v>
      </c>
      <c r="D270">
        <f>IF(表_网址[[#This Row],[重点关键词]]="",10,MATCH(表_网址[[#This Row],[重点关键词]],序列_重点关键词,0)+10)</f>
        <v>10</v>
      </c>
      <c r="E270">
        <f>IF(AND(表_网址[[#This Row],[首要关键词]]=K269,表_网址[[#This Row],[次要关键词]]=L269,表_网址[[#This Row],[重点关键词]]=M269),E269+1,IF(表_网址[[#This Row],[重点关键词]]="",100,101))</f>
        <v>100</v>
      </c>
      <c r="F270" t="s">
        <v>1650</v>
      </c>
      <c r="G270" t="s">
        <v>1651</v>
      </c>
      <c r="H270" t="s">
        <v>1652</v>
      </c>
      <c r="J270" t="s">
        <v>1827</v>
      </c>
      <c r="K270" t="s">
        <v>1637</v>
      </c>
      <c r="L270" t="s">
        <v>1652</v>
      </c>
      <c r="N270" t="s">
        <v>1854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8005-15-10-100</v>
      </c>
      <c r="B271">
        <f ca="1">MATCH(表_网址[[#This Row],[版层分类]],序列_版层分类,0)*1000+MATCH(表_网址[[#This Row],[首要关键词]],序列_首要关键词,0)</f>
        <v>8005</v>
      </c>
      <c r="C271">
        <f ca="1">IF(表_网址[[#This Row],[次要关键词]]="",10,MATCH(表_网址[[#This Row],[次要关键词]],序列_次要关键词,0)+10)</f>
        <v>15</v>
      </c>
      <c r="D271">
        <f>IF(表_网址[[#This Row],[重点关键词]]="",10,MATCH(表_网址[[#This Row],[重点关键词]],序列_重点关键词,0)+10)</f>
        <v>10</v>
      </c>
      <c r="E271">
        <f>IF(AND(表_网址[[#This Row],[首要关键词]]=K270,表_网址[[#This Row],[次要关键词]]=L270,表_网址[[#This Row],[重点关键词]]=M270),E270+1,IF(表_网址[[#This Row],[重点关键词]]="",100,101))</f>
        <v>100</v>
      </c>
      <c r="F271" t="s">
        <v>1644</v>
      </c>
      <c r="G271" t="s">
        <v>1645</v>
      </c>
      <c r="H271" t="s">
        <v>1646</v>
      </c>
      <c r="J271" t="s">
        <v>1827</v>
      </c>
      <c r="K271" t="s">
        <v>1637</v>
      </c>
      <c r="L271" t="s">
        <v>1646</v>
      </c>
      <c r="N271" t="s">
        <v>1854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8005-16-10-100</v>
      </c>
      <c r="B272">
        <f ca="1">MATCH(表_网址[[#This Row],[版层分类]],序列_版层分类,0)*1000+MATCH(表_网址[[#This Row],[首要关键词]],序列_首要关键词,0)</f>
        <v>8005</v>
      </c>
      <c r="C272">
        <f ca="1">IF(表_网址[[#This Row],[次要关键词]]="",10,MATCH(表_网址[[#This Row],[次要关键词]],序列_次要关键词,0)+10)</f>
        <v>16</v>
      </c>
      <c r="D272">
        <f>IF(表_网址[[#This Row],[重点关键词]]="",10,MATCH(表_网址[[#This Row],[重点关键词]],序列_重点关键词,0)+10)</f>
        <v>10</v>
      </c>
      <c r="E272">
        <f>IF(AND(表_网址[[#This Row],[首要关键词]]=K271,表_网址[[#This Row],[次要关键词]]=L271,表_网址[[#This Row],[重点关键词]]=M271),E271+1,IF(表_网址[[#This Row],[重点关键词]]="",100,101))</f>
        <v>100</v>
      </c>
      <c r="F272" t="s">
        <v>1638</v>
      </c>
      <c r="G272" t="s">
        <v>1639</v>
      </c>
      <c r="H272" t="s">
        <v>1866</v>
      </c>
      <c r="J272" t="s">
        <v>1827</v>
      </c>
      <c r="K272" t="s">
        <v>1637</v>
      </c>
      <c r="L272" t="s">
        <v>1640</v>
      </c>
      <c r="N272" t="s">
        <v>1854</v>
      </c>
    </row>
    <row r="273" spans="1:19" x14ac:dyDescent="0.2">
      <c r="A273" t="str">
        <f ca="1">表_网址[[#This Row],[1级]]&amp;"-"&amp;表_网址[[#This Row],[2级]]&amp;"-"&amp;表_网址[[#This Row],[3级]]&amp;"-"&amp;表_网址[[#This Row],[级内]]</f>
        <v>8005-17-10-100</v>
      </c>
      <c r="B273">
        <f ca="1">MATCH(表_网址[[#This Row],[版层分类]],序列_版层分类,0)*1000+MATCH(表_网址[[#This Row],[首要关键词]],序列_首要关键词,0)</f>
        <v>8005</v>
      </c>
      <c r="C273">
        <f ca="1">IF(表_网址[[#This Row],[次要关键词]]="",10,MATCH(表_网址[[#This Row],[次要关键词]],序列_次要关键词,0)+10)</f>
        <v>17</v>
      </c>
      <c r="D273">
        <f>IF(表_网址[[#This Row],[重点关键词]]="",10,MATCH(表_网址[[#This Row],[重点关键词]],序列_重点关键词,0)+10)</f>
        <v>10</v>
      </c>
      <c r="E273">
        <f>IF(AND(表_网址[[#This Row],[首要关键词]]=K272,表_网址[[#This Row],[次要关键词]]=L272,表_网址[[#This Row],[重点关键词]]=M272),E272+1,IF(表_网址[[#This Row],[重点关键词]]="",100,101))</f>
        <v>100</v>
      </c>
      <c r="F273" t="s">
        <v>1659</v>
      </c>
      <c r="G273" t="s">
        <v>1660</v>
      </c>
      <c r="H273" t="s">
        <v>1866</v>
      </c>
      <c r="J273" t="s">
        <v>1827</v>
      </c>
      <c r="K273" t="s">
        <v>1637</v>
      </c>
      <c r="L273" t="s">
        <v>1659</v>
      </c>
      <c r="N273" t="s">
        <v>1854</v>
      </c>
    </row>
    <row r="274" spans="1:19" x14ac:dyDescent="0.2">
      <c r="A274" t="str">
        <f ca="1">表_网址[[#This Row],[1级]]&amp;"-"&amp;表_网址[[#This Row],[2级]]&amp;"-"&amp;表_网址[[#This Row],[3级]]&amp;"-"&amp;表_网址[[#This Row],[级内]]</f>
        <v>8005-18-10-100</v>
      </c>
      <c r="B274">
        <f ca="1">MATCH(表_网址[[#This Row],[版层分类]],序列_版层分类,0)*1000+MATCH(表_网址[[#This Row],[首要关键词]],序列_首要关键词,0)</f>
        <v>8005</v>
      </c>
      <c r="C274">
        <f ca="1">IF(表_网址[[#This Row],[次要关键词]]="",10,MATCH(表_网址[[#This Row],[次要关键词]],序列_次要关键词,0)+10)</f>
        <v>18</v>
      </c>
      <c r="D274">
        <f>IF(表_网址[[#This Row],[重点关键词]]="",10,MATCH(表_网址[[#This Row],[重点关键词]],序列_重点关键词,0)+10)</f>
        <v>10</v>
      </c>
      <c r="E274">
        <f>IF(AND(表_网址[[#This Row],[首要关键词]]=K273,表_网址[[#This Row],[次要关键词]]=L273,表_网址[[#This Row],[重点关键词]]=M273),E273+1,IF(表_网址[[#This Row],[重点关键词]]="",100,101))</f>
        <v>100</v>
      </c>
      <c r="F274" t="s">
        <v>1641</v>
      </c>
      <c r="G274" t="s">
        <v>1642</v>
      </c>
      <c r="H274" t="s">
        <v>1643</v>
      </c>
      <c r="J274" t="s">
        <v>1827</v>
      </c>
      <c r="K274" t="s">
        <v>1637</v>
      </c>
      <c r="L274" t="s">
        <v>1643</v>
      </c>
      <c r="N274" t="s">
        <v>1854</v>
      </c>
    </row>
    <row r="275" spans="1:19" x14ac:dyDescent="0.2">
      <c r="A275" t="str">
        <f ca="1">表_网址[[#This Row],[1级]]&amp;"-"&amp;表_网址[[#This Row],[2级]]&amp;"-"&amp;表_网址[[#This Row],[3级]]&amp;"-"&amp;表_网址[[#This Row],[级内]]</f>
        <v>8006-10-10-100</v>
      </c>
      <c r="B275">
        <f ca="1">MATCH(表_网址[[#This Row],[版层分类]],序列_版层分类,0)*1000+MATCH(表_网址[[#This Row],[首要关键词]],序列_首要关键词,0)</f>
        <v>8006</v>
      </c>
      <c r="C275">
        <f>IF(表_网址[[#This Row],[次要关键词]]="",10,MATCH(表_网址[[#This Row],[次要关键词]],序列_次要关键词,0)+10)</f>
        <v>10</v>
      </c>
      <c r="D275">
        <f>IF(表_网址[[#This Row],[重点关键词]]="",10,MATCH(表_网址[[#This Row],[重点关键词]],序列_重点关键词,0)+10)</f>
        <v>10</v>
      </c>
      <c r="E275">
        <f>IF(AND(表_网址[[#This Row],[首要关键词]]=K274,表_网址[[#This Row],[次要关键词]]=L274,表_网址[[#This Row],[重点关键词]]=M274),E274+1,IF(表_网址[[#This Row],[重点关键词]]="",100,101))</f>
        <v>100</v>
      </c>
      <c r="F275" t="s">
        <v>495</v>
      </c>
      <c r="G275" t="s">
        <v>496</v>
      </c>
      <c r="H275" t="s">
        <v>29</v>
      </c>
      <c r="I275" t="s">
        <v>497</v>
      </c>
      <c r="J275" t="s">
        <v>1827</v>
      </c>
      <c r="K275" t="s">
        <v>1855</v>
      </c>
      <c r="N275" t="s">
        <v>1854</v>
      </c>
      <c r="O275" t="s">
        <v>1166</v>
      </c>
      <c r="Q275">
        <v>64</v>
      </c>
    </row>
    <row r="276" spans="1:19" x14ac:dyDescent="0.2">
      <c r="A276" t="str">
        <f ca="1">表_网址[[#This Row],[1级]]&amp;"-"&amp;表_网址[[#This Row],[2级]]&amp;"-"&amp;表_网址[[#This Row],[3级]]&amp;"-"&amp;表_网址[[#This Row],[级内]]</f>
        <v>8006-11-10-100</v>
      </c>
      <c r="B276">
        <f ca="1">MATCH(表_网址[[#This Row],[版层分类]],序列_版层分类,0)*1000+MATCH(表_网址[[#This Row],[首要关键词]],序列_首要关键词,0)</f>
        <v>8006</v>
      </c>
      <c r="C276">
        <f ca="1">IF(表_网址[[#This Row],[次要关键词]]="",10,MATCH(表_网址[[#This Row],[次要关键词]],序列_次要关键词,0)+10)</f>
        <v>11</v>
      </c>
      <c r="D276">
        <f>IF(表_网址[[#This Row],[重点关键词]]="",10,MATCH(表_网址[[#This Row],[重点关键词]],序列_重点关键词,0)+10)</f>
        <v>10</v>
      </c>
      <c r="E276">
        <f>IF(AND(表_网址[[#This Row],[首要关键词]]=K275,表_网址[[#This Row],[次要关键词]]=L275,表_网址[[#This Row],[重点关键词]]=M275),E275+1,IF(表_网址[[#This Row],[重点关键词]]="",100,101))</f>
        <v>100</v>
      </c>
      <c r="F276" t="s">
        <v>499</v>
      </c>
      <c r="G276" t="s">
        <v>500</v>
      </c>
      <c r="H276" t="s">
        <v>29</v>
      </c>
      <c r="I276" t="s">
        <v>501</v>
      </c>
      <c r="J276" t="s">
        <v>1827</v>
      </c>
      <c r="K276" t="s">
        <v>1855</v>
      </c>
      <c r="L276" t="s">
        <v>1796</v>
      </c>
      <c r="N276" t="s">
        <v>1854</v>
      </c>
      <c r="O276" t="s">
        <v>1166</v>
      </c>
      <c r="Q276">
        <v>32</v>
      </c>
    </row>
    <row r="277" spans="1:19" x14ac:dyDescent="0.2">
      <c r="A277" t="str">
        <f ca="1">表_网址[[#This Row],[1级]]&amp;"-"&amp;表_网址[[#This Row],[2级]]&amp;"-"&amp;表_网址[[#This Row],[3级]]&amp;"-"&amp;表_网址[[#This Row],[级内]]</f>
        <v>8006-11-11-101</v>
      </c>
      <c r="B277">
        <f ca="1">MATCH(表_网址[[#This Row],[版层分类]],序列_版层分类,0)*1000+MATCH(表_网址[[#This Row],[首要关键词]],序列_首要关键词,0)</f>
        <v>8006</v>
      </c>
      <c r="C277">
        <f ca="1">IF(表_网址[[#This Row],[次要关键词]]="",10,MATCH(表_网址[[#This Row],[次要关键词]],序列_次要关键词,0)+10)</f>
        <v>11</v>
      </c>
      <c r="D277">
        <f ca="1">IF(表_网址[[#This Row],[重点关键词]]="",10,MATCH(表_网址[[#This Row],[重点关键词]],序列_重点关键词,0)+10)</f>
        <v>11</v>
      </c>
      <c r="E277">
        <f>IF(AND(表_网址[[#This Row],[首要关键词]]=K276,表_网址[[#This Row],[次要关键词]]=L276,表_网址[[#This Row],[重点关键词]]=M276),E276+1,IF(表_网址[[#This Row],[重点关键词]]="",100,101))</f>
        <v>101</v>
      </c>
      <c r="F277" t="s">
        <v>507</v>
      </c>
      <c r="G277" t="s">
        <v>508</v>
      </c>
      <c r="H277" t="s">
        <v>29</v>
      </c>
      <c r="I277" t="s">
        <v>509</v>
      </c>
      <c r="J277" t="s">
        <v>1827</v>
      </c>
      <c r="K277" t="s">
        <v>1855</v>
      </c>
      <c r="L277" t="s">
        <v>1796</v>
      </c>
      <c r="M277" t="s">
        <v>502</v>
      </c>
      <c r="N277" t="s">
        <v>1854</v>
      </c>
      <c r="Q277">
        <v>16</v>
      </c>
      <c r="R277" t="s">
        <v>1832</v>
      </c>
      <c r="S277" t="s">
        <v>1836</v>
      </c>
    </row>
    <row r="278" spans="1:19" x14ac:dyDescent="0.2">
      <c r="A278" t="str">
        <f ca="1">表_网址[[#This Row],[1级]]&amp;"-"&amp;表_网址[[#This Row],[2级]]&amp;"-"&amp;表_网址[[#This Row],[3级]]&amp;"-"&amp;表_网址[[#This Row],[级内]]</f>
        <v>8006-11-11-102</v>
      </c>
      <c r="B278">
        <f ca="1">MATCH(表_网址[[#This Row],[版层分类]],序列_版层分类,0)*1000+MATCH(表_网址[[#This Row],[首要关键词]],序列_首要关键词,0)</f>
        <v>8006</v>
      </c>
      <c r="C278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11</v>
      </c>
      <c r="E278">
        <f>IF(AND(表_网址[[#This Row],[首要关键词]]=K277,表_网址[[#This Row],[次要关键词]]=L277,表_网址[[#This Row],[重点关键词]]=M277),E277+1,IF(表_网址[[#This Row],[重点关键词]]="",100,101))</f>
        <v>102</v>
      </c>
      <c r="F278" t="s">
        <v>503</v>
      </c>
      <c r="G278" t="s">
        <v>504</v>
      </c>
      <c r="H278" t="s">
        <v>29</v>
      </c>
      <c r="I278" t="s">
        <v>505</v>
      </c>
      <c r="J278" t="s">
        <v>1827</v>
      </c>
      <c r="K278" t="s">
        <v>1855</v>
      </c>
      <c r="L278" t="s">
        <v>1796</v>
      </c>
      <c r="M278" t="s">
        <v>502</v>
      </c>
      <c r="N278" t="s">
        <v>1854</v>
      </c>
      <c r="Q278">
        <v>16</v>
      </c>
      <c r="R278" t="s">
        <v>1832</v>
      </c>
      <c r="S278" t="s">
        <v>1836</v>
      </c>
    </row>
    <row r="279" spans="1:19" x14ac:dyDescent="0.2">
      <c r="A279" t="str">
        <f ca="1">表_网址[[#This Row],[1级]]&amp;"-"&amp;表_网址[[#This Row],[2级]]&amp;"-"&amp;表_网址[[#This Row],[3级]]&amp;"-"&amp;表_网址[[#This Row],[级内]]</f>
        <v>8006-11-11-103</v>
      </c>
      <c r="B279">
        <f ca="1">MATCH(表_网址[[#This Row],[版层分类]],序列_版层分类,0)*1000+MATCH(表_网址[[#This Row],[首要关键词]],序列_首要关键词,0)</f>
        <v>8006</v>
      </c>
      <c r="C279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11</v>
      </c>
      <c r="E279">
        <f>IF(AND(表_网址[[#This Row],[首要关键词]]=K278,表_网址[[#This Row],[次要关键词]]=L278,表_网址[[#This Row],[重点关键词]]=M278),E278+1,IF(表_网址[[#This Row],[重点关键词]]="",100,101))</f>
        <v>103</v>
      </c>
      <c r="F279" t="s">
        <v>536</v>
      </c>
      <c r="G279" t="s">
        <v>537</v>
      </c>
      <c r="H279" t="s">
        <v>29</v>
      </c>
      <c r="I279" t="s">
        <v>538</v>
      </c>
      <c r="J279" t="s">
        <v>1827</v>
      </c>
      <c r="K279" t="s">
        <v>1855</v>
      </c>
      <c r="L279" t="s">
        <v>1796</v>
      </c>
      <c r="M279" t="s">
        <v>502</v>
      </c>
      <c r="N279" t="s">
        <v>1854</v>
      </c>
      <c r="Q279">
        <v>16</v>
      </c>
      <c r="R279" t="s">
        <v>1832</v>
      </c>
      <c r="S279" t="s">
        <v>1836</v>
      </c>
    </row>
    <row r="280" spans="1:19" x14ac:dyDescent="0.2">
      <c r="A280" t="str">
        <f ca="1">表_网址[[#This Row],[1级]]&amp;"-"&amp;表_网址[[#This Row],[2级]]&amp;"-"&amp;表_网址[[#This Row],[3级]]&amp;"-"&amp;表_网址[[#This Row],[级内]]</f>
        <v>8006-11-11-104</v>
      </c>
      <c r="B280" s="2">
        <f ca="1">MATCH(表_网址[[#This Row],[版层分类]],序列_版层分类,0)*1000+MATCH(表_网址[[#This Row],[首要关键词]],序列_首要关键词,0)</f>
        <v>8006</v>
      </c>
      <c r="C280" s="2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11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104</v>
      </c>
      <c r="F280" t="s">
        <v>1802</v>
      </c>
      <c r="G280" s="8" t="s">
        <v>1801</v>
      </c>
      <c r="H280" t="s">
        <v>1803</v>
      </c>
      <c r="J280" t="s">
        <v>1827</v>
      </c>
      <c r="K280" t="s">
        <v>1855</v>
      </c>
      <c r="L280" t="s">
        <v>1796</v>
      </c>
      <c r="M280" t="s">
        <v>502</v>
      </c>
      <c r="N280" t="s">
        <v>1854</v>
      </c>
    </row>
    <row r="281" spans="1:19" x14ac:dyDescent="0.2">
      <c r="A281" t="str">
        <f ca="1">表_网址[[#This Row],[1级]]&amp;"-"&amp;表_网址[[#This Row],[2级]]&amp;"-"&amp;表_网址[[#This Row],[3级]]&amp;"-"&amp;表_网址[[#This Row],[级内]]</f>
        <v>8006-11-11-105</v>
      </c>
      <c r="B281">
        <f ca="1">MATCH(表_网址[[#This Row],[版层分类]],序列_版层分类,0)*1000+MATCH(表_网址[[#This Row],[首要关键词]],序列_首要关键词,0)</f>
        <v>8006</v>
      </c>
      <c r="C281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11</v>
      </c>
      <c r="E281">
        <f>IF(AND(表_网址[[#This Row],[首要关键词]]=K280,表_网址[[#This Row],[次要关键词]]=L280,表_网址[[#This Row],[重点关键词]]=M280),E280+1,IF(表_网址[[#This Row],[重点关键词]]="",100,101))</f>
        <v>105</v>
      </c>
      <c r="F281" t="s">
        <v>495</v>
      </c>
      <c r="G281" t="s">
        <v>496</v>
      </c>
      <c r="H281" t="s">
        <v>29</v>
      </c>
      <c r="I281" t="s">
        <v>497</v>
      </c>
      <c r="J281" t="s">
        <v>1827</v>
      </c>
      <c r="K281" t="s">
        <v>1855</v>
      </c>
      <c r="L281" t="s">
        <v>1796</v>
      </c>
      <c r="M281" t="s">
        <v>502</v>
      </c>
      <c r="N281" t="s">
        <v>1854</v>
      </c>
      <c r="O281" t="s">
        <v>1166</v>
      </c>
      <c r="Q281">
        <v>64</v>
      </c>
      <c r="R281" t="s">
        <v>1832</v>
      </c>
      <c r="S281" t="s">
        <v>1836</v>
      </c>
    </row>
    <row r="282" spans="1:19" x14ac:dyDescent="0.2">
      <c r="A282" t="str">
        <f ca="1">表_网址[[#This Row],[1级]]&amp;"-"&amp;表_网址[[#This Row],[2级]]&amp;"-"&amp;表_网址[[#This Row],[3级]]&amp;"-"&amp;表_网址[[#This Row],[级内]]</f>
        <v>8006-11-11-106</v>
      </c>
      <c r="B282">
        <f ca="1">MATCH(表_网址[[#This Row],[版层分类]],序列_版层分类,0)*1000+MATCH(表_网址[[#This Row],[首要关键词]],序列_首要关键词,0)</f>
        <v>8006</v>
      </c>
      <c r="C28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11</v>
      </c>
      <c r="E282">
        <f>IF(AND(表_网址[[#This Row],[首要关键词]]=K281,表_网址[[#This Row],[次要关键词]]=L281,表_网址[[#This Row],[重点关键词]]=M281),E281+1,IF(表_网址[[#This Row],[重点关键词]]="",100,101))</f>
        <v>106</v>
      </c>
      <c r="F282" t="s">
        <v>516</v>
      </c>
      <c r="G282" t="s">
        <v>517</v>
      </c>
      <c r="H282" t="s">
        <v>29</v>
      </c>
      <c r="I282" t="s">
        <v>518</v>
      </c>
      <c r="J282" t="s">
        <v>1827</v>
      </c>
      <c r="K282" t="s">
        <v>1855</v>
      </c>
      <c r="L282" t="s">
        <v>1796</v>
      </c>
      <c r="M282" t="s">
        <v>502</v>
      </c>
      <c r="N282" t="s">
        <v>1854</v>
      </c>
      <c r="Q282">
        <v>16</v>
      </c>
      <c r="R282" t="s">
        <v>1832</v>
      </c>
      <c r="S282" t="s">
        <v>1836</v>
      </c>
    </row>
    <row r="283" spans="1:19" x14ac:dyDescent="0.2">
      <c r="A283" t="str">
        <f ca="1">表_网址[[#This Row],[1级]]&amp;"-"&amp;表_网址[[#This Row],[2级]]&amp;"-"&amp;表_网址[[#This Row],[3级]]&amp;"-"&amp;表_网址[[#This Row],[级内]]</f>
        <v>8006-11-11-107</v>
      </c>
      <c r="B283">
        <f ca="1">MATCH(表_网址[[#This Row],[版层分类]],序列_版层分类,0)*1000+MATCH(表_网址[[#This Row],[首要关键词]],序列_首要关键词,0)</f>
        <v>8006</v>
      </c>
      <c r="C283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11</v>
      </c>
      <c r="E283">
        <f>IF(AND(表_网址[[#This Row],[首要关键词]]=K282,表_网址[[#This Row],[次要关键词]]=L282,表_网址[[#This Row],[重点关键词]]=M282),E282+1,IF(表_网址[[#This Row],[重点关键词]]="",100,101))</f>
        <v>107</v>
      </c>
      <c r="F283" t="s">
        <v>499</v>
      </c>
      <c r="G283" t="s">
        <v>500</v>
      </c>
      <c r="H283" t="s">
        <v>29</v>
      </c>
      <c r="I283" t="s">
        <v>501</v>
      </c>
      <c r="J283" t="s">
        <v>1827</v>
      </c>
      <c r="K283" t="s">
        <v>1855</v>
      </c>
      <c r="L283" t="s">
        <v>1796</v>
      </c>
      <c r="M283" t="s">
        <v>502</v>
      </c>
      <c r="N283" t="s">
        <v>1854</v>
      </c>
      <c r="O283" t="s">
        <v>1166</v>
      </c>
      <c r="Q283">
        <v>32</v>
      </c>
      <c r="R283" t="s">
        <v>1832</v>
      </c>
      <c r="S283" t="s">
        <v>1836</v>
      </c>
    </row>
    <row r="284" spans="1:19" x14ac:dyDescent="0.2">
      <c r="A284" t="str">
        <f ca="1">表_网址[[#This Row],[1级]]&amp;"-"&amp;表_网址[[#This Row],[2级]]&amp;"-"&amp;表_网址[[#This Row],[3级]]&amp;"-"&amp;表_网址[[#This Row],[级内]]</f>
        <v>8006-11-11-108</v>
      </c>
      <c r="B284">
        <f ca="1">MATCH(表_网址[[#This Row],[版层分类]],序列_版层分类,0)*1000+MATCH(表_网址[[#This Row],[首要关键词]],序列_首要关键词,0)</f>
        <v>8006</v>
      </c>
      <c r="C284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11</v>
      </c>
      <c r="E284">
        <f>IF(AND(表_网址[[#This Row],[首要关键词]]=K283,表_网址[[#This Row],[次要关键词]]=L283,表_网址[[#This Row],[重点关键词]]=M283),E283+1,IF(表_网址[[#This Row],[重点关键词]]="",100,101))</f>
        <v>108</v>
      </c>
      <c r="F284" t="s">
        <v>515</v>
      </c>
      <c r="G284" t="s">
        <v>197</v>
      </c>
      <c r="H284" t="s">
        <v>29</v>
      </c>
      <c r="I284" t="s">
        <v>198</v>
      </c>
      <c r="J284" t="s">
        <v>1827</v>
      </c>
      <c r="K284" t="s">
        <v>1855</v>
      </c>
      <c r="L284" t="s">
        <v>1796</v>
      </c>
      <c r="M284" t="s">
        <v>502</v>
      </c>
      <c r="N284" t="s">
        <v>1854</v>
      </c>
      <c r="O284" t="s">
        <v>1166</v>
      </c>
      <c r="Q284">
        <v>16</v>
      </c>
      <c r="R284" t="s">
        <v>1832</v>
      </c>
      <c r="S284" t="s">
        <v>1836</v>
      </c>
    </row>
    <row r="285" spans="1:19" x14ac:dyDescent="0.2">
      <c r="A285" t="str">
        <f ca="1">表_网址[[#This Row],[1级]]&amp;"-"&amp;表_网址[[#This Row],[2级]]&amp;"-"&amp;表_网址[[#This Row],[3级]]&amp;"-"&amp;表_网址[[#This Row],[级内]]</f>
        <v>8006-11-11-109</v>
      </c>
      <c r="B285">
        <f ca="1">MATCH(表_网址[[#This Row],[版层分类]],序列_版层分类,0)*1000+MATCH(表_网址[[#This Row],[首要关键词]],序列_首要关键词,0)</f>
        <v>8006</v>
      </c>
      <c r="C285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11</v>
      </c>
      <c r="E285">
        <f>IF(AND(表_网址[[#This Row],[首要关键词]]=K284,表_网址[[#This Row],[次要关键词]]=L284,表_网址[[#This Row],[重点关键词]]=M284),E284+1,IF(表_网址[[#This Row],[重点关键词]]="",100,101))</f>
        <v>109</v>
      </c>
      <c r="F285" t="s">
        <v>512</v>
      </c>
      <c r="G285" t="s">
        <v>513</v>
      </c>
      <c r="H285" t="s">
        <v>29</v>
      </c>
      <c r="I285" t="s">
        <v>514</v>
      </c>
      <c r="J285" t="s">
        <v>1827</v>
      </c>
      <c r="K285" t="s">
        <v>1855</v>
      </c>
      <c r="L285" t="s">
        <v>1796</v>
      </c>
      <c r="M285" t="s">
        <v>502</v>
      </c>
      <c r="N285" t="s">
        <v>1854</v>
      </c>
      <c r="O285" t="s">
        <v>1166</v>
      </c>
      <c r="Q285">
        <v>16</v>
      </c>
      <c r="R285" t="s">
        <v>1832</v>
      </c>
      <c r="S285" t="s">
        <v>1836</v>
      </c>
    </row>
    <row r="286" spans="1:19" x14ac:dyDescent="0.2">
      <c r="A286" t="str">
        <f ca="1">表_网址[[#This Row],[1级]]&amp;"-"&amp;表_网址[[#This Row],[2级]]&amp;"-"&amp;表_网址[[#This Row],[3级]]&amp;"-"&amp;表_网址[[#This Row],[级内]]</f>
        <v>8006-11-11-110</v>
      </c>
      <c r="B286">
        <f ca="1">MATCH(表_网址[[#This Row],[版层分类]],序列_版层分类,0)*1000+MATCH(表_网址[[#This Row],[首要关键词]],序列_首要关键词,0)</f>
        <v>8006</v>
      </c>
      <c r="C286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11</v>
      </c>
      <c r="E286">
        <f>IF(AND(表_网址[[#This Row],[首要关键词]]=K285,表_网址[[#This Row],[次要关键词]]=L285,表_网址[[#This Row],[重点关键词]]=M285),E285+1,IF(表_网址[[#This Row],[重点关键词]]="",100,101))</f>
        <v>110</v>
      </c>
      <c r="F286" t="s">
        <v>522</v>
      </c>
      <c r="G286" s="8" t="s">
        <v>1804</v>
      </c>
      <c r="H286" t="s">
        <v>29</v>
      </c>
      <c r="I286" t="s">
        <v>523</v>
      </c>
      <c r="J286" t="s">
        <v>1827</v>
      </c>
      <c r="K286" t="s">
        <v>1855</v>
      </c>
      <c r="L286" t="s">
        <v>1796</v>
      </c>
      <c r="M286" t="s">
        <v>502</v>
      </c>
      <c r="N286" t="s">
        <v>1854</v>
      </c>
      <c r="Q286">
        <v>16</v>
      </c>
      <c r="R286" t="s">
        <v>1832</v>
      </c>
      <c r="S286" t="s">
        <v>1836</v>
      </c>
    </row>
    <row r="287" spans="1:19" x14ac:dyDescent="0.2">
      <c r="A287" t="str">
        <f ca="1">表_网址[[#This Row],[1级]]&amp;"-"&amp;表_网址[[#This Row],[2级]]&amp;"-"&amp;表_网址[[#This Row],[3级]]&amp;"-"&amp;表_网址[[#This Row],[级内]]</f>
        <v>8006-11-11-111</v>
      </c>
      <c r="B287" s="2">
        <f ca="1">MATCH(表_网址[[#This Row],[版层分类]],序列_版层分类,0)*1000+MATCH(表_网址[[#This Row],[首要关键词]],序列_首要关键词,0)</f>
        <v>8006</v>
      </c>
      <c r="C287" s="2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11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111</v>
      </c>
      <c r="F287" t="s">
        <v>1806</v>
      </c>
      <c r="G287" s="8" t="s">
        <v>1805</v>
      </c>
      <c r="H287" t="s">
        <v>1807</v>
      </c>
      <c r="J287" t="s">
        <v>1827</v>
      </c>
      <c r="K287" t="s">
        <v>1855</v>
      </c>
      <c r="L287" t="s">
        <v>1796</v>
      </c>
      <c r="M287" t="s">
        <v>502</v>
      </c>
      <c r="N287" t="s">
        <v>1854</v>
      </c>
    </row>
    <row r="288" spans="1:19" x14ac:dyDescent="0.2">
      <c r="A288" t="str">
        <f ca="1">表_网址[[#This Row],[1级]]&amp;"-"&amp;表_网址[[#This Row],[2级]]&amp;"-"&amp;表_网址[[#This Row],[3级]]&amp;"-"&amp;表_网址[[#This Row],[级内]]</f>
        <v>8006-11-11-112</v>
      </c>
      <c r="B288" s="2">
        <f ca="1">MATCH(表_网址[[#This Row],[版层分类]],序列_版层分类,0)*1000+MATCH(表_网址[[#This Row],[首要关键词]],序列_首要关键词,0)</f>
        <v>8006</v>
      </c>
      <c r="C288" s="2">
        <f ca="1">IF(表_网址[[#This Row],[次要关键词]]="",10,MATCH(表_网址[[#This Row],[次要关键词]],序列_次要关键词,0)+10)</f>
        <v>11</v>
      </c>
      <c r="D288">
        <f ca="1">IF(表_网址[[#This Row],[重点关键词]]="",10,MATCH(表_网址[[#This Row],[重点关键词]],序列_重点关键词,0)+10)</f>
        <v>11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112</v>
      </c>
      <c r="F288" t="s">
        <v>1809</v>
      </c>
      <c r="G288" s="8" t="s">
        <v>1808</v>
      </c>
      <c r="H288" t="s">
        <v>1866</v>
      </c>
      <c r="J288" t="s">
        <v>1827</v>
      </c>
      <c r="K288" t="s">
        <v>1855</v>
      </c>
      <c r="L288" t="s">
        <v>1796</v>
      </c>
      <c r="M288" t="s">
        <v>502</v>
      </c>
      <c r="N288" t="s">
        <v>1854</v>
      </c>
    </row>
    <row r="289" spans="1:19" x14ac:dyDescent="0.2">
      <c r="A289" t="str">
        <f ca="1">表_网址[[#This Row],[1级]]&amp;"-"&amp;表_网址[[#This Row],[2级]]&amp;"-"&amp;表_网址[[#This Row],[3级]]&amp;"-"&amp;表_网址[[#This Row],[级内]]</f>
        <v>8006-11-11-113</v>
      </c>
      <c r="B289">
        <f ca="1">MATCH(表_网址[[#This Row],[版层分类]],序列_版层分类,0)*1000+MATCH(表_网址[[#This Row],[首要关键词]],序列_首要关键词,0)</f>
        <v>8006</v>
      </c>
      <c r="C289">
        <f ca="1">IF(表_网址[[#This Row],[次要关键词]]="",10,MATCH(表_网址[[#This Row],[次要关键词]],序列_次要关键词,0)+10)</f>
        <v>11</v>
      </c>
      <c r="D289">
        <f ca="1">IF(表_网址[[#This Row],[重点关键词]]="",10,MATCH(表_网址[[#This Row],[重点关键词]],序列_重点关键词,0)+10)</f>
        <v>11</v>
      </c>
      <c r="E289">
        <f>IF(AND(表_网址[[#This Row],[首要关键词]]=K288,表_网址[[#This Row],[次要关键词]]=L288,表_网址[[#This Row],[重点关键词]]=M288),E288+1,IF(表_网址[[#This Row],[重点关键词]]="",100,101))</f>
        <v>113</v>
      </c>
      <c r="F289" t="s">
        <v>530</v>
      </c>
      <c r="G289" t="s">
        <v>531</v>
      </c>
      <c r="H289" t="s">
        <v>1817</v>
      </c>
      <c r="I289" t="s">
        <v>532</v>
      </c>
      <c r="J289" t="s">
        <v>1827</v>
      </c>
      <c r="K289" t="s">
        <v>1855</v>
      </c>
      <c r="L289" t="s">
        <v>1796</v>
      </c>
      <c r="M289" t="s">
        <v>502</v>
      </c>
      <c r="N289" t="s">
        <v>1854</v>
      </c>
      <c r="Q289">
        <v>32</v>
      </c>
      <c r="R289" t="s">
        <v>1832</v>
      </c>
      <c r="S289" t="s">
        <v>1836</v>
      </c>
    </row>
    <row r="290" spans="1:19" x14ac:dyDescent="0.2">
      <c r="A290" t="str">
        <f ca="1">表_网址[[#This Row],[1级]]&amp;"-"&amp;表_网址[[#This Row],[2级]]&amp;"-"&amp;表_网址[[#This Row],[3级]]&amp;"-"&amp;表_网址[[#This Row],[级内]]</f>
        <v>8006-11-11-114</v>
      </c>
      <c r="B290">
        <f ca="1">MATCH(表_网址[[#This Row],[版层分类]],序列_版层分类,0)*1000+MATCH(表_网址[[#This Row],[首要关键词]],序列_首要关键词,0)</f>
        <v>8006</v>
      </c>
      <c r="C290">
        <f ca="1">IF(表_网址[[#This Row],[次要关键词]]="",10,MATCH(表_网址[[#This Row],[次要关键词]],序列_次要关键词,0)+10)</f>
        <v>11</v>
      </c>
      <c r="D290">
        <f ca="1">IF(表_网址[[#This Row],[重点关键词]]="",10,MATCH(表_网址[[#This Row],[重点关键词]],序列_重点关键词,0)+10)</f>
        <v>11</v>
      </c>
      <c r="E290">
        <f>IF(AND(表_网址[[#This Row],[首要关键词]]=K289,表_网址[[#This Row],[次要关键词]]=L289,表_网址[[#This Row],[重点关键词]]=M289),E289+1,IF(表_网址[[#This Row],[重点关键词]]="",100,101))</f>
        <v>114</v>
      </c>
      <c r="F290" t="s">
        <v>533</v>
      </c>
      <c r="G290" t="s">
        <v>534</v>
      </c>
      <c r="H290" t="s">
        <v>1816</v>
      </c>
      <c r="I290" t="s">
        <v>535</v>
      </c>
      <c r="J290" t="s">
        <v>1827</v>
      </c>
      <c r="K290" t="s">
        <v>1855</v>
      </c>
      <c r="L290" t="s">
        <v>1796</v>
      </c>
      <c r="M290" t="s">
        <v>502</v>
      </c>
      <c r="N290" t="s">
        <v>1854</v>
      </c>
      <c r="Q290">
        <v>72</v>
      </c>
      <c r="R290" t="s">
        <v>1832</v>
      </c>
      <c r="S290" t="s">
        <v>1836</v>
      </c>
    </row>
    <row r="291" spans="1:19" x14ac:dyDescent="0.2">
      <c r="A291" t="str">
        <f ca="1">表_网址[[#This Row],[1级]]&amp;"-"&amp;表_网址[[#This Row],[2级]]&amp;"-"&amp;表_网址[[#This Row],[3级]]&amp;"-"&amp;表_网址[[#This Row],[级内]]</f>
        <v>8006-11-11-115</v>
      </c>
      <c r="B291" s="2">
        <f ca="1">MATCH(表_网址[[#This Row],[版层分类]],序列_版层分类,0)*1000+MATCH(表_网址[[#This Row],[首要关键词]],序列_首要关键词,0)</f>
        <v>8006</v>
      </c>
      <c r="C291" s="2">
        <f ca="1">IF(表_网址[[#This Row],[次要关键词]]="",10,MATCH(表_网址[[#This Row],[次要关键词]],序列_次要关键词,0)+10)</f>
        <v>11</v>
      </c>
      <c r="D291">
        <f ca="1">IF(表_网址[[#This Row],[重点关键词]]="",10,MATCH(表_网址[[#This Row],[重点关键词]],序列_重点关键词,0)+10)</f>
        <v>11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115</v>
      </c>
      <c r="F291" t="s">
        <v>1812</v>
      </c>
      <c r="G291" s="8" t="s">
        <v>1811</v>
      </c>
      <c r="H291" t="s">
        <v>1810</v>
      </c>
      <c r="J291" t="s">
        <v>1827</v>
      </c>
      <c r="K291" t="s">
        <v>1855</v>
      </c>
      <c r="L291" t="s">
        <v>1796</v>
      </c>
      <c r="M291" t="s">
        <v>502</v>
      </c>
      <c r="N291" t="s">
        <v>1854</v>
      </c>
    </row>
    <row r="292" spans="1:19" x14ac:dyDescent="0.2">
      <c r="A292" t="str">
        <f ca="1">表_网址[[#This Row],[1级]]&amp;"-"&amp;表_网址[[#This Row],[2级]]&amp;"-"&amp;表_网址[[#This Row],[3级]]&amp;"-"&amp;表_网址[[#This Row],[级内]]</f>
        <v>8006-11-11-116</v>
      </c>
      <c r="B292" s="2">
        <f ca="1">MATCH(表_网址[[#This Row],[版层分类]],序列_版层分类,0)*1000+MATCH(表_网址[[#This Row],[首要关键词]],序列_首要关键词,0)</f>
        <v>8006</v>
      </c>
      <c r="C292" s="2">
        <f ca="1">IF(表_网址[[#This Row],[次要关键词]]="",10,MATCH(表_网址[[#This Row],[次要关键词]],序列_次要关键词,0)+10)</f>
        <v>11</v>
      </c>
      <c r="D292">
        <f ca="1">IF(表_网址[[#This Row],[重点关键词]]="",10,MATCH(表_网址[[#This Row],[重点关键词]],序列_重点关键词,0)+10)</f>
        <v>11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116</v>
      </c>
      <c r="F292" t="s">
        <v>1814</v>
      </c>
      <c r="G292" s="8" t="s">
        <v>1813</v>
      </c>
      <c r="H292" t="s">
        <v>1815</v>
      </c>
      <c r="J292" t="s">
        <v>1827</v>
      </c>
      <c r="K292" t="s">
        <v>1855</v>
      </c>
      <c r="L292" t="s">
        <v>1796</v>
      </c>
      <c r="M292" t="s">
        <v>502</v>
      </c>
      <c r="N292" t="s">
        <v>1854</v>
      </c>
    </row>
    <row r="293" spans="1:19" x14ac:dyDescent="0.2">
      <c r="A293" t="str">
        <f ca="1">表_网址[[#This Row],[1级]]&amp;"-"&amp;表_网址[[#This Row],[2级]]&amp;"-"&amp;表_网址[[#This Row],[3级]]&amp;"-"&amp;表_网址[[#This Row],[级内]]</f>
        <v>8006-11-11-117</v>
      </c>
      <c r="B293" s="2">
        <f ca="1">MATCH(表_网址[[#This Row],[版层分类]],序列_版层分类,0)*1000+MATCH(表_网址[[#This Row],[首要关键词]],序列_首要关键词,0)</f>
        <v>8006</v>
      </c>
      <c r="C293" s="2">
        <f ca="1">IF(表_网址[[#This Row],[次要关键词]]="",10,MATCH(表_网址[[#This Row],[次要关键词]],序列_次要关键词,0)+10)</f>
        <v>11</v>
      </c>
      <c r="D293">
        <f ca="1">IF(表_网址[[#This Row],[重点关键词]]="",10,MATCH(表_网址[[#This Row],[重点关键词]],序列_重点关键词,0)+10)</f>
        <v>11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117</v>
      </c>
      <c r="F293" t="s">
        <v>1819</v>
      </c>
      <c r="G293" s="8" t="s">
        <v>1818</v>
      </c>
      <c r="H293" t="s">
        <v>1820</v>
      </c>
      <c r="J293" t="s">
        <v>1827</v>
      </c>
      <c r="K293" t="s">
        <v>1855</v>
      </c>
      <c r="L293" t="s">
        <v>1796</v>
      </c>
      <c r="M293" t="s">
        <v>502</v>
      </c>
      <c r="N293" t="s">
        <v>1854</v>
      </c>
    </row>
    <row r="294" spans="1:19" x14ac:dyDescent="0.2">
      <c r="A294" t="str">
        <f ca="1">表_网址[[#This Row],[1级]]&amp;"-"&amp;表_网址[[#This Row],[2级]]&amp;"-"&amp;表_网址[[#This Row],[3级]]&amp;"-"&amp;表_网址[[#This Row],[级内]]</f>
        <v>8006-11-11-118</v>
      </c>
      <c r="B294">
        <f ca="1">MATCH(表_网址[[#This Row],[版层分类]],序列_版层分类,0)*1000+MATCH(表_网址[[#This Row],[首要关键词]],序列_首要关键词,0)</f>
        <v>8006</v>
      </c>
      <c r="C294">
        <f ca="1">IF(表_网址[[#This Row],[次要关键词]]="",10,MATCH(表_网址[[#This Row],[次要关键词]],序列_次要关键词,0)+10)</f>
        <v>11</v>
      </c>
      <c r="D294">
        <f ca="1">IF(表_网址[[#This Row],[重点关键词]]="",10,MATCH(表_网址[[#This Row],[重点关键词]],序列_重点关键词,0)+10)</f>
        <v>11</v>
      </c>
      <c r="E294">
        <f>IF(AND(表_网址[[#This Row],[首要关键词]]=K293,表_网址[[#This Row],[次要关键词]]=L293,表_网址[[#This Row],[重点关键词]]=M293),E293+1,IF(表_网址[[#This Row],[重点关键词]]="",100,101))</f>
        <v>118</v>
      </c>
      <c r="F294" t="s">
        <v>519</v>
      </c>
      <c r="G294" t="s">
        <v>520</v>
      </c>
      <c r="H294" t="s">
        <v>1821</v>
      </c>
      <c r="I294" t="s">
        <v>521</v>
      </c>
      <c r="J294" t="s">
        <v>1827</v>
      </c>
      <c r="K294" t="s">
        <v>1855</v>
      </c>
      <c r="L294" t="s">
        <v>1796</v>
      </c>
      <c r="M294" t="s">
        <v>502</v>
      </c>
      <c r="N294" t="s">
        <v>1854</v>
      </c>
      <c r="R294" t="s">
        <v>1832</v>
      </c>
      <c r="S294" t="s">
        <v>1836</v>
      </c>
    </row>
    <row r="295" spans="1:19" x14ac:dyDescent="0.2">
      <c r="A295" t="str">
        <f ca="1">表_网址[[#This Row],[1级]]&amp;"-"&amp;表_网址[[#This Row],[2级]]&amp;"-"&amp;表_网址[[#This Row],[3级]]&amp;"-"&amp;表_网址[[#This Row],[级内]]</f>
        <v>8006-11-12-101</v>
      </c>
      <c r="B295">
        <f ca="1">MATCH(表_网址[[#This Row],[版层分类]],序列_版层分类,0)*1000+MATCH(表_网址[[#This Row],[首要关键词]],序列_首要关键词,0)</f>
        <v>8006</v>
      </c>
      <c r="C295">
        <f ca="1">IF(表_网址[[#This Row],[次要关键词]]="",10,MATCH(表_网址[[#This Row],[次要关键词]],序列_次要关键词,0)+10)</f>
        <v>11</v>
      </c>
      <c r="D295">
        <f ca="1">IF(表_网址[[#This Row],[重点关键词]]="",10,MATCH(表_网址[[#This Row],[重点关键词]],序列_重点关键词,0)+10)</f>
        <v>12</v>
      </c>
      <c r="E295">
        <f>IF(AND(表_网址[[#This Row],[首要关键词]]=K294,表_网址[[#This Row],[次要关键词]]=L294,表_网址[[#This Row],[重点关键词]]=M294),E294+1,IF(表_网址[[#This Row],[重点关键词]]="",100,101))</f>
        <v>101</v>
      </c>
      <c r="F295" t="s">
        <v>510</v>
      </c>
      <c r="G295" s="8" t="s">
        <v>1800</v>
      </c>
      <c r="H295" t="s">
        <v>29</v>
      </c>
      <c r="I295" t="s">
        <v>511</v>
      </c>
      <c r="J295" t="s">
        <v>1827</v>
      </c>
      <c r="K295" t="s">
        <v>1855</v>
      </c>
      <c r="L295" t="s">
        <v>1796</v>
      </c>
      <c r="M295" t="s">
        <v>730</v>
      </c>
      <c r="N295" t="s">
        <v>1854</v>
      </c>
      <c r="Q295">
        <v>32</v>
      </c>
      <c r="R295" t="s">
        <v>1832</v>
      </c>
      <c r="S295" t="s">
        <v>1836</v>
      </c>
    </row>
    <row r="296" spans="1:19" x14ac:dyDescent="0.2">
      <c r="A296" t="str">
        <f ca="1">表_网址[[#This Row],[1级]]&amp;"-"&amp;表_网址[[#This Row],[2级]]&amp;"-"&amp;表_网址[[#This Row],[3级]]&amp;"-"&amp;表_网址[[#This Row],[级内]]</f>
        <v>8006-11-12-102</v>
      </c>
      <c r="B296">
        <f ca="1">MATCH(表_网址[[#This Row],[版层分类]],序列_版层分类,0)*1000+MATCH(表_网址[[#This Row],[首要关键词]],序列_首要关键词,0)</f>
        <v>8006</v>
      </c>
      <c r="C296">
        <f ca="1">IF(表_网址[[#This Row],[次要关键词]]="",10,MATCH(表_网址[[#This Row],[次要关键词]],序列_次要关键词,0)+10)</f>
        <v>11</v>
      </c>
      <c r="D296">
        <f ca="1">IF(表_网址[[#This Row],[重点关键词]]="",10,MATCH(表_网址[[#This Row],[重点关键词]],序列_重点关键词,0)+10)</f>
        <v>12</v>
      </c>
      <c r="E296">
        <f>IF(AND(表_网址[[#This Row],[首要关键词]]=K295,表_网址[[#This Row],[次要关键词]]=L295,表_网址[[#This Row],[重点关键词]]=M295),E295+1,IF(表_网址[[#This Row],[重点关键词]]="",100,101))</f>
        <v>102</v>
      </c>
      <c r="F296" t="s">
        <v>527</v>
      </c>
      <c r="G296" t="s">
        <v>528</v>
      </c>
      <c r="H296" t="s">
        <v>29</v>
      </c>
      <c r="I296" t="s">
        <v>529</v>
      </c>
      <c r="J296" t="s">
        <v>1827</v>
      </c>
      <c r="K296" t="s">
        <v>1855</v>
      </c>
      <c r="L296" t="s">
        <v>1796</v>
      </c>
      <c r="M296" t="s">
        <v>730</v>
      </c>
      <c r="N296" t="s">
        <v>1854</v>
      </c>
      <c r="Q296">
        <v>32</v>
      </c>
      <c r="R296" t="s">
        <v>1832</v>
      </c>
      <c r="S296" t="s">
        <v>1836</v>
      </c>
    </row>
    <row r="297" spans="1:19" x14ac:dyDescent="0.2">
      <c r="A297" t="str">
        <f ca="1">表_网址[[#This Row],[1级]]&amp;"-"&amp;表_网址[[#This Row],[2级]]&amp;"-"&amp;表_网址[[#This Row],[3级]]&amp;"-"&amp;表_网址[[#This Row],[级内]]</f>
        <v>8006-11-12-103</v>
      </c>
      <c r="B297">
        <f ca="1">MATCH(表_网址[[#This Row],[版层分类]],序列_版层分类,0)*1000+MATCH(表_网址[[#This Row],[首要关键词]],序列_首要关键词,0)</f>
        <v>8006</v>
      </c>
      <c r="C297">
        <f ca="1">IF(表_网址[[#This Row],[次要关键词]]="",10,MATCH(表_网址[[#This Row],[次要关键词]],序列_次要关键词,0)+10)</f>
        <v>11</v>
      </c>
      <c r="D297">
        <f ca="1">IF(表_网址[[#This Row],[重点关键词]]="",10,MATCH(表_网址[[#This Row],[重点关键词]],序列_重点关键词,0)+10)</f>
        <v>12</v>
      </c>
      <c r="E297">
        <f>IF(AND(表_网址[[#This Row],[首要关键词]]=K296,表_网址[[#This Row],[次要关键词]]=L296,表_网址[[#This Row],[重点关键词]]=M296),E296+1,IF(表_网址[[#This Row],[重点关键词]]="",100,101))</f>
        <v>103</v>
      </c>
      <c r="F297" t="s">
        <v>524</v>
      </c>
      <c r="G297" t="s">
        <v>525</v>
      </c>
      <c r="H297" t="s">
        <v>29</v>
      </c>
      <c r="I297" t="s">
        <v>526</v>
      </c>
      <c r="J297" t="s">
        <v>1827</v>
      </c>
      <c r="K297" t="s">
        <v>1855</v>
      </c>
      <c r="L297" t="s">
        <v>1796</v>
      </c>
      <c r="M297" t="s">
        <v>730</v>
      </c>
      <c r="N297" t="s">
        <v>1854</v>
      </c>
      <c r="O297" t="s">
        <v>1166</v>
      </c>
      <c r="Q297">
        <v>16</v>
      </c>
      <c r="R297" t="s">
        <v>1832</v>
      </c>
      <c r="S297" t="s">
        <v>1836</v>
      </c>
    </row>
    <row r="298" spans="1:19" x14ac:dyDescent="0.2">
      <c r="A298" t="str">
        <f ca="1">表_网址[[#This Row],[1级]]&amp;"-"&amp;表_网址[[#This Row],[2级]]&amp;"-"&amp;表_网址[[#This Row],[3级]]&amp;"-"&amp;表_网址[[#This Row],[级内]]</f>
        <v>8006-11-12-104</v>
      </c>
      <c r="B298">
        <f ca="1">MATCH(表_网址[[#This Row],[版层分类]],序列_版层分类,0)*1000+MATCH(表_网址[[#This Row],[首要关键词]],序列_首要关键词,0)</f>
        <v>8006</v>
      </c>
      <c r="C298">
        <f ca="1">IF(表_网址[[#This Row],[次要关键词]]="",10,MATCH(表_网址[[#This Row],[次要关键词]],序列_次要关键词,0)+10)</f>
        <v>11</v>
      </c>
      <c r="D298">
        <f ca="1">IF(表_网址[[#This Row],[重点关键词]]="",10,MATCH(表_网址[[#This Row],[重点关键词]],序列_重点关键词,0)+10)</f>
        <v>12</v>
      </c>
      <c r="E298">
        <f>IF(AND(表_网址[[#This Row],[首要关键词]]=K297,表_网址[[#This Row],[次要关键词]]=L297,表_网址[[#This Row],[重点关键词]]=M297),E297+1,IF(表_网址[[#This Row],[重点关键词]]="",100,101))</f>
        <v>104</v>
      </c>
      <c r="F298" t="s">
        <v>1292</v>
      </c>
      <c r="G298" t="s">
        <v>1293</v>
      </c>
      <c r="H298" t="s">
        <v>29</v>
      </c>
      <c r="J298" t="s">
        <v>1827</v>
      </c>
      <c r="K298" t="s">
        <v>1855</v>
      </c>
      <c r="L298" t="s">
        <v>1796</v>
      </c>
      <c r="M298" t="s">
        <v>730</v>
      </c>
      <c r="N298" t="s">
        <v>1854</v>
      </c>
      <c r="R298" t="s">
        <v>1832</v>
      </c>
      <c r="S298" t="s">
        <v>1836</v>
      </c>
    </row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</sheetData>
  <phoneticPr fontId="1" type="noConversion"/>
  <dataValidations count="11">
    <dataValidation type="list" allowBlank="1" showInputMessage="1" showErrorMessage="1" sqref="S2:S298" xr:uid="{3D07C432-9432-4F35-9CF9-83CBFCE754F4}">
      <formula1>"经营性,非经营性"</formula1>
    </dataValidation>
    <dataValidation type="list" allowBlank="1" showInputMessage="1" showErrorMessage="1" sqref="R2:R298" xr:uid="{3C11EDC0-6F5B-4C05-90D1-0DD43C50AE99}">
      <formula1>"已备案,未备案,境外"</formula1>
    </dataValidation>
    <dataValidation type="list" allowBlank="1" showInputMessage="1" showErrorMessage="1" sqref="J1:J1048576" xr:uid="{A10DBFF2-CFE4-41DD-8236-DA7955548D95}">
      <formula1>序列_版层分类</formula1>
    </dataValidation>
    <dataValidation type="list" allowBlank="1" showInputMessage="1" showErrorMessage="1" sqref="K1:K1048576" xr:uid="{108B8C03-2D37-43A7-918C-AC6E540F8310}">
      <formula1>序列_首要关键词</formula1>
    </dataValidation>
    <dataValidation type="list" allowBlank="1" showInputMessage="1" showErrorMessage="1" sqref="L1:L1048576" xr:uid="{681AE7D5-76D1-43D6-A5BF-73742BBF9D65}">
      <formula1>序列_次要关键词</formula1>
    </dataValidation>
    <dataValidation type="list" allowBlank="1" showInputMessage="1" showErrorMessage="1" sqref="M1:M1048576" xr:uid="{AF452025-CB60-461B-95AD-E2C6833408B8}">
      <formula1>序列_重点关键词</formula1>
    </dataValidation>
    <dataValidation type="custom" allowBlank="1" showInputMessage="1" showErrorMessage="1" sqref="A1:A175 A177:A1048133" xr:uid="{5A393AF7-0B96-4A17-A1AE-099ADE30B32B}">
      <formula1>COUNTIF(A:A,A2)=1</formula1>
    </dataValidation>
    <dataValidation type="custom" allowBlank="1" showInputMessage="1" showErrorMessage="1" sqref="A176" xr:uid="{62C59665-6C83-45C6-87CE-314285B337FA}">
      <formula1>COUNTIF(A:A,#REF!)=1</formula1>
    </dataValidation>
    <dataValidation type="custom" allowBlank="1" showInputMessage="1" showErrorMessage="1" sqref="A1048134:A1048576" xr:uid="{EB841BA4-3C00-4ABC-8241-8066E78F3980}">
      <formula1>COUNTIF(A:A,A1)=1</formula1>
    </dataValidation>
    <dataValidation type="list" allowBlank="1" showInputMessage="1" showErrorMessage="1" sqref="N2:N298" xr:uid="{21EF7F3E-17A6-435E-8DBD-6D4B451DDB0B}">
      <formula1>"可访"</formula1>
    </dataValidation>
    <dataValidation type="list" allowBlank="1" showInputMessage="1" showErrorMessage="1" sqref="O2:O298" xr:uid="{825E40E8-F8E8-4B53-97D3-C1890C817427}">
      <formula1>"图标"</formula1>
    </dataValidation>
  </dataValidations>
  <hyperlinks>
    <hyperlink ref="G295" r:id="rId1" xr:uid="{6EA9EB08-BDD0-40FB-B529-E4BA57E3D031}"/>
    <hyperlink ref="G280" r:id="rId2" xr:uid="{6AA56F1C-1E92-431C-A874-E362B7CDE7CD}"/>
    <hyperlink ref="G286" r:id="rId3" xr:uid="{F0C3A01E-F806-4969-BA66-5B4A431F025E}"/>
    <hyperlink ref="G287" r:id="rId4" xr:uid="{2D6AD552-0AFA-453D-A8CB-B21381B89351}"/>
    <hyperlink ref="G288" r:id="rId5" xr:uid="{651CB156-F2A5-4CDB-AA0D-C4BA76003A90}"/>
    <hyperlink ref="G291" r:id="rId6" xr:uid="{B5F03C04-D108-4685-811A-26FC4D3B1117}"/>
    <hyperlink ref="G292" r:id="rId7" xr:uid="{3A735CFB-CEB4-4F0E-942D-75F1E5480A1C}"/>
    <hyperlink ref="G293" r:id="rId8" xr:uid="{FBC3F20D-6ADB-4362-B242-5E4E01A8EE58}"/>
    <hyperlink ref="G124" r:id="rId9" xr:uid="{7F4F9D89-02B4-44A5-BD14-04C3BC6C1E82}"/>
    <hyperlink ref="I124" r:id="rId10" xr:uid="{0BD460CE-3392-41BB-8799-878975AA33D0}"/>
    <hyperlink ref="G125" r:id="rId11" xr:uid="{3122205D-11FB-4E36-95EF-4F9896792101}"/>
    <hyperlink ref="G40" r:id="rId12" xr:uid="{605ECE7A-5A33-4E6D-B65A-AB43E3268754}"/>
    <hyperlink ref="I40" r:id="rId13" xr:uid="{2D54EA29-94D1-40BD-A9E3-C2797243D3CE}"/>
    <hyperlink ref="G41" r:id="rId14" xr:uid="{45313324-470E-4DF4-92C7-69375A7220FC}"/>
    <hyperlink ref="I41" r:id="rId15" xr:uid="{57F4ABAF-9F97-4CF7-9E1E-53C2AB5377CA}"/>
  </hyperlinks>
  <pageMargins left="0.7" right="0.7" top="0.75" bottom="0.75" header="0.3" footer="0.3"/>
  <pageSetup paperSize="9" orientation="portrait" horizontalDpi="300" verticalDpi="300" r:id="rId16"/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320E-D4AD-4814-8FEB-A66BA5A9DA7C}">
  <sheetPr codeName="Sheet2"/>
  <dimension ref="A1:M38"/>
  <sheetViews>
    <sheetView topLeftCell="A4" workbookViewId="0">
      <selection activeCell="C43" sqref="C43"/>
    </sheetView>
  </sheetViews>
  <sheetFormatPr defaultRowHeight="14.25" x14ac:dyDescent="0.2"/>
  <sheetData>
    <row r="1" spans="1:13" x14ac:dyDescent="0.2">
      <c r="A1" t="e">
        <f>表_网址[[#This Row],[1级]]&amp;"-"&amp;表_网址[[#This Row],[2级]]&amp;"-"&amp;表_网址[[#This Row],[3级]]&amp;"-"&amp;表_网址[[#This Row],[级内]]</f>
        <v>#VALUE!</v>
      </c>
      <c r="B1" s="2" t="e">
        <f ca="1">MATCH(表_网址[[#This Row],[版层分类]],序列_版层分类,0)*1000+MATCH(表_网址[[#This Row],[首要关键词]],序列_首要关键词,0)</f>
        <v>#VALUE!</v>
      </c>
      <c r="C1" s="2" t="e">
        <f>IF(表_网址[[#This Row],[次要关键词]]="",10,MATCH(表_网址[[#This Row],[次要关键词]],序列_次要关键词,0)+10)</f>
        <v>#VALUE!</v>
      </c>
      <c r="D1" t="e">
        <f>IF(表_网址[[#This Row],[重点关键词]]="",10,MATCH(表_网址[[#This Row],[重点关键词]],序列_重点关键词,0)+10)</f>
        <v>#VALUE!</v>
      </c>
      <c r="E1" s="2" t="e">
        <f>IF(AND(表_网址[[#This Row],[首要关键词]]=#REF!,表_网址[[#This Row],[次要关键词]]=#REF!,表_网址[[#This Row],[重点关键词]]=#REF!),#REF!+1,IF(表_网址[[#This Row],[重点关键词]]="",100,101))</f>
        <v>#VALUE!</v>
      </c>
      <c r="J1" t="s">
        <v>23</v>
      </c>
      <c r="K1" t="s">
        <v>1686</v>
      </c>
      <c r="L1" t="s">
        <v>283</v>
      </c>
    </row>
    <row r="2" spans="1:13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J2" t="s">
        <v>23</v>
      </c>
      <c r="K2" t="s">
        <v>1686</v>
      </c>
      <c r="L2" t="s">
        <v>287</v>
      </c>
    </row>
    <row r="3" spans="1:13" x14ac:dyDescent="0.2">
      <c r="A3" t="str">
        <f ca="1">表_网址[[#This Row],[1级]]&amp;"-"&amp;表_网址[[#This Row],[2级]]&amp;"-"&amp;表_网址[[#This Row],[3级]]&amp;"-"&amp;表_网址[[#This Row],[级内]]</f>
        <v>1001-12-10-100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12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J3" t="s">
        <v>23</v>
      </c>
      <c r="K3" t="s">
        <v>1686</v>
      </c>
      <c r="L3" t="s">
        <v>291</v>
      </c>
    </row>
    <row r="4" spans="1:13" x14ac:dyDescent="0.2">
      <c r="A4" t="str">
        <f ca="1">表_网址[[#This Row],[1级]]&amp;"-"&amp;表_网址[[#This Row],[2级]]&amp;"-"&amp;表_网址[[#This Row],[3级]]&amp;"-"&amp;表_网址[[#This Row],[级内]]</f>
        <v>1001-12-10-101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12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100</v>
      </c>
      <c r="J4" t="s">
        <v>23</v>
      </c>
      <c r="K4" t="s">
        <v>1686</v>
      </c>
      <c r="L4" t="s">
        <v>295</v>
      </c>
    </row>
    <row r="5" spans="1:13" x14ac:dyDescent="0.2">
      <c r="A5" t="str">
        <f ca="1">表_网址[[#This Row],[1级]]&amp;"-"&amp;表_网址[[#This Row],[2级]]&amp;"-"&amp;表_网址[[#This Row],[3级]]&amp;"-"&amp;表_网址[[#This Row],[级内]]</f>
        <v>1001-14-10-100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14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J5" t="s">
        <v>23</v>
      </c>
      <c r="K5" t="s">
        <v>1686</v>
      </c>
      <c r="L5" t="s">
        <v>299</v>
      </c>
    </row>
    <row r="6" spans="1:13" x14ac:dyDescent="0.2">
      <c r="A6" t="str">
        <f ca="1">表_网址[[#This Row],[1级]]&amp;"-"&amp;表_网址[[#This Row],[2级]]&amp;"-"&amp;表_网址[[#This Row],[3级]]&amp;"-"&amp;表_网址[[#This Row],[级内]]</f>
        <v>1001-15-10-100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15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100</v>
      </c>
      <c r="J6" t="s">
        <v>23</v>
      </c>
      <c r="K6" t="s">
        <v>1686</v>
      </c>
      <c r="L6" t="s">
        <v>303</v>
      </c>
    </row>
    <row r="7" spans="1:13" x14ac:dyDescent="0.2">
      <c r="A7" t="str">
        <f ca="1">表_网址[[#This Row],[1级]]&amp;"-"&amp;表_网址[[#This Row],[2级]]&amp;"-"&amp;表_网址[[#This Row],[3级]]&amp;"-"&amp;表_网址[[#This Row],[级内]]</f>
        <v>1001-16-10-100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16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100</v>
      </c>
      <c r="J7" t="s">
        <v>23</v>
      </c>
      <c r="K7" t="s">
        <v>1686</v>
      </c>
      <c r="L7" t="s">
        <v>307</v>
      </c>
    </row>
    <row r="8" spans="1:13" x14ac:dyDescent="0.2">
      <c r="A8" t="str">
        <f ca="1">表_网址[[#This Row],[1级]]&amp;"-"&amp;表_网址[[#This Row],[2级]]&amp;"-"&amp;表_网址[[#This Row],[3级]]&amp;"-"&amp;表_网址[[#This Row],[级内]]</f>
        <v>1001-17-10-100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17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100</v>
      </c>
      <c r="F8" t="s">
        <v>1732</v>
      </c>
      <c r="G8" s="8" t="s">
        <v>1710</v>
      </c>
      <c r="J8" t="s">
        <v>23</v>
      </c>
      <c r="K8" t="s">
        <v>1686</v>
      </c>
      <c r="L8" t="s">
        <v>311</v>
      </c>
    </row>
    <row r="9" spans="1:13" x14ac:dyDescent="0.2">
      <c r="A9" t="str">
        <f ca="1">表_网址[[#This Row],[1级]]&amp;"-"&amp;表_网址[[#This Row],[2级]]&amp;"-"&amp;表_网址[[#This Row],[3级]]&amp;"-"&amp;表_网址[[#This Row],[级内]]</f>
        <v>1001-18-10-100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18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100</v>
      </c>
      <c r="F9" t="s">
        <v>1733</v>
      </c>
      <c r="G9" s="8" t="s">
        <v>1725</v>
      </c>
      <c r="J9" t="s">
        <v>23</v>
      </c>
      <c r="K9" t="s">
        <v>1686</v>
      </c>
      <c r="L9" t="s">
        <v>311</v>
      </c>
      <c r="M9" t="s">
        <v>1711</v>
      </c>
    </row>
    <row r="10" spans="1:13" x14ac:dyDescent="0.2">
      <c r="A10" t="str">
        <f ca="1">表_网址[[#This Row],[1级]]&amp;"-"&amp;表_网址[[#This Row],[2级]]&amp;"-"&amp;表_网址[[#This Row],[3级]]&amp;"-"&amp;表_网址[[#This Row],[级内]]</f>
        <v>1002-10-10-100</v>
      </c>
      <c r="B10" s="2">
        <f ca="1">MATCH(表_网址[[#This Row],[版层分类]],序列_版层分类,0)*1000+MATCH(表_网址[[#This Row],[首要关键词]],序列_首要关键词,0)</f>
        <v>1002</v>
      </c>
      <c r="C10" s="2">
        <f>IF(表_网址[[#This Row],[次要关键词]]="",10,MATCH(表_网址[[#This Row],[次要关键词]],序列_次要关键词,0)+10)</f>
        <v>10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100</v>
      </c>
      <c r="F10" t="s">
        <v>1734</v>
      </c>
      <c r="G10" s="8" t="s">
        <v>1726</v>
      </c>
      <c r="J10" t="s">
        <v>23</v>
      </c>
      <c r="K10" t="s">
        <v>1686</v>
      </c>
      <c r="L10" t="s">
        <v>311</v>
      </c>
      <c r="M10" t="s">
        <v>1713</v>
      </c>
    </row>
    <row r="11" spans="1:13" x14ac:dyDescent="0.2">
      <c r="A11" t="str">
        <f ca="1">表_网址[[#This Row],[1级]]&amp;"-"&amp;表_网址[[#This Row],[2级]]&amp;"-"&amp;表_网址[[#This Row],[3级]]&amp;"-"&amp;表_网址[[#This Row],[级内]]</f>
        <v>1002-12-10-100</v>
      </c>
      <c r="B11" s="2">
        <f ca="1">MATCH(表_网址[[#This Row],[版层分类]],序列_版层分类,0)*1000+MATCH(表_网址[[#This Row],[首要关键词]],序列_首要关键词,0)</f>
        <v>1002</v>
      </c>
      <c r="C11" s="2">
        <f ca="1">IF(表_网址[[#This Row],[次要关键词]]="",10,MATCH(表_网址[[#This Row],[次要关键词]],序列_次要关键词,0)+10)</f>
        <v>12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100</v>
      </c>
      <c r="F11" t="s">
        <v>1735</v>
      </c>
      <c r="G11" s="8" t="s">
        <v>1727</v>
      </c>
      <c r="J11" t="s">
        <v>23</v>
      </c>
      <c r="K11" t="s">
        <v>1686</v>
      </c>
      <c r="L11" t="s">
        <v>311</v>
      </c>
      <c r="M11" t="s">
        <v>1714</v>
      </c>
    </row>
    <row r="12" spans="1:13" x14ac:dyDescent="0.2">
      <c r="A12" t="str">
        <f ca="1">表_网址[[#This Row],[1级]]&amp;"-"&amp;表_网址[[#This Row],[2级]]&amp;"-"&amp;表_网址[[#This Row],[3级]]&amp;"-"&amp;表_网址[[#This Row],[级内]]</f>
        <v>1002-12-10-101</v>
      </c>
      <c r="B12" s="2">
        <f ca="1">MATCH(表_网址[[#This Row],[版层分类]],序列_版层分类,0)*1000+MATCH(表_网址[[#This Row],[首要关键词]],序列_首要关键词,0)</f>
        <v>1002</v>
      </c>
      <c r="C12" s="2">
        <f ca="1">IF(表_网址[[#This Row],[次要关键词]]="",10,MATCH(表_网址[[#This Row],[次要关键词]],序列_次要关键词,0)+10)</f>
        <v>12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Row],[首要关键词]]=K8,表_网址[[#This Row],[次要关键词]]=L8,表_网址[[#This Row],[重点关键词]]=M8),E8+1,IF(表_网址[[#This Row],[重点关键词]]="",100,101))</f>
        <v>100</v>
      </c>
      <c r="F12" t="s">
        <v>1736</v>
      </c>
      <c r="G12" s="8" t="s">
        <v>1728</v>
      </c>
      <c r="J12" t="s">
        <v>23</v>
      </c>
      <c r="K12" t="s">
        <v>1686</v>
      </c>
      <c r="L12" t="s">
        <v>311</v>
      </c>
      <c r="M12" t="s">
        <v>1716</v>
      </c>
    </row>
    <row r="13" spans="1:13" x14ac:dyDescent="0.2">
      <c r="A13" t="str">
        <f ca="1">表_网址[[#This Row],[1级]]&amp;"-"&amp;表_网址[[#This Row],[2级]]&amp;"-"&amp;表_网址[[#This Row],[3级]]&amp;"-"&amp;表_网址[[#This Row],[级内]]</f>
        <v>1002-12-10-102</v>
      </c>
      <c r="B13" s="2">
        <f ca="1">MATCH(表_网址[[#This Row],[版层分类]],序列_版层分类,0)*1000+MATCH(表_网址[[#This Row],[首要关键词]],序列_首要关键词,0)</f>
        <v>1002</v>
      </c>
      <c r="C13" s="2">
        <f ca="1">IF(表_网址[[#This Row],[次要关键词]]="",10,MATCH(表_网址[[#This Row],[次要关键词]],序列_次要关键词,0)+10)</f>
        <v>12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Row],[首要关键词]]=K8,表_网址[[#This Row],[次要关键词]]=L8,表_网址[[#This Row],[重点关键词]]=M8),E8+1,IF(表_网址[[#This Row],[重点关键词]]="",100,101))</f>
        <v>100</v>
      </c>
      <c r="F13" t="s">
        <v>1737</v>
      </c>
      <c r="G13" s="8" t="s">
        <v>1729</v>
      </c>
      <c r="J13" t="s">
        <v>23</v>
      </c>
      <c r="K13" t="s">
        <v>1686</v>
      </c>
      <c r="L13" t="s">
        <v>311</v>
      </c>
      <c r="M13" t="s">
        <v>1718</v>
      </c>
    </row>
    <row r="14" spans="1:13" x14ac:dyDescent="0.2">
      <c r="A14" t="str">
        <f ca="1">表_网址[[#This Row],[1级]]&amp;"-"&amp;表_网址[[#This Row],[2级]]&amp;"-"&amp;表_网址[[#This Row],[3级]]&amp;"-"&amp;表_网址[[#This Row],[级内]]</f>
        <v>1002-12-10-103</v>
      </c>
      <c r="B14" s="2">
        <f ca="1">MATCH(表_网址[[#This Row],[版层分类]],序列_版层分类,0)*1000+MATCH(表_网址[[#This Row],[首要关键词]],序列_首要关键词,0)</f>
        <v>1002</v>
      </c>
      <c r="C14" s="2">
        <f ca="1">IF(表_网址[[#This Row],[次要关键词]]="",10,MATCH(表_网址[[#This Row],[次要关键词]],序列_次要关键词,0)+10)</f>
        <v>12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Row],[首要关键词]]=K8,表_网址[[#This Row],[次要关键词]]=L8,表_网址[[#This Row],[重点关键词]]=M8),E8+1,IF(表_网址[[#This Row],[重点关键词]]="",100,101))</f>
        <v>100</v>
      </c>
      <c r="F14" t="s">
        <v>1738</v>
      </c>
      <c r="G14" s="8" t="s">
        <v>1730</v>
      </c>
      <c r="J14" t="s">
        <v>23</v>
      </c>
      <c r="K14" t="s">
        <v>1686</v>
      </c>
      <c r="L14" t="s">
        <v>311</v>
      </c>
      <c r="M14" t="s">
        <v>1720</v>
      </c>
    </row>
    <row r="15" spans="1:13" x14ac:dyDescent="0.2">
      <c r="A15" t="str">
        <f ca="1">表_网址[[#This Row],[1级]]&amp;"-"&amp;表_网址[[#This Row],[2级]]&amp;"-"&amp;表_网址[[#This Row],[3级]]&amp;"-"&amp;表_网址[[#This Row],[级内]]</f>
        <v>1002-12-10-104</v>
      </c>
      <c r="B15" s="2">
        <f ca="1">MATCH(表_网址[[#This Row],[版层分类]],序列_版层分类,0)*1000+MATCH(表_网址[[#This Row],[首要关键词]],序列_首要关键词,0)</f>
        <v>1002</v>
      </c>
      <c r="C15" s="2">
        <f ca="1">IF(表_网址[[#This Row],[次要关键词]]="",10,MATCH(表_网址[[#This Row],[次要关键词]],序列_次要关键词,0)+10)</f>
        <v>12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Row],[首要关键词]]=K8,表_网址[[#This Row],[次要关键词]]=L8,表_网址[[#This Row],[重点关键词]]=M8),E8+1,IF(表_网址[[#This Row],[重点关键词]]="",100,101))</f>
        <v>100</v>
      </c>
      <c r="F15" t="s">
        <v>1739</v>
      </c>
      <c r="G15" s="8" t="s">
        <v>1731</v>
      </c>
      <c r="J15" t="s">
        <v>23</v>
      </c>
      <c r="K15" t="s">
        <v>1686</v>
      </c>
      <c r="L15" t="s">
        <v>311</v>
      </c>
      <c r="M15" t="s">
        <v>1722</v>
      </c>
    </row>
    <row r="16" spans="1:13" x14ac:dyDescent="0.2">
      <c r="A16" t="str">
        <f ca="1">表_网址[[#This Row],[1级]]&amp;"-"&amp;表_网址[[#This Row],[2级]]&amp;"-"&amp;表_网址[[#This Row],[3级]]&amp;"-"&amp;表_网址[[#This Row],[级内]]</f>
        <v>1002-14-10-100</v>
      </c>
      <c r="B16" s="2">
        <f ca="1">MATCH(表_网址[[#This Row],[版层分类]],序列_版层分类,0)*1000+MATCH(表_网址[[#This Row],[首要关键词]],序列_首要关键词,0)</f>
        <v>1002</v>
      </c>
      <c r="C16" s="2">
        <f ca="1">IF(表_网址[[#This Row],[次要关键词]]="",10,MATCH(表_网址[[#This Row],[次要关键词]],序列_次要关键词,0)+10)</f>
        <v>14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Row],[首要关键词]]=K8,表_网址[[#This Row],[次要关键词]]=L8,表_网址[[#This Row],[重点关键词]]=M8),E8+1,IF(表_网址[[#This Row],[重点关键词]]="",100,101))</f>
        <v>100</v>
      </c>
      <c r="J16" t="s">
        <v>23</v>
      </c>
      <c r="K16" t="s">
        <v>1686</v>
      </c>
      <c r="L16" t="s">
        <v>315</v>
      </c>
    </row>
    <row r="17" spans="1:12" x14ac:dyDescent="0.2">
      <c r="A17" t="str">
        <f ca="1">表_网址[[#This Row],[1级]]&amp;"-"&amp;表_网址[[#This Row],[2级]]&amp;"-"&amp;表_网址[[#This Row],[3级]]&amp;"-"&amp;表_网址[[#This Row],[级内]]</f>
        <v>1002-14-10-101</v>
      </c>
      <c r="B17" s="2">
        <f ca="1">MATCH(表_网址[[#This Row],[版层分类]],序列_版层分类,0)*1000+MATCH(表_网址[[#This Row],[首要关键词]],序列_首要关键词,0)</f>
        <v>1002</v>
      </c>
      <c r="C17" s="2">
        <f ca="1">IF(表_网址[[#This Row],[次要关键词]]="",10,MATCH(表_网址[[#This Row],[次要关键词]],序列_次要关键词,0)+10)</f>
        <v>14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100</v>
      </c>
      <c r="J17" t="s">
        <v>23</v>
      </c>
      <c r="K17" t="s">
        <v>1686</v>
      </c>
      <c r="L17" t="s">
        <v>319</v>
      </c>
    </row>
    <row r="18" spans="1:12" x14ac:dyDescent="0.2">
      <c r="A18" t="str">
        <f ca="1">表_网址[[#This Row],[1级]]&amp;"-"&amp;表_网址[[#This Row],[2级]]&amp;"-"&amp;表_网址[[#This Row],[3级]]&amp;"-"&amp;表_网址[[#This Row],[级内]]</f>
        <v>1002-15-10-100</v>
      </c>
      <c r="B18" s="2">
        <f ca="1">MATCH(表_网址[[#This Row],[版层分类]],序列_版层分类,0)*1000+MATCH(表_网址[[#This Row],[首要关键词]],序列_首要关键词,0)</f>
        <v>1002</v>
      </c>
      <c r="C18" s="2">
        <f ca="1">IF(表_网址[[#This Row],[次要关键词]]="",10,MATCH(表_网址[[#This Row],[次要关键词]],序列_次要关键词,0)+10)</f>
        <v>15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100</v>
      </c>
      <c r="J18" t="s">
        <v>23</v>
      </c>
      <c r="K18" t="s">
        <v>1686</v>
      </c>
      <c r="L18" t="s">
        <v>323</v>
      </c>
    </row>
    <row r="19" spans="1:12" x14ac:dyDescent="0.2">
      <c r="A19" t="str">
        <f ca="1">表_网址[[#This Row],[1级]]&amp;"-"&amp;表_网址[[#This Row],[2级]]&amp;"-"&amp;表_网址[[#This Row],[3级]]&amp;"-"&amp;表_网址[[#This Row],[级内]]</f>
        <v>1002-15-10-101</v>
      </c>
      <c r="B19" s="2">
        <f ca="1">MATCH(表_网址[[#This Row],[版层分类]],序列_版层分类,0)*1000+MATCH(表_网址[[#This Row],[首要关键词]],序列_首要关键词,0)</f>
        <v>1002</v>
      </c>
      <c r="C19" s="2">
        <f ca="1">IF(表_网址[[#This Row],[次要关键词]]="",10,MATCH(表_网址[[#This Row],[次要关键词]],序列_次要关键词,0)+10)</f>
        <v>15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100</v>
      </c>
      <c r="J19" t="s">
        <v>23</v>
      </c>
      <c r="K19" t="s">
        <v>1686</v>
      </c>
      <c r="L19" t="s">
        <v>327</v>
      </c>
    </row>
    <row r="20" spans="1:12" x14ac:dyDescent="0.2">
      <c r="A20" t="str">
        <f ca="1">表_网址[[#This Row],[1级]]&amp;"-"&amp;表_网址[[#This Row],[2级]]&amp;"-"&amp;表_网址[[#This Row],[3级]]&amp;"-"&amp;表_网址[[#This Row],[级内]]</f>
        <v>1002-15-10-102</v>
      </c>
      <c r="B20" s="2">
        <f ca="1">MATCH(表_网址[[#This Row],[版层分类]],序列_版层分类,0)*1000+MATCH(表_网址[[#This Row],[首要关键词]],序列_首要关键词,0)</f>
        <v>1002</v>
      </c>
      <c r="C20" s="2">
        <f ca="1">IF(表_网址[[#This Row],[次要关键词]]="",10,MATCH(表_网址[[#This Row],[次要关键词]],序列_次要关键词,0)+10)</f>
        <v>15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100</v>
      </c>
      <c r="J20" t="s">
        <v>23</v>
      </c>
      <c r="K20" t="s">
        <v>1686</v>
      </c>
      <c r="L20" t="s">
        <v>331</v>
      </c>
    </row>
    <row r="21" spans="1:12" x14ac:dyDescent="0.2">
      <c r="A21" t="str">
        <f ca="1">表_网址[[#This Row],[1级]]&amp;"-"&amp;表_网址[[#This Row],[2级]]&amp;"-"&amp;表_网址[[#This Row],[3级]]&amp;"-"&amp;表_网址[[#This Row],[级内]]</f>
        <v>1002-16-10-100</v>
      </c>
      <c r="B21" s="2">
        <f ca="1">MATCH(表_网址[[#This Row],[版层分类]],序列_版层分类,0)*1000+MATCH(表_网址[[#This Row],[首要关键词]],序列_首要关键词,0)</f>
        <v>1002</v>
      </c>
      <c r="C21" s="2">
        <f ca="1">IF(表_网址[[#This Row],[次要关键词]]="",10,MATCH(表_网址[[#This Row],[次要关键词]],序列_次要关键词,0)+10)</f>
        <v>16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100</v>
      </c>
      <c r="J21" t="s">
        <v>23</v>
      </c>
      <c r="K21" t="s">
        <v>1686</v>
      </c>
      <c r="L21" t="s">
        <v>418</v>
      </c>
    </row>
    <row r="22" spans="1:12" x14ac:dyDescent="0.2">
      <c r="A22" t="str">
        <f ca="1">表_网址[[#This Row],[1级]]&amp;"-"&amp;表_网址[[#This Row],[2级]]&amp;"-"&amp;表_网址[[#This Row],[3级]]&amp;"-"&amp;表_网址[[#This Row],[级内]]</f>
        <v>1002-16-10-101</v>
      </c>
      <c r="B22" s="2">
        <f ca="1">MATCH(表_网址[[#This Row],[版层分类]],序列_版层分类,0)*1000+MATCH(表_网址[[#This Row],[首要关键词]],序列_首要关键词,0)</f>
        <v>1002</v>
      </c>
      <c r="C22" s="2">
        <f ca="1">IF(表_网址[[#This Row],[次要关键词]]="",10,MATCH(表_网址[[#This Row],[次要关键词]],序列_次要关键词,0)+10)</f>
        <v>16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100</v>
      </c>
      <c r="J22" t="s">
        <v>23</v>
      </c>
      <c r="K22" t="s">
        <v>1686</v>
      </c>
      <c r="L22" t="s">
        <v>422</v>
      </c>
    </row>
    <row r="23" spans="1:12" x14ac:dyDescent="0.2">
      <c r="A23" t="str">
        <f ca="1">表_网址[[#This Row],[1级]]&amp;"-"&amp;表_网址[[#This Row],[2级]]&amp;"-"&amp;表_网址[[#This Row],[3级]]&amp;"-"&amp;表_网址[[#This Row],[级内]]</f>
        <v>1002-16-10-102</v>
      </c>
      <c r="B23" s="2">
        <f ca="1">MATCH(表_网址[[#This Row],[版层分类]],序列_版层分类,0)*1000+MATCH(表_网址[[#This Row],[首要关键词]],序列_首要关键词,0)</f>
        <v>1002</v>
      </c>
      <c r="C23" s="2">
        <f ca="1">IF(表_网址[[#This Row],[次要关键词]]="",10,MATCH(表_网址[[#This Row],[次要关键词]],序列_次要关键词,0)+10)</f>
        <v>16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100</v>
      </c>
      <c r="J23" t="s">
        <v>23</v>
      </c>
      <c r="K23" t="s">
        <v>1686</v>
      </c>
      <c r="L23" t="s">
        <v>426</v>
      </c>
    </row>
    <row r="24" spans="1:12" x14ac:dyDescent="0.2">
      <c r="A24" t="str">
        <f ca="1">表_网址[[#This Row],[1级]]&amp;"-"&amp;表_网址[[#This Row],[2级]]&amp;"-"&amp;表_网址[[#This Row],[3级]]&amp;"-"&amp;表_网址[[#This Row],[级内]]</f>
        <v>1002-16-10-103</v>
      </c>
      <c r="B24" s="2">
        <f ca="1">MATCH(表_网址[[#This Row],[版层分类]],序列_版层分类,0)*1000+MATCH(表_网址[[#This Row],[首要关键词]],序列_首要关键词,0)</f>
        <v>1002</v>
      </c>
      <c r="C24" s="2">
        <f ca="1">IF(表_网址[[#This Row],[次要关键词]]="",10,MATCH(表_网址[[#This Row],[次要关键词]],序列_次要关键词,0)+10)</f>
        <v>16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100</v>
      </c>
      <c r="J24" t="s">
        <v>23</v>
      </c>
      <c r="K24" t="s">
        <v>1686</v>
      </c>
      <c r="L24" t="s">
        <v>430</v>
      </c>
    </row>
    <row r="25" spans="1:12" x14ac:dyDescent="0.2">
      <c r="A25" t="str">
        <f ca="1">表_网址[[#This Row],[1级]]&amp;"-"&amp;表_网址[[#This Row],[2级]]&amp;"-"&amp;表_网址[[#This Row],[3级]]&amp;"-"&amp;表_网址[[#This Row],[级内]]</f>
        <v>1002-16-10-104</v>
      </c>
      <c r="B25" s="2">
        <f ca="1">MATCH(表_网址[[#This Row],[版层分类]],序列_版层分类,0)*1000+MATCH(表_网址[[#This Row],[首要关键词]],序列_首要关键词,0)</f>
        <v>1002</v>
      </c>
      <c r="C25" s="2">
        <f ca="1">IF(表_网址[[#This Row],[次要关键词]]="",10,MATCH(表_网址[[#This Row],[次要关键词]],序列_次要关键词,0)+10)</f>
        <v>16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100</v>
      </c>
      <c r="J25" t="s">
        <v>23</v>
      </c>
      <c r="K25" t="s">
        <v>1686</v>
      </c>
      <c r="L25" t="s">
        <v>434</v>
      </c>
    </row>
    <row r="26" spans="1:12" x14ac:dyDescent="0.2">
      <c r="A26" t="str">
        <f ca="1">表_网址[[#This Row],[1级]]&amp;"-"&amp;表_网址[[#This Row],[2级]]&amp;"-"&amp;表_网址[[#This Row],[3级]]&amp;"-"&amp;表_网址[[#This Row],[级内]]</f>
        <v>1002-16-10-105</v>
      </c>
      <c r="B26" s="2">
        <f ca="1">MATCH(表_网址[[#This Row],[版层分类]],序列_版层分类,0)*1000+MATCH(表_网址[[#This Row],[首要关键词]],序列_首要关键词,0)</f>
        <v>1002</v>
      </c>
      <c r="C26" s="2">
        <f ca="1">IF(表_网址[[#This Row],[次要关键词]]="",10,MATCH(表_网址[[#This Row],[次要关键词]],序列_次要关键词,0)+10)</f>
        <v>16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100</v>
      </c>
      <c r="J26" t="s">
        <v>23</v>
      </c>
      <c r="K26" t="s">
        <v>1686</v>
      </c>
      <c r="L26" t="s">
        <v>442</v>
      </c>
    </row>
    <row r="27" spans="1:12" x14ac:dyDescent="0.2">
      <c r="A27" t="str">
        <f ca="1">表_网址[[#This Row],[1级]]&amp;"-"&amp;表_网址[[#This Row],[2级]]&amp;"-"&amp;表_网址[[#This Row],[3级]]&amp;"-"&amp;表_网址[[#This Row],[级内]]</f>
        <v>1002-16-10-106</v>
      </c>
      <c r="B27" s="2">
        <f ca="1">MATCH(表_网址[[#This Row],[版层分类]],序列_版层分类,0)*1000+MATCH(表_网址[[#This Row],[首要关键词]],序列_首要关键词,0)</f>
        <v>1002</v>
      </c>
      <c r="C27" s="2">
        <f ca="1">IF(表_网址[[#This Row],[次要关键词]]="",10,MATCH(表_网址[[#This Row],[次要关键词]],序列_次要关键词,0)+10)</f>
        <v>16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100</v>
      </c>
      <c r="J27" t="s">
        <v>23</v>
      </c>
      <c r="K27" t="s">
        <v>1686</v>
      </c>
      <c r="L27" t="s">
        <v>450</v>
      </c>
    </row>
    <row r="28" spans="1:12" x14ac:dyDescent="0.2">
      <c r="A28" t="str">
        <f ca="1">表_网址[[#This Row],[1级]]&amp;"-"&amp;表_网址[[#This Row],[2级]]&amp;"-"&amp;表_网址[[#This Row],[3级]]&amp;"-"&amp;表_网址[[#This Row],[级内]]</f>
        <v>1002-16-10-107</v>
      </c>
      <c r="B28" s="2">
        <f ca="1">MATCH(表_网址[[#This Row],[版层分类]],序列_版层分类,0)*1000+MATCH(表_网址[[#This Row],[首要关键词]],序列_首要关键词,0)</f>
        <v>1002</v>
      </c>
      <c r="C28" s="2">
        <f ca="1">IF(表_网址[[#This Row],[次要关键词]]="",10,MATCH(表_网址[[#This Row],[次要关键词]],序列_次要关键词,0)+10)</f>
        <v>16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100</v>
      </c>
      <c r="J28" t="s">
        <v>23</v>
      </c>
      <c r="K28" t="s">
        <v>1686</v>
      </c>
      <c r="L28" t="s">
        <v>454</v>
      </c>
    </row>
    <row r="29" spans="1:12" x14ac:dyDescent="0.2">
      <c r="A29" t="str">
        <f ca="1">表_网址[[#This Row],[1级]]&amp;"-"&amp;表_网址[[#This Row],[2级]]&amp;"-"&amp;表_网址[[#This Row],[3级]]&amp;"-"&amp;表_网址[[#This Row],[级内]]</f>
        <v>1002-16-10-108</v>
      </c>
      <c r="B29" s="2">
        <f ca="1">MATCH(表_网址[[#This Row],[版层分类]],序列_版层分类,0)*1000+MATCH(表_网址[[#This Row],[首要关键词]],序列_首要关键词,0)</f>
        <v>1002</v>
      </c>
      <c r="C29" s="2">
        <f ca="1">IF(表_网址[[#This Row],[次要关键词]]="",10,MATCH(表_网址[[#This Row],[次要关键词]],序列_次要关键词,0)+10)</f>
        <v>16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100</v>
      </c>
      <c r="J29" t="s">
        <v>23</v>
      </c>
      <c r="K29" t="s">
        <v>1686</v>
      </c>
      <c r="L29" t="s">
        <v>458</v>
      </c>
    </row>
    <row r="30" spans="1:12" x14ac:dyDescent="0.2">
      <c r="A30" t="str">
        <f ca="1">表_网址[[#This Row],[1级]]&amp;"-"&amp;表_网址[[#This Row],[2级]]&amp;"-"&amp;表_网址[[#This Row],[3级]]&amp;"-"&amp;表_网址[[#This Row],[级内]]</f>
        <v>1002-16-10-109</v>
      </c>
      <c r="B30" s="2">
        <f ca="1">MATCH(表_网址[[#This Row],[版层分类]],序列_版层分类,0)*1000+MATCH(表_网址[[#This Row],[首要关键词]],序列_首要关键词,0)</f>
        <v>1002</v>
      </c>
      <c r="C30" s="2">
        <f ca="1">IF(表_网址[[#This Row],[次要关键词]]="",10,MATCH(表_网址[[#This Row],[次要关键词]],序列_次要关键词,0)+10)</f>
        <v>16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100</v>
      </c>
      <c r="J30" t="s">
        <v>23</v>
      </c>
      <c r="K30" t="s">
        <v>1686</v>
      </c>
      <c r="L30" t="s">
        <v>462</v>
      </c>
    </row>
    <row r="31" spans="1:12" x14ac:dyDescent="0.2">
      <c r="A31" t="str">
        <f ca="1">表_网址[[#This Row],[1级]]&amp;"-"&amp;表_网址[[#This Row],[2级]]&amp;"-"&amp;表_网址[[#This Row],[3级]]&amp;"-"&amp;表_网址[[#This Row],[级内]]</f>
        <v>1002-16-10-110</v>
      </c>
      <c r="B31" s="2">
        <f ca="1">MATCH(表_网址[[#This Row],[版层分类]],序列_版层分类,0)*1000+MATCH(表_网址[[#This Row],[首要关键词]],序列_首要关键词,0)</f>
        <v>1002</v>
      </c>
      <c r="C31" s="2">
        <f ca="1">IF(表_网址[[#This Row],[次要关键词]]="",10,MATCH(表_网址[[#This Row],[次要关键词]],序列_次要关键词,0)+10)</f>
        <v>16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J31" t="s">
        <v>23</v>
      </c>
      <c r="K31" t="s">
        <v>1686</v>
      </c>
      <c r="L31" t="s">
        <v>466</v>
      </c>
    </row>
    <row r="32" spans="1:12" x14ac:dyDescent="0.2">
      <c r="A32" t="str">
        <f ca="1">表_网址[[#This Row],[1级]]&amp;"-"&amp;表_网址[[#This Row],[2级]]&amp;"-"&amp;表_网址[[#This Row],[3级]]&amp;"-"&amp;表_网址[[#This Row],[级内]]</f>
        <v>1002-16-10-111</v>
      </c>
      <c r="B32" s="2">
        <f ca="1">MATCH(表_网址[[#This Row],[版层分类]],序列_版层分类,0)*1000+MATCH(表_网址[[#This Row],[首要关键词]],序列_首要关键词,0)</f>
        <v>1002</v>
      </c>
      <c r="C32" s="2">
        <f ca="1">IF(表_网址[[#This Row],[次要关键词]]="",10,MATCH(表_网址[[#This Row],[次要关键词]],序列_次要关键词,0)+10)</f>
        <v>16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100</v>
      </c>
      <c r="J32" t="s">
        <v>23</v>
      </c>
      <c r="K32" t="s">
        <v>1686</v>
      </c>
      <c r="L32" t="s">
        <v>470</v>
      </c>
    </row>
    <row r="33" spans="1:12" x14ac:dyDescent="0.2">
      <c r="A33" t="str">
        <f ca="1">表_网址[[#This Row],[1级]]&amp;"-"&amp;表_网址[[#This Row],[2级]]&amp;"-"&amp;表_网址[[#This Row],[3级]]&amp;"-"&amp;表_网址[[#This Row],[级内]]</f>
        <v>1002-16-10-112</v>
      </c>
      <c r="B33" s="2">
        <f ca="1">MATCH(表_网址[[#This Row],[版层分类]],序列_版层分类,0)*1000+MATCH(表_网址[[#This Row],[首要关键词]],序列_首要关键词,0)</f>
        <v>1002</v>
      </c>
      <c r="C33" s="2">
        <f ca="1">IF(表_网址[[#This Row],[次要关键词]]="",10,MATCH(表_网址[[#This Row],[次要关键词]],序列_次要关键词,0)+10)</f>
        <v>16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100</v>
      </c>
      <c r="J33" t="s">
        <v>23</v>
      </c>
      <c r="K33" t="s">
        <v>1686</v>
      </c>
      <c r="L33" t="s">
        <v>474</v>
      </c>
    </row>
    <row r="34" spans="1:12" x14ac:dyDescent="0.2">
      <c r="A34" t="str">
        <f ca="1">表_网址[[#This Row],[1级]]&amp;"-"&amp;表_网址[[#This Row],[2级]]&amp;"-"&amp;表_网址[[#This Row],[3级]]&amp;"-"&amp;表_网址[[#This Row],[级内]]</f>
        <v>1002-16-10-113</v>
      </c>
      <c r="B34" s="2">
        <f ca="1">MATCH(表_网址[[#This Row],[版层分类]],序列_版层分类,0)*1000+MATCH(表_网址[[#This Row],[首要关键词]],序列_首要关键词,0)</f>
        <v>1002</v>
      </c>
      <c r="C34" s="2">
        <f ca="1">IF(表_网址[[#This Row],[次要关键词]]="",10,MATCH(表_网址[[#This Row],[次要关键词]],序列_次要关键词,0)+10)</f>
        <v>16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100</v>
      </c>
      <c r="J34" t="s">
        <v>23</v>
      </c>
      <c r="K34" t="s">
        <v>1686</v>
      </c>
      <c r="L34" t="s">
        <v>478</v>
      </c>
    </row>
    <row r="35" spans="1:12" x14ac:dyDescent="0.2">
      <c r="A35" t="str">
        <f ca="1">表_网址[[#This Row],[1级]]&amp;"-"&amp;表_网址[[#This Row],[2级]]&amp;"-"&amp;表_网址[[#This Row],[3级]]&amp;"-"&amp;表_网址[[#This Row],[级内]]</f>
        <v>1002-16-10-114</v>
      </c>
      <c r="B35" s="2">
        <f ca="1">MATCH(表_网址[[#This Row],[版层分类]],序列_版层分类,0)*1000+MATCH(表_网址[[#This Row],[首要关键词]],序列_首要关键词,0)</f>
        <v>1002</v>
      </c>
      <c r="C35" s="2">
        <f ca="1">IF(表_网址[[#This Row],[次要关键词]]="",10,MATCH(表_网址[[#This Row],[次要关键词]],序列_次要关键词,0)+10)</f>
        <v>16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J35" t="s">
        <v>23</v>
      </c>
      <c r="K35" t="s">
        <v>1686</v>
      </c>
      <c r="L35" t="s">
        <v>482</v>
      </c>
    </row>
    <row r="36" spans="1:12" x14ac:dyDescent="0.2">
      <c r="A36" t="str">
        <f ca="1">表_网址[[#This Row],[1级]]&amp;"-"&amp;表_网址[[#This Row],[2级]]&amp;"-"&amp;表_网址[[#This Row],[3级]]&amp;"-"&amp;表_网址[[#This Row],[级内]]</f>
        <v>1002-16-10-115</v>
      </c>
      <c r="B36" s="2">
        <f ca="1">MATCH(表_网址[[#This Row],[版层分类]],序列_版层分类,0)*1000+MATCH(表_网址[[#This Row],[首要关键词]],序列_首要关键词,0)</f>
        <v>1002</v>
      </c>
      <c r="C36" s="2">
        <f ca="1">IF(表_网址[[#This Row],[次要关键词]]="",10,MATCH(表_网址[[#This Row],[次要关键词]],序列_次要关键词,0)+10)</f>
        <v>16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100</v>
      </c>
      <c r="J36" t="s">
        <v>23</v>
      </c>
      <c r="K36" t="s">
        <v>1686</v>
      </c>
      <c r="L36" t="s">
        <v>486</v>
      </c>
    </row>
    <row r="37" spans="1:12" x14ac:dyDescent="0.2">
      <c r="A37" t="str">
        <f ca="1">表_网址[[#This Row],[1级]]&amp;"-"&amp;表_网址[[#This Row],[2级]]&amp;"-"&amp;表_网址[[#This Row],[3级]]&amp;"-"&amp;表_网址[[#This Row],[级内]]</f>
        <v>1002-16-10-116</v>
      </c>
      <c r="B37" s="2">
        <f ca="1">MATCH(表_网址[[#This Row],[版层分类]],序列_版层分类,0)*1000+MATCH(表_网址[[#This Row],[首要关键词]],序列_首要关键词,0)</f>
        <v>1002</v>
      </c>
      <c r="C37" s="2">
        <f ca="1">IF(表_网址[[#This Row],[次要关键词]]="",10,MATCH(表_网址[[#This Row],[次要关键词]],序列_次要关键词,0)+10)</f>
        <v>16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J37" t="s">
        <v>23</v>
      </c>
      <c r="K37" t="s">
        <v>1686</v>
      </c>
      <c r="L37" t="s">
        <v>490</v>
      </c>
    </row>
    <row r="38" spans="1:12" x14ac:dyDescent="0.2">
      <c r="A38" t="str">
        <f ca="1">表_网址[[#This Row],[1级]]&amp;"-"&amp;表_网址[[#This Row],[2级]]&amp;"-"&amp;表_网址[[#This Row],[3级]]&amp;"-"&amp;表_网址[[#This Row],[级内]]</f>
        <v>1002-16-10-117</v>
      </c>
      <c r="B38" s="2">
        <f ca="1">MATCH(表_网址[[#This Row],[版层分类]],序列_版层分类,0)*1000+MATCH(表_网址[[#This Row],[首要关键词]],序列_首要关键词,0)</f>
        <v>1002</v>
      </c>
      <c r="C38" s="2">
        <f ca="1">IF(表_网址[[#This Row],[次要关键词]]="",10,MATCH(表_网址[[#This Row],[次要关键词]],序列_次要关键词,0)+10)</f>
        <v>16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100</v>
      </c>
      <c r="J38" t="s">
        <v>23</v>
      </c>
      <c r="K38" t="s">
        <v>1686</v>
      </c>
      <c r="L38" t="s">
        <v>494</v>
      </c>
    </row>
  </sheetData>
  <phoneticPr fontId="1" type="noConversion"/>
  <dataValidations count="10">
    <dataValidation type="custom" allowBlank="1" showInputMessage="1" showErrorMessage="1" sqref="A15" xr:uid="{F0A035D1-EB22-42BA-B718-64BBDE238E41}">
      <formula1>COUNTIF(A:A,A17)=1</formula1>
    </dataValidation>
    <dataValidation type="custom" allowBlank="1" showInputMessage="1" showErrorMessage="1" sqref="A14" xr:uid="{86B587C1-FD1F-421D-A1AE-2DAD8246CAC9}">
      <formula1>COUNTIF(A:A,A17)=1</formula1>
    </dataValidation>
    <dataValidation type="custom" allowBlank="1" showInputMessage="1" showErrorMessage="1" sqref="A13" xr:uid="{96EE8400-79C3-4D9B-B4CE-6772CD389E56}">
      <formula1>COUNTIF(A:A,A17)=1</formula1>
    </dataValidation>
    <dataValidation type="custom" allowBlank="1" showInputMessage="1" showErrorMessage="1" sqref="A12" xr:uid="{502C5477-FE6C-4F4B-996C-BF651D45F49E}">
      <formula1>COUNTIF(A:A,A17)=1</formula1>
    </dataValidation>
    <dataValidation type="custom" allowBlank="1" showInputMessage="1" showErrorMessage="1" sqref="A8:A11" xr:uid="{913E0ED7-3DBC-470C-8E4D-73BC8AAD4BD0}">
      <formula1>COUNTIF(A:A,A16)=1</formula1>
    </dataValidation>
    <dataValidation type="custom" allowBlank="1" showInputMessage="1" showErrorMessage="1" sqref="A1:A7 A16:A38" xr:uid="{C3853533-5207-4350-836C-B28D9CEAA16B}">
      <formula1>COUNTIF(A:A,A2)=1</formula1>
    </dataValidation>
    <dataValidation type="list" allowBlank="1" showInputMessage="1" showErrorMessage="1" sqref="M1:M38" xr:uid="{46A98F68-E813-4D29-9783-CF43AADC829B}">
      <formula1>序列_重点关键词</formula1>
    </dataValidation>
    <dataValidation type="list" allowBlank="1" showInputMessage="1" showErrorMessage="1" sqref="L1:L38" xr:uid="{19750A61-A437-4252-8213-67F5B208F4AC}">
      <formula1>序列_次要关键词</formula1>
    </dataValidation>
    <dataValidation type="list" allowBlank="1" showInputMessage="1" showErrorMessage="1" sqref="K1:K38" xr:uid="{150D5521-186F-409D-8C89-E6FB39B2D558}">
      <formula1>序列_首要关键词</formula1>
    </dataValidation>
    <dataValidation type="list" allowBlank="1" showInputMessage="1" showErrorMessage="1" sqref="J1:J38" xr:uid="{74D72E2B-0CCC-405E-BDC4-011F51973F6A}">
      <formula1>序列_版层分类</formula1>
    </dataValidation>
  </dataValidations>
  <hyperlinks>
    <hyperlink ref="G8" r:id="rId1" xr:uid="{8F4DD4E2-5AF7-4E82-B44C-C938F2C6AEFA}"/>
    <hyperlink ref="G10" r:id="rId2" xr:uid="{275427CD-851F-460C-A722-64BD57CB2FB1}"/>
    <hyperlink ref="G11" r:id="rId3" xr:uid="{B3DC367A-0A13-47F8-BD59-C8C7CE5C6325}"/>
    <hyperlink ref="G12" r:id="rId4" xr:uid="{FEE1F977-451F-4B51-81FC-99EA55D70158}"/>
    <hyperlink ref="G13" r:id="rId5" xr:uid="{FC752377-D231-4751-9C49-F5194FFA4EDC}"/>
    <hyperlink ref="G14" r:id="rId6" xr:uid="{A6A844D0-44B3-445C-A5FC-BA216F4CA8F9}"/>
    <hyperlink ref="G15" r:id="rId7" xr:uid="{D2B1DA7F-715A-489B-A1A3-3B5A238CCE24}"/>
  </hyperlinks>
  <pageMargins left="0.7" right="0.7" top="0.75" bottom="0.75" header="0.3" footer="0.3"/>
  <pageSetup paperSize="9" orientation="portrait" horizontalDpi="300" verticalDpi="300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/>
  <dimension ref="A1:AB10"/>
  <sheetViews>
    <sheetView workbookViewId="0">
      <selection activeCell="C5" sqref="C5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7" width="7.125" bestFit="1" customWidth="1"/>
    <col min="9" max="10" width="6.375" bestFit="1" customWidth="1"/>
    <col min="12" max="12" width="6.375" bestFit="1" customWidth="1"/>
    <col min="13" max="14" width="7.375" bestFit="1" customWidth="1"/>
    <col min="15" max="16" width="11" bestFit="1" customWidth="1"/>
    <col min="17" max="28" width="7.375" bestFit="1" customWidth="1"/>
  </cols>
  <sheetData>
    <row r="1" spans="1:28" x14ac:dyDescent="0.2">
      <c r="A1" t="s">
        <v>0</v>
      </c>
      <c r="B1" t="s">
        <v>1690</v>
      </c>
      <c r="C1" t="s">
        <v>1691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</row>
    <row r="2" spans="1:28" x14ac:dyDescent="0.2">
      <c r="A2">
        <v>1</v>
      </c>
      <c r="B2" s="2">
        <f>COUNTIF(表_版层分类[[#This Row],[列1]:[列25]],"&lt;&gt;")</f>
        <v>3</v>
      </c>
      <c r="C2" t="s">
        <v>1708</v>
      </c>
      <c r="D2" t="s">
        <v>542</v>
      </c>
      <c r="E2" t="s">
        <v>573</v>
      </c>
      <c r="F2" t="s">
        <v>594</v>
      </c>
    </row>
    <row r="3" spans="1:28" x14ac:dyDescent="0.2">
      <c r="A3">
        <v>2</v>
      </c>
      <c r="B3" s="2">
        <f>COUNTIF(表_版层分类[[#This Row],[列1]:[列25]],"&lt;&gt;")</f>
        <v>5</v>
      </c>
      <c r="C3" t="s">
        <v>1741</v>
      </c>
      <c r="D3" t="s">
        <v>1768</v>
      </c>
      <c r="E3" t="s">
        <v>604</v>
      </c>
      <c r="F3" t="s">
        <v>614</v>
      </c>
      <c r="G3" t="s">
        <v>645</v>
      </c>
      <c r="H3" t="s">
        <v>1763</v>
      </c>
    </row>
    <row r="4" spans="1:28" x14ac:dyDescent="0.2">
      <c r="A4">
        <v>10</v>
      </c>
      <c r="B4" s="2">
        <f>COUNTIF(表_版层分类[[#This Row],[列1]:[列25]],"&lt;&gt;")</f>
        <v>5</v>
      </c>
      <c r="C4" t="s">
        <v>1777</v>
      </c>
      <c r="D4" t="s">
        <v>1793</v>
      </c>
      <c r="E4" t="s">
        <v>1778</v>
      </c>
      <c r="F4" t="s">
        <v>1117</v>
      </c>
      <c r="G4" t="s">
        <v>1795</v>
      </c>
      <c r="H4" t="s">
        <v>1763</v>
      </c>
    </row>
    <row r="5" spans="1:28" x14ac:dyDescent="0.2">
      <c r="A5">
        <v>20</v>
      </c>
      <c r="B5" s="2">
        <f>COUNTIF(表_版层分类[[#This Row],[列1]:[列25]],"&lt;&gt;")</f>
        <v>6</v>
      </c>
      <c r="C5" t="s">
        <v>1776</v>
      </c>
      <c r="D5" t="s">
        <v>882</v>
      </c>
      <c r="E5" t="s">
        <v>995</v>
      </c>
      <c r="F5" t="s">
        <v>1001</v>
      </c>
      <c r="G5" t="s">
        <v>1021</v>
      </c>
      <c r="H5" t="s">
        <v>1029</v>
      </c>
      <c r="I5" t="s">
        <v>1763</v>
      </c>
    </row>
    <row r="6" spans="1:28" x14ac:dyDescent="0.2">
      <c r="A6">
        <v>100</v>
      </c>
      <c r="B6" s="2">
        <f>COUNTIF(表_版层分类[[#This Row],[列1]:[列25]],"&lt;&gt;")</f>
        <v>5</v>
      </c>
      <c r="C6" t="s">
        <v>1743</v>
      </c>
      <c r="D6" t="s">
        <v>1745</v>
      </c>
      <c r="E6" t="s">
        <v>1747</v>
      </c>
      <c r="F6" t="s">
        <v>1749</v>
      </c>
      <c r="G6" t="s">
        <v>1750</v>
      </c>
      <c r="H6" t="s">
        <v>1763</v>
      </c>
    </row>
    <row r="7" spans="1:28" x14ac:dyDescent="0.2">
      <c r="A7">
        <v>900</v>
      </c>
      <c r="B7">
        <f>COUNTIF(表_版层分类[[#This Row],[列1]:[列25]],"&lt;&gt;")</f>
        <v>9</v>
      </c>
      <c r="C7" t="s">
        <v>1703</v>
      </c>
      <c r="D7" t="s">
        <v>1083</v>
      </c>
      <c r="E7" t="s">
        <v>552</v>
      </c>
      <c r="F7" t="s">
        <v>1173</v>
      </c>
      <c r="G7" t="s">
        <v>1189</v>
      </c>
      <c r="H7" t="s">
        <v>1196</v>
      </c>
      <c r="I7" t="s">
        <v>1222</v>
      </c>
      <c r="J7" t="s">
        <v>1226</v>
      </c>
      <c r="K7" t="s">
        <v>1253</v>
      </c>
      <c r="L7" t="s">
        <v>569</v>
      </c>
    </row>
    <row r="8" spans="1:28" x14ac:dyDescent="0.2">
      <c r="A8">
        <v>998</v>
      </c>
      <c r="B8">
        <f>COUNTIF(表_版层分类[[#This Row],[列1]:[列25]],"&lt;&gt;")</f>
        <v>5</v>
      </c>
      <c r="C8" t="s">
        <v>1688</v>
      </c>
      <c r="D8" t="s">
        <v>1043</v>
      </c>
      <c r="E8" t="s">
        <v>1062</v>
      </c>
      <c r="F8" t="s">
        <v>591</v>
      </c>
      <c r="G8" t="s">
        <v>1772</v>
      </c>
      <c r="H8" t="s">
        <v>1774</v>
      </c>
    </row>
    <row r="9" spans="1:28" x14ac:dyDescent="0.2">
      <c r="A9">
        <v>999</v>
      </c>
      <c r="B9">
        <f>COUNTIF(表_版层分类[[#This Row],[列1]:[列25]],"&lt;&gt;")</f>
        <v>6</v>
      </c>
      <c r="C9" t="s">
        <v>1828</v>
      </c>
      <c r="D9" t="s">
        <v>1686</v>
      </c>
      <c r="E9" t="s">
        <v>1687</v>
      </c>
      <c r="F9" t="s">
        <v>24</v>
      </c>
      <c r="G9" t="s">
        <v>279</v>
      </c>
      <c r="H9" t="s">
        <v>1637</v>
      </c>
      <c r="I9" t="s">
        <v>498</v>
      </c>
    </row>
    <row r="10" spans="1:28" x14ac:dyDescent="0.2">
      <c r="A10">
        <v>1000</v>
      </c>
      <c r="B10">
        <f>COUNTIF(表_版层分类[[#This Row],[列1]:[列25]],"&lt;&gt;")</f>
        <v>2</v>
      </c>
      <c r="C10" t="s">
        <v>506</v>
      </c>
      <c r="D10" t="s">
        <v>1705</v>
      </c>
      <c r="E10" t="s">
        <v>1706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/>
  <dimension ref="A1:AH35"/>
  <sheetViews>
    <sheetView workbookViewId="0">
      <selection activeCell="K6" sqref="K6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1689</v>
      </c>
      <c r="B1" t="s">
        <v>1690</v>
      </c>
      <c r="C1" t="s">
        <v>10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  <c r="X1" t="s">
        <v>1681</v>
      </c>
      <c r="Y1" t="s">
        <v>1682</v>
      </c>
      <c r="Z1" t="s">
        <v>1683</v>
      </c>
      <c r="AA1" t="s">
        <v>1684</v>
      </c>
      <c r="AB1" t="s">
        <v>1685</v>
      </c>
      <c r="AC1" t="s">
        <v>1692</v>
      </c>
      <c r="AD1" t="s">
        <v>1693</v>
      </c>
      <c r="AE1" t="s">
        <v>1694</v>
      </c>
      <c r="AF1" t="s">
        <v>1695</v>
      </c>
      <c r="AG1" t="s">
        <v>1696</v>
      </c>
      <c r="AH1" t="s">
        <v>1697</v>
      </c>
    </row>
    <row r="2" spans="1:34" x14ac:dyDescent="0.2">
      <c r="A2">
        <v>101</v>
      </c>
      <c r="B2">
        <f>COUNTIF(表_首次要关键词[[#This Row],[列1]:[列31]],"&lt;&gt;")</f>
        <v>1</v>
      </c>
      <c r="C2" t="s">
        <v>24</v>
      </c>
      <c r="D2" t="s">
        <v>26</v>
      </c>
    </row>
    <row r="3" spans="1:34" x14ac:dyDescent="0.2">
      <c r="A3">
        <v>102</v>
      </c>
      <c r="B3">
        <f>COUNTIF(表_首次要关键词[[#This Row],[列1]:[列31]],"&lt;&gt;")</f>
        <v>31</v>
      </c>
      <c r="C3" t="s">
        <v>279</v>
      </c>
      <c r="D3" t="s">
        <v>283</v>
      </c>
      <c r="E3" t="s">
        <v>287</v>
      </c>
      <c r="F3" t="s">
        <v>291</v>
      </c>
      <c r="G3" t="s">
        <v>295</v>
      </c>
      <c r="H3" t="s">
        <v>299</v>
      </c>
      <c r="I3" t="s">
        <v>303</v>
      </c>
      <c r="J3" t="s">
        <v>307</v>
      </c>
      <c r="K3" t="s">
        <v>311</v>
      </c>
      <c r="L3" t="s">
        <v>315</v>
      </c>
      <c r="M3" t="s">
        <v>319</v>
      </c>
      <c r="N3" t="s">
        <v>323</v>
      </c>
      <c r="O3" t="s">
        <v>327</v>
      </c>
      <c r="P3" t="s">
        <v>331</v>
      </c>
      <c r="Q3" t="s">
        <v>418</v>
      </c>
      <c r="R3" t="s">
        <v>422</v>
      </c>
      <c r="S3" t="s">
        <v>426</v>
      </c>
      <c r="T3" t="s">
        <v>430</v>
      </c>
      <c r="U3" t="s">
        <v>434</v>
      </c>
      <c r="V3" t="s">
        <v>442</v>
      </c>
      <c r="W3" t="s">
        <v>450</v>
      </c>
      <c r="X3" t="s">
        <v>454</v>
      </c>
      <c r="Y3" t="s">
        <v>458</v>
      </c>
      <c r="Z3" t="s">
        <v>462</v>
      </c>
      <c r="AA3" t="s">
        <v>466</v>
      </c>
      <c r="AB3" t="s">
        <v>470</v>
      </c>
      <c r="AC3" t="s">
        <v>474</v>
      </c>
      <c r="AD3" t="s">
        <v>478</v>
      </c>
      <c r="AE3" t="s">
        <v>482</v>
      </c>
      <c r="AF3" t="s">
        <v>486</v>
      </c>
      <c r="AG3" t="s">
        <v>490</v>
      </c>
      <c r="AH3" t="s">
        <v>494</v>
      </c>
    </row>
    <row r="4" spans="1:34" x14ac:dyDescent="0.2">
      <c r="A4">
        <v>112</v>
      </c>
      <c r="B4">
        <f>COUNTIF(表_首次要关键词[[#This Row],[列1]:[列31]],"&lt;&gt;")</f>
        <v>2</v>
      </c>
      <c r="C4" t="s">
        <v>498</v>
      </c>
      <c r="D4" t="s">
        <v>1797</v>
      </c>
      <c r="E4" t="s">
        <v>1763</v>
      </c>
    </row>
    <row r="5" spans="1:34" x14ac:dyDescent="0.2">
      <c r="A5">
        <v>201</v>
      </c>
      <c r="B5">
        <f>COUNTIF(表_首次要关键词[[#This Row],[列1]:[列31]],"&lt;&gt;")</f>
        <v>9</v>
      </c>
      <c r="C5" t="s">
        <v>542</v>
      </c>
      <c r="D5" t="s">
        <v>1768</v>
      </c>
      <c r="E5" t="s">
        <v>1758</v>
      </c>
      <c r="F5" t="s">
        <v>1791</v>
      </c>
      <c r="G5" t="s">
        <v>552</v>
      </c>
      <c r="H5" t="s">
        <v>556</v>
      </c>
      <c r="I5" t="s">
        <v>560</v>
      </c>
      <c r="J5" t="s">
        <v>565</v>
      </c>
      <c r="K5" t="s">
        <v>569</v>
      </c>
      <c r="L5" t="s">
        <v>1763</v>
      </c>
    </row>
    <row r="6" spans="1:34" x14ac:dyDescent="0.2">
      <c r="A6">
        <v>202</v>
      </c>
      <c r="B6">
        <f>COUNTIF(表_首次要关键词[[#This Row],[列1]:[列31]],"&lt;&gt;")</f>
        <v>8</v>
      </c>
      <c r="C6" t="s">
        <v>573</v>
      </c>
      <c r="D6" t="s">
        <v>1754</v>
      </c>
      <c r="E6" t="s">
        <v>1756</v>
      </c>
      <c r="F6" t="s">
        <v>1758</v>
      </c>
      <c r="G6" t="s">
        <v>1760</v>
      </c>
      <c r="H6" t="s">
        <v>1762</v>
      </c>
      <c r="I6" t="s">
        <v>1763</v>
      </c>
      <c r="J6" t="s">
        <v>1862</v>
      </c>
      <c r="K6" t="s">
        <v>1867</v>
      </c>
    </row>
    <row r="7" spans="1:34" x14ac:dyDescent="0.2">
      <c r="A7">
        <v>203</v>
      </c>
      <c r="B7">
        <f>COUNTIF(表_首次要关键词[[#This Row],[列1]:[列31]],"&lt;&gt;")</f>
        <v>0</v>
      </c>
      <c r="C7" t="s">
        <v>594</v>
      </c>
    </row>
    <row r="8" spans="1:34" x14ac:dyDescent="0.2">
      <c r="A8">
        <v>204</v>
      </c>
      <c r="B8">
        <f>COUNTIF(表_首次要关键词[[#This Row],[列1]:[列31]],"&lt;&gt;")</f>
        <v>5</v>
      </c>
      <c r="C8" t="s">
        <v>604</v>
      </c>
      <c r="D8" t="s">
        <v>1758</v>
      </c>
      <c r="E8" t="s">
        <v>1767</v>
      </c>
      <c r="F8" t="s">
        <v>1764</v>
      </c>
      <c r="G8" t="s">
        <v>1766</v>
      </c>
      <c r="H8" t="s">
        <v>1763</v>
      </c>
    </row>
    <row r="9" spans="1:34" x14ac:dyDescent="0.2">
      <c r="A9">
        <v>251</v>
      </c>
      <c r="B9">
        <f>COUNTIF(表_首次要关键词[[#This Row],[列1]:[列31]],"&lt;&gt;")</f>
        <v>6</v>
      </c>
      <c r="C9" t="s">
        <v>614</v>
      </c>
      <c r="D9" t="s">
        <v>1768</v>
      </c>
      <c r="E9" t="s">
        <v>1758</v>
      </c>
      <c r="F9" t="s">
        <v>1770</v>
      </c>
      <c r="G9" t="s">
        <v>1769</v>
      </c>
      <c r="H9" t="s">
        <v>1826</v>
      </c>
      <c r="I9" t="s">
        <v>1703</v>
      </c>
    </row>
    <row r="10" spans="1:34" x14ac:dyDescent="0.2">
      <c r="A10">
        <v>252</v>
      </c>
      <c r="B10">
        <f>COUNTIF(表_首次要关键词[[#This Row],[列1]:[列31]],"&lt;&gt;")</f>
        <v>0</v>
      </c>
      <c r="C10" t="s">
        <v>645</v>
      </c>
    </row>
    <row r="11" spans="1:34" x14ac:dyDescent="0.2">
      <c r="A11">
        <v>253</v>
      </c>
      <c r="B11">
        <f>COUNTIF(表_首次要关键词[[#This Row],[列1]:[列31]],"&lt;&gt;")</f>
        <v>0</v>
      </c>
      <c r="C11" t="s">
        <v>569</v>
      </c>
    </row>
    <row r="12" spans="1:34" x14ac:dyDescent="0.2">
      <c r="A12">
        <v>301</v>
      </c>
      <c r="B12">
        <f>COUNTIF(表_首次要关键词[[#This Row],[列1]:[列31]],"&lt;&gt;")</f>
        <v>5</v>
      </c>
      <c r="C12" t="str">
        <f>版层分类!D6</f>
        <v>银行</v>
      </c>
      <c r="D12" t="s">
        <v>701</v>
      </c>
      <c r="E12" t="s">
        <v>705</v>
      </c>
      <c r="F12" t="s">
        <v>713</v>
      </c>
      <c r="G12" t="s">
        <v>717</v>
      </c>
      <c r="H12" t="s">
        <v>730</v>
      </c>
    </row>
    <row r="13" spans="1:34" x14ac:dyDescent="0.2">
      <c r="A13">
        <v>302</v>
      </c>
      <c r="B13">
        <f>COUNTIF(表_首次要关键词[[#This Row],[列1]:[列31]],"&lt;&gt;")</f>
        <v>0</v>
      </c>
      <c r="C13" t="str">
        <f>版层分类!E4</f>
        <v>翻译</v>
      </c>
    </row>
    <row r="14" spans="1:34" x14ac:dyDescent="0.2">
      <c r="A14">
        <v>303</v>
      </c>
      <c r="B14">
        <f>COUNTIF(表_首次要关键词[[#This Row],[列1]:[列31]],"&lt;&gt;")</f>
        <v>0</v>
      </c>
      <c r="C14" t="str">
        <f>版层分类!F4</f>
        <v>邮箱</v>
      </c>
    </row>
    <row r="15" spans="1:34" x14ac:dyDescent="0.2">
      <c r="A15">
        <v>601</v>
      </c>
      <c r="B15">
        <f>COUNTIF(表_首次要关键词[[#This Row],[列1]:[列31]],"&lt;&gt;")</f>
        <v>18</v>
      </c>
      <c r="C15" t="s">
        <v>882</v>
      </c>
      <c r="D15" t="s">
        <v>1780</v>
      </c>
      <c r="E15" t="s">
        <v>933</v>
      </c>
      <c r="F15" t="s">
        <v>938</v>
      </c>
      <c r="G15" t="s">
        <v>941</v>
      </c>
      <c r="H15" t="s">
        <v>945</v>
      </c>
      <c r="I15" t="s">
        <v>948</v>
      </c>
      <c r="J15" t="s">
        <v>951</v>
      </c>
      <c r="K15" t="s">
        <v>952</v>
      </c>
      <c r="L15" t="s">
        <v>958</v>
      </c>
      <c r="M15" t="s">
        <v>962</v>
      </c>
      <c r="N15" t="s">
        <v>965</v>
      </c>
      <c r="O15" t="s">
        <v>968</v>
      </c>
      <c r="P15" t="s">
        <v>971</v>
      </c>
      <c r="Q15" t="s">
        <v>974</v>
      </c>
      <c r="R15" t="s">
        <v>977</v>
      </c>
      <c r="S15" t="s">
        <v>982</v>
      </c>
      <c r="T15" t="s">
        <v>985</v>
      </c>
      <c r="U15" t="s">
        <v>930</v>
      </c>
    </row>
    <row r="16" spans="1:34" x14ac:dyDescent="0.2">
      <c r="A16">
        <v>602</v>
      </c>
      <c r="B16">
        <f>COUNTIF(表_首次要关键词[[#This Row],[列1]:[列31]],"&lt;&gt;")</f>
        <v>1</v>
      </c>
      <c r="C16" t="s">
        <v>995</v>
      </c>
      <c r="D16" t="s">
        <v>992</v>
      </c>
    </row>
    <row r="17" spans="1:8" x14ac:dyDescent="0.2">
      <c r="A17">
        <v>603</v>
      </c>
      <c r="B17">
        <f>COUNTIF(表_首次要关键词[[#This Row],[列1]:[列31]],"&lt;&gt;")</f>
        <v>0</v>
      </c>
      <c r="C17" t="s">
        <v>1001</v>
      </c>
    </row>
    <row r="18" spans="1:8" x14ac:dyDescent="0.2">
      <c r="A18">
        <v>604</v>
      </c>
      <c r="B18">
        <f>COUNTIF(表_首次要关键词[[#This Row],[列1]:[列31]],"&lt;&gt;")</f>
        <v>0</v>
      </c>
      <c r="C18" t="s">
        <v>1021</v>
      </c>
    </row>
    <row r="19" spans="1:8" x14ac:dyDescent="0.2">
      <c r="A19">
        <v>605</v>
      </c>
      <c r="B19">
        <f>COUNTIF(表_首次要关键词[[#This Row],[列1]:[列31]],"&lt;&gt;")</f>
        <v>3</v>
      </c>
      <c r="C19" t="s">
        <v>1029</v>
      </c>
      <c r="D19" t="s">
        <v>1032</v>
      </c>
      <c r="E19" t="s">
        <v>982</v>
      </c>
      <c r="F19" t="s">
        <v>1039</v>
      </c>
    </row>
    <row r="20" spans="1:8" x14ac:dyDescent="0.2">
      <c r="A20">
        <v>801</v>
      </c>
      <c r="B20">
        <f>COUNTIF(表_首次要关键词[[#This Row],[列1]:[列31]],"&lt;&gt;")</f>
        <v>0</v>
      </c>
      <c r="C20" t="s">
        <v>1043</v>
      </c>
    </row>
    <row r="21" spans="1:8" x14ac:dyDescent="0.2">
      <c r="A21">
        <v>802</v>
      </c>
      <c r="B21">
        <f>COUNTIF(表_首次要关键词[[#This Row],[列1]:[列31]],"&lt;&gt;")</f>
        <v>0</v>
      </c>
      <c r="C21" t="s">
        <v>1062</v>
      </c>
    </row>
    <row r="22" spans="1:8" x14ac:dyDescent="0.2">
      <c r="A22">
        <v>803</v>
      </c>
      <c r="B22">
        <f>COUNTIF(表_首次要关键词[[#This Row],[列1]:[列31]],"&lt;&gt;")</f>
        <v>0</v>
      </c>
      <c r="C22" t="s">
        <v>591</v>
      </c>
    </row>
    <row r="23" spans="1:8" x14ac:dyDescent="0.2">
      <c r="A23">
        <v>900</v>
      </c>
      <c r="B23">
        <f>COUNTIF(表_首次要关键词[[#This Row],[列1]:[列31]],"&lt;&gt;")</f>
        <v>0</v>
      </c>
      <c r="C23" t="s">
        <v>1083</v>
      </c>
    </row>
    <row r="24" spans="1:8" x14ac:dyDescent="0.2">
      <c r="A24">
        <v>901</v>
      </c>
      <c r="B24">
        <f>COUNTIF(表_首次要关键词[[#This Row],[列1]:[列31]],"&lt;&gt;")</f>
        <v>0</v>
      </c>
      <c r="C24" t="s">
        <v>1117</v>
      </c>
    </row>
    <row r="25" spans="1:8" x14ac:dyDescent="0.2">
      <c r="A25">
        <v>902</v>
      </c>
      <c r="B25">
        <f>COUNTIF(表_首次要关键词[[#This Row],[列1]:[列31]],"&lt;&gt;")</f>
        <v>5</v>
      </c>
      <c r="C25" t="s">
        <v>552</v>
      </c>
      <c r="D25" t="s">
        <v>1144</v>
      </c>
      <c r="E25" t="s">
        <v>1162</v>
      </c>
      <c r="F25" t="s">
        <v>1166</v>
      </c>
      <c r="G25" t="s">
        <v>1169</v>
      </c>
      <c r="H25" t="s">
        <v>1823</v>
      </c>
    </row>
    <row r="26" spans="1:8" x14ac:dyDescent="0.2">
      <c r="A26">
        <v>903</v>
      </c>
      <c r="B26">
        <f>COUNTIF(表_首次要关键词[[#This Row],[列1]:[列31]],"&lt;&gt;")</f>
        <v>0</v>
      </c>
      <c r="C26" t="s">
        <v>1173</v>
      </c>
    </row>
    <row r="27" spans="1:8" x14ac:dyDescent="0.2">
      <c r="A27">
        <v>904</v>
      </c>
      <c r="B27">
        <f>COUNTIF(表_首次要关键词[[#This Row],[列1]:[列31]],"&lt;&gt;")</f>
        <v>0</v>
      </c>
      <c r="C27" t="s">
        <v>1189</v>
      </c>
    </row>
    <row r="28" spans="1:8" x14ac:dyDescent="0.2">
      <c r="A28">
        <v>905</v>
      </c>
      <c r="B28">
        <f>COUNTIF(表_首次要关键词[[#This Row],[列1]:[列31]],"&lt;&gt;")</f>
        <v>0</v>
      </c>
      <c r="C28" t="s">
        <v>1196</v>
      </c>
    </row>
    <row r="29" spans="1:8" x14ac:dyDescent="0.2">
      <c r="A29">
        <v>906</v>
      </c>
      <c r="B29">
        <f>COUNTIF(表_首次要关键词[[#This Row],[列1]:[列31]],"&lt;&gt;")</f>
        <v>0</v>
      </c>
      <c r="C29" t="s">
        <v>1222</v>
      </c>
    </row>
    <row r="30" spans="1:8" x14ac:dyDescent="0.2">
      <c r="A30">
        <v>907</v>
      </c>
      <c r="B30">
        <f>COUNTIF(表_首次要关键词[[#This Row],[列1]:[列31]],"&lt;&gt;")</f>
        <v>0</v>
      </c>
      <c r="C30" t="s">
        <v>1226</v>
      </c>
    </row>
    <row r="31" spans="1:8" x14ac:dyDescent="0.2">
      <c r="A31">
        <v>908</v>
      </c>
      <c r="B31">
        <f>COUNTIF(表_首次要关键词[[#This Row],[列1]:[列31]],"&lt;&gt;")</f>
        <v>3</v>
      </c>
      <c r="C31" t="s">
        <v>1253</v>
      </c>
      <c r="D31" t="s">
        <v>1257</v>
      </c>
      <c r="E31" t="s">
        <v>1274</v>
      </c>
      <c r="F31" t="s">
        <v>1278</v>
      </c>
    </row>
    <row r="32" spans="1:8" x14ac:dyDescent="0.2">
      <c r="A32">
        <v>991</v>
      </c>
      <c r="B32">
        <f>COUNTIF(表_首次要关键词[[#This Row],[列1]:[列31]],"&lt;&gt;")</f>
        <v>4</v>
      </c>
      <c r="C32" t="s">
        <v>1279</v>
      </c>
      <c r="D32" t="s">
        <v>1257</v>
      </c>
      <c r="E32" t="s">
        <v>1029</v>
      </c>
      <c r="F32" t="s">
        <v>1524</v>
      </c>
      <c r="G32" t="s">
        <v>1622</v>
      </c>
    </row>
    <row r="33" spans="1:34" x14ac:dyDescent="0.2">
      <c r="A33">
        <v>992</v>
      </c>
      <c r="B33">
        <f>COUNTIF(表_首次要关键词[[#This Row],[列1]:[列31]],"&lt;&gt;")</f>
        <v>8</v>
      </c>
      <c r="C33" t="s">
        <v>1704</v>
      </c>
      <c r="D33" t="s">
        <v>1658</v>
      </c>
      <c r="E33" t="s">
        <v>1649</v>
      </c>
      <c r="F33" t="s">
        <v>1655</v>
      </c>
      <c r="G33" t="s">
        <v>1652</v>
      </c>
      <c r="H33" t="s">
        <v>1646</v>
      </c>
      <c r="I33" t="s">
        <v>1640</v>
      </c>
      <c r="J33" t="s">
        <v>1659</v>
      </c>
      <c r="K33" t="s">
        <v>1643</v>
      </c>
    </row>
    <row r="34" spans="1:34" x14ac:dyDescent="0.2">
      <c r="B34">
        <f>COUNTIF(表_首次要关键词[[#This Row],[列1]:[列31]],"&lt;&gt;")</f>
        <v>31</v>
      </c>
      <c r="C34" t="s">
        <v>1709</v>
      </c>
      <c r="D34" t="s">
        <v>283</v>
      </c>
      <c r="E34" t="s">
        <v>287</v>
      </c>
      <c r="F34" t="s">
        <v>291</v>
      </c>
      <c r="G34" t="s">
        <v>295</v>
      </c>
      <c r="H34" t="s">
        <v>299</v>
      </c>
      <c r="I34" t="s">
        <v>303</v>
      </c>
      <c r="J34" t="s">
        <v>307</v>
      </c>
      <c r="K34" t="s">
        <v>311</v>
      </c>
      <c r="L34" t="s">
        <v>315</v>
      </c>
      <c r="M34" t="s">
        <v>319</v>
      </c>
      <c r="N34" t="s">
        <v>323</v>
      </c>
      <c r="O34" t="s">
        <v>327</v>
      </c>
      <c r="P34" t="s">
        <v>331</v>
      </c>
      <c r="Q34" t="s">
        <v>418</v>
      </c>
      <c r="R34" t="s">
        <v>422</v>
      </c>
      <c r="S34" t="s">
        <v>426</v>
      </c>
      <c r="T34" t="s">
        <v>430</v>
      </c>
      <c r="U34" t="s">
        <v>434</v>
      </c>
      <c r="V34" t="s">
        <v>442</v>
      </c>
      <c r="W34" t="s">
        <v>450</v>
      </c>
      <c r="X34" t="s">
        <v>454</v>
      </c>
      <c r="Y34" t="s">
        <v>458</v>
      </c>
      <c r="Z34" t="s">
        <v>462</v>
      </c>
      <c r="AA34" t="s">
        <v>466</v>
      </c>
      <c r="AB34" t="s">
        <v>470</v>
      </c>
      <c r="AC34" t="s">
        <v>474</v>
      </c>
      <c r="AD34" t="s">
        <v>478</v>
      </c>
      <c r="AE34" t="s">
        <v>482</v>
      </c>
      <c r="AF34" t="s">
        <v>486</v>
      </c>
      <c r="AG34" t="s">
        <v>490</v>
      </c>
      <c r="AH34" t="s">
        <v>494</v>
      </c>
    </row>
    <row r="35" spans="1:34" x14ac:dyDescent="0.2">
      <c r="B35">
        <f>COUNTIF(表_首次要关键词[[#This Row],[列1]:[列31]],"&lt;&gt;")</f>
        <v>0</v>
      </c>
      <c r="C35" t="s">
        <v>1793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/>
  <dimension ref="A1:W151"/>
  <sheetViews>
    <sheetView topLeftCell="A22" workbookViewId="0">
      <selection activeCell="C41" sqref="C4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1702</v>
      </c>
      <c r="B1" t="s">
        <v>1690</v>
      </c>
      <c r="C1" t="s">
        <v>1701</v>
      </c>
      <c r="D1" t="s">
        <v>1661</v>
      </c>
      <c r="E1" t="s">
        <v>1662</v>
      </c>
      <c r="F1" t="s">
        <v>1663</v>
      </c>
      <c r="G1" t="s">
        <v>1664</v>
      </c>
      <c r="H1" t="s">
        <v>1665</v>
      </c>
      <c r="I1" t="s">
        <v>1666</v>
      </c>
      <c r="J1" t="s">
        <v>1667</v>
      </c>
      <c r="K1" t="s">
        <v>1668</v>
      </c>
      <c r="L1" t="s">
        <v>1669</v>
      </c>
      <c r="M1" t="s">
        <v>1670</v>
      </c>
      <c r="N1" t="s">
        <v>1671</v>
      </c>
      <c r="O1" t="s">
        <v>1672</v>
      </c>
      <c r="P1" t="s">
        <v>1673</v>
      </c>
      <c r="Q1" t="s">
        <v>1674</v>
      </c>
      <c r="R1" t="s">
        <v>1675</v>
      </c>
      <c r="S1" t="s">
        <v>1676</v>
      </c>
      <c r="T1" t="s">
        <v>1677</v>
      </c>
      <c r="U1" t="s">
        <v>1678</v>
      </c>
      <c r="V1" t="s">
        <v>1679</v>
      </c>
      <c r="W1" t="s">
        <v>1680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1698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1699</v>
      </c>
      <c r="D3" t="s">
        <v>31</v>
      </c>
      <c r="E3" t="s">
        <v>118</v>
      </c>
      <c r="F3" t="s">
        <v>122</v>
      </c>
      <c r="G3" t="s">
        <v>165</v>
      </c>
      <c r="H3" t="s">
        <v>183</v>
      </c>
      <c r="I3" t="s">
        <v>211</v>
      </c>
      <c r="J3" t="s">
        <v>270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1700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283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287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291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295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299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303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307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311</v>
      </c>
      <c r="D12" t="s">
        <v>1712</v>
      </c>
      <c r="E12" t="s">
        <v>1713</v>
      </c>
      <c r="F12" t="s">
        <v>1715</v>
      </c>
      <c r="G12" t="s">
        <v>1717</v>
      </c>
      <c r="H12" t="s">
        <v>1719</v>
      </c>
      <c r="I12" t="s">
        <v>1721</v>
      </c>
      <c r="J12" t="s">
        <v>1723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315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319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323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327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331</v>
      </c>
      <c r="D17" t="s">
        <v>335</v>
      </c>
      <c r="E17" t="s">
        <v>339</v>
      </c>
      <c r="F17" t="s">
        <v>343</v>
      </c>
      <c r="G17" t="s">
        <v>347</v>
      </c>
      <c r="H17" t="s">
        <v>354</v>
      </c>
      <c r="I17" t="s">
        <v>358</v>
      </c>
      <c r="J17" t="s">
        <v>362</v>
      </c>
      <c r="K17" t="s">
        <v>366</v>
      </c>
      <c r="L17" t="s">
        <v>370</v>
      </c>
      <c r="M17" t="s">
        <v>374</v>
      </c>
      <c r="N17" t="s">
        <v>378</v>
      </c>
      <c r="O17" t="s">
        <v>382</v>
      </c>
      <c r="P17" t="s">
        <v>386</v>
      </c>
      <c r="Q17" t="s">
        <v>390</v>
      </c>
      <c r="R17" t="s">
        <v>394</v>
      </c>
      <c r="S17" t="s">
        <v>398</v>
      </c>
      <c r="T17" t="s">
        <v>402</v>
      </c>
      <c r="U17" t="s">
        <v>406</v>
      </c>
      <c r="V17" t="s">
        <v>410</v>
      </c>
      <c r="W17" t="s">
        <v>414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418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422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426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430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434</v>
      </c>
      <c r="D22" t="s">
        <v>438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442</v>
      </c>
      <c r="D23" t="s">
        <v>446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450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454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458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462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466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470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474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478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482</v>
      </c>
    </row>
    <row r="33" spans="1:10" x14ac:dyDescent="0.2">
      <c r="A33">
        <f t="shared" si="0"/>
        <v>131</v>
      </c>
      <c r="B33">
        <f>COUNTIF(表4[[#This Row],[列1]:[列20]],"&lt;&gt;")</f>
        <v>0</v>
      </c>
      <c r="C33" t="s">
        <v>486</v>
      </c>
    </row>
    <row r="34" spans="1:10" x14ac:dyDescent="0.2">
      <c r="A34">
        <f t="shared" si="0"/>
        <v>132</v>
      </c>
      <c r="B34">
        <f>COUNTIF(表4[[#This Row],[列1]:[列20]],"&lt;&gt;")</f>
        <v>0</v>
      </c>
      <c r="C34" t="s">
        <v>490</v>
      </c>
    </row>
    <row r="35" spans="1:10" x14ac:dyDescent="0.2">
      <c r="A35">
        <f t="shared" si="0"/>
        <v>133</v>
      </c>
      <c r="B35">
        <f>COUNTIF(表4[[#This Row],[列1]:[列20]],"&lt;&gt;")</f>
        <v>0</v>
      </c>
      <c r="C35" t="s">
        <v>494</v>
      </c>
    </row>
    <row r="36" spans="1:10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498</v>
      </c>
    </row>
    <row r="37" spans="1:10" x14ac:dyDescent="0.2">
      <c r="A37" s="2">
        <f>A36+1</f>
        <v>135</v>
      </c>
      <c r="B37" s="2">
        <f>COUNTIF(表4[[#This Row],[列1]:[列20]],"&lt;&gt;")</f>
        <v>2</v>
      </c>
      <c r="C37" t="s">
        <v>1797</v>
      </c>
      <c r="D37" t="s">
        <v>1799</v>
      </c>
      <c r="E37" t="s">
        <v>1798</v>
      </c>
    </row>
    <row r="38" spans="1:10" x14ac:dyDescent="0.2">
      <c r="A38" s="2">
        <f>A37+1</f>
        <v>136</v>
      </c>
      <c r="B38" s="2">
        <f>COUNTIF(表4[[#This Row],[列1]:[列20]],"&lt;&gt;")</f>
        <v>0</v>
      </c>
      <c r="C38" t="s">
        <v>1798</v>
      </c>
    </row>
    <row r="39" spans="1:10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573</v>
      </c>
    </row>
    <row r="40" spans="1:10" s="1" customFormat="1" x14ac:dyDescent="0.2">
      <c r="A40" s="3">
        <f>A39+1</f>
        <v>137</v>
      </c>
      <c r="B40" s="3">
        <f>COUNTIF(表4[[#This Row],[列1]:[列20]],"&lt;&gt;")</f>
        <v>0</v>
      </c>
      <c r="C40" s="1" t="s">
        <v>1724</v>
      </c>
    </row>
    <row r="41" spans="1:10" x14ac:dyDescent="0.2">
      <c r="A41">
        <f t="shared" ref="A41:A48" si="2">A40+1</f>
        <v>138</v>
      </c>
      <c r="B41">
        <f>COUNTIF(表4[[#This Row],[列1]:[列20]],"&lt;&gt;")</f>
        <v>0</v>
      </c>
      <c r="C41" t="s">
        <v>283</v>
      </c>
    </row>
    <row r="42" spans="1:10" x14ac:dyDescent="0.2">
      <c r="A42">
        <f t="shared" si="2"/>
        <v>139</v>
      </c>
      <c r="B42">
        <f>COUNTIF(表4[[#This Row],[列1]:[列20]],"&lt;&gt;")</f>
        <v>0</v>
      </c>
      <c r="C42" t="s">
        <v>287</v>
      </c>
    </row>
    <row r="43" spans="1:10" x14ac:dyDescent="0.2">
      <c r="A43">
        <f t="shared" si="2"/>
        <v>140</v>
      </c>
      <c r="B43">
        <f>COUNTIF(表4[[#This Row],[列1]:[列20]],"&lt;&gt;")</f>
        <v>0</v>
      </c>
      <c r="C43" t="s">
        <v>291</v>
      </c>
    </row>
    <row r="44" spans="1:10" x14ac:dyDescent="0.2">
      <c r="A44">
        <f t="shared" si="2"/>
        <v>141</v>
      </c>
      <c r="B44">
        <f>COUNTIF(表4[[#This Row],[列1]:[列20]],"&lt;&gt;")</f>
        <v>0</v>
      </c>
      <c r="C44" t="s">
        <v>295</v>
      </c>
    </row>
    <row r="45" spans="1:10" x14ac:dyDescent="0.2">
      <c r="A45">
        <f t="shared" si="2"/>
        <v>142</v>
      </c>
      <c r="B45">
        <f>COUNTIF(表4[[#This Row],[列1]:[列20]],"&lt;&gt;")</f>
        <v>0</v>
      </c>
      <c r="C45" t="s">
        <v>299</v>
      </c>
    </row>
    <row r="46" spans="1:10" x14ac:dyDescent="0.2">
      <c r="A46">
        <f t="shared" si="2"/>
        <v>143</v>
      </c>
      <c r="B46">
        <f>COUNTIF(表4[[#This Row],[列1]:[列20]],"&lt;&gt;")</f>
        <v>0</v>
      </c>
      <c r="C46" t="s">
        <v>303</v>
      </c>
    </row>
    <row r="47" spans="1:10" x14ac:dyDescent="0.2">
      <c r="A47">
        <f t="shared" si="2"/>
        <v>144</v>
      </c>
      <c r="B47">
        <f>COUNTIF(表4[[#This Row],[列1]:[列20]],"&lt;&gt;")</f>
        <v>0</v>
      </c>
      <c r="C47" t="s">
        <v>307</v>
      </c>
    </row>
    <row r="48" spans="1:10" x14ac:dyDescent="0.2">
      <c r="A48">
        <f t="shared" si="2"/>
        <v>145</v>
      </c>
      <c r="B48">
        <f>COUNTIF(表4[[#This Row],[列1]:[列20]],"&lt;&gt;")</f>
        <v>7</v>
      </c>
      <c r="C48" t="s">
        <v>311</v>
      </c>
      <c r="D48" t="s">
        <v>1711</v>
      </c>
      <c r="E48" t="s">
        <v>1713</v>
      </c>
      <c r="F48" t="s">
        <v>1714</v>
      </c>
      <c r="G48" t="s">
        <v>1716</v>
      </c>
      <c r="H48" t="s">
        <v>1718</v>
      </c>
      <c r="I48" t="s">
        <v>1720</v>
      </c>
      <c r="J48" t="s">
        <v>1722</v>
      </c>
    </row>
    <row r="49" spans="1:23" x14ac:dyDescent="0.2">
      <c r="A49">
        <f>A40+1</f>
        <v>138</v>
      </c>
      <c r="B49">
        <f>COUNTIF(表4[[#This Row],[列1]:[列20]],"&lt;&gt;")</f>
        <v>0</v>
      </c>
      <c r="C49" t="s">
        <v>315</v>
      </c>
    </row>
    <row r="50" spans="1:23" x14ac:dyDescent="0.2">
      <c r="A50">
        <f t="shared" ref="A50:A56" si="3">A49+1</f>
        <v>139</v>
      </c>
      <c r="B50">
        <f>COUNTIF(表4[[#This Row],[列1]:[列20]],"&lt;&gt;")</f>
        <v>0</v>
      </c>
      <c r="C50" t="s">
        <v>319</v>
      </c>
    </row>
    <row r="51" spans="1:23" x14ac:dyDescent="0.2">
      <c r="A51">
        <f t="shared" si="3"/>
        <v>140</v>
      </c>
      <c r="B51">
        <f>COUNTIF(表4[[#This Row],[列1]:[列20]],"&lt;&gt;")</f>
        <v>0</v>
      </c>
      <c r="C51" t="s">
        <v>323</v>
      </c>
    </row>
    <row r="52" spans="1:23" x14ac:dyDescent="0.2">
      <c r="A52">
        <f t="shared" si="3"/>
        <v>141</v>
      </c>
      <c r="B52">
        <f>COUNTIF(表4[[#This Row],[列1]:[列20]],"&lt;&gt;")</f>
        <v>0</v>
      </c>
      <c r="C52" t="s">
        <v>327</v>
      </c>
    </row>
    <row r="53" spans="1:23" x14ac:dyDescent="0.2">
      <c r="A53">
        <f t="shared" si="3"/>
        <v>142</v>
      </c>
      <c r="B53">
        <f>COUNTIF(表4[[#This Row],[列1]:[列20]],"&lt;&gt;")</f>
        <v>20</v>
      </c>
      <c r="C53" t="s">
        <v>331</v>
      </c>
      <c r="D53" t="s">
        <v>335</v>
      </c>
      <c r="E53" t="s">
        <v>339</v>
      </c>
      <c r="F53" t="s">
        <v>343</v>
      </c>
      <c r="G53" t="s">
        <v>347</v>
      </c>
      <c r="H53" t="s">
        <v>354</v>
      </c>
      <c r="I53" t="s">
        <v>358</v>
      </c>
      <c r="J53" t="s">
        <v>362</v>
      </c>
      <c r="K53" t="s">
        <v>366</v>
      </c>
      <c r="L53" t="s">
        <v>370</v>
      </c>
      <c r="M53" t="s">
        <v>374</v>
      </c>
      <c r="N53" t="s">
        <v>378</v>
      </c>
      <c r="O53" t="s">
        <v>382</v>
      </c>
      <c r="P53" t="s">
        <v>386</v>
      </c>
      <c r="Q53" t="s">
        <v>390</v>
      </c>
      <c r="R53" t="s">
        <v>394</v>
      </c>
      <c r="S53" t="s">
        <v>398</v>
      </c>
      <c r="T53" t="s">
        <v>402</v>
      </c>
      <c r="U53" t="s">
        <v>406</v>
      </c>
      <c r="V53" t="s">
        <v>410</v>
      </c>
      <c r="W53" t="s">
        <v>414</v>
      </c>
    </row>
    <row r="54" spans="1:23" x14ac:dyDescent="0.2">
      <c r="A54">
        <f t="shared" si="3"/>
        <v>143</v>
      </c>
      <c r="B54">
        <f>COUNTIF(表4[[#This Row],[列1]:[列20]],"&lt;&gt;")</f>
        <v>0</v>
      </c>
      <c r="C54" t="s">
        <v>418</v>
      </c>
    </row>
    <row r="55" spans="1:23" x14ac:dyDescent="0.2">
      <c r="A55">
        <f t="shared" si="3"/>
        <v>144</v>
      </c>
      <c r="B55">
        <f>COUNTIF(表4[[#This Row],[列1]:[列20]],"&lt;&gt;")</f>
        <v>0</v>
      </c>
      <c r="C55" t="s">
        <v>422</v>
      </c>
    </row>
    <row r="56" spans="1:23" x14ac:dyDescent="0.2">
      <c r="A56">
        <f t="shared" si="3"/>
        <v>145</v>
      </c>
      <c r="B56">
        <f>COUNTIF(表4[[#This Row],[列1]:[列20]],"&lt;&gt;")</f>
        <v>0</v>
      </c>
      <c r="C56" t="s">
        <v>426</v>
      </c>
    </row>
    <row r="57" spans="1:23" x14ac:dyDescent="0.2">
      <c r="A57">
        <f>A40+1</f>
        <v>138</v>
      </c>
      <c r="B57">
        <f>COUNTIF(表4[[#This Row],[列1]:[列20]],"&lt;&gt;")</f>
        <v>0</v>
      </c>
      <c r="C57" t="s">
        <v>430</v>
      </c>
    </row>
    <row r="58" spans="1:23" x14ac:dyDescent="0.2">
      <c r="A58">
        <f t="shared" ref="A58:A64" si="4">A57+1</f>
        <v>139</v>
      </c>
      <c r="B58">
        <f>COUNTIF(表4[[#This Row],[列1]:[列20]],"&lt;&gt;")</f>
        <v>1</v>
      </c>
      <c r="C58" t="s">
        <v>434</v>
      </c>
      <c r="D58" t="s">
        <v>438</v>
      </c>
    </row>
    <row r="59" spans="1:23" x14ac:dyDescent="0.2">
      <c r="A59">
        <f t="shared" si="4"/>
        <v>140</v>
      </c>
      <c r="B59">
        <f>COUNTIF(表4[[#This Row],[列1]:[列20]],"&lt;&gt;")</f>
        <v>1</v>
      </c>
      <c r="C59" t="s">
        <v>442</v>
      </c>
      <c r="D59" t="s">
        <v>446</v>
      </c>
    </row>
    <row r="60" spans="1:23" x14ac:dyDescent="0.2">
      <c r="A60">
        <f t="shared" si="4"/>
        <v>141</v>
      </c>
      <c r="B60">
        <f>COUNTIF(表4[[#This Row],[列1]:[列20]],"&lt;&gt;")</f>
        <v>0</v>
      </c>
      <c r="C60" t="s">
        <v>450</v>
      </c>
    </row>
    <row r="61" spans="1:23" x14ac:dyDescent="0.2">
      <c r="A61">
        <f t="shared" si="4"/>
        <v>142</v>
      </c>
      <c r="B61">
        <f>COUNTIF(表4[[#This Row],[列1]:[列20]],"&lt;&gt;")</f>
        <v>0</v>
      </c>
      <c r="C61" t="s">
        <v>454</v>
      </c>
    </row>
    <row r="62" spans="1:23" x14ac:dyDescent="0.2">
      <c r="A62">
        <f t="shared" si="4"/>
        <v>143</v>
      </c>
      <c r="B62">
        <f>COUNTIF(表4[[#This Row],[列1]:[列20]],"&lt;&gt;")</f>
        <v>0</v>
      </c>
      <c r="C62" t="s">
        <v>458</v>
      </c>
    </row>
    <row r="63" spans="1:23" x14ac:dyDescent="0.2">
      <c r="A63">
        <f t="shared" si="4"/>
        <v>144</v>
      </c>
      <c r="B63">
        <f>COUNTIF(表4[[#This Row],[列1]:[列20]],"&lt;&gt;")</f>
        <v>0</v>
      </c>
      <c r="C63" t="s">
        <v>462</v>
      </c>
    </row>
    <row r="64" spans="1:23" x14ac:dyDescent="0.2">
      <c r="A64">
        <f t="shared" si="4"/>
        <v>145</v>
      </c>
      <c r="B64">
        <f>COUNTIF(表4[[#This Row],[列1]:[列20]],"&lt;&gt;")</f>
        <v>0</v>
      </c>
      <c r="C64" t="s">
        <v>466</v>
      </c>
    </row>
    <row r="65" spans="1:3" x14ac:dyDescent="0.2">
      <c r="A65">
        <f>A40+1</f>
        <v>138</v>
      </c>
      <c r="B65">
        <f>COUNTIF(表4[[#This Row],[列1]:[列20]],"&lt;&gt;")</f>
        <v>0</v>
      </c>
      <c r="C65" t="s">
        <v>470</v>
      </c>
    </row>
    <row r="66" spans="1:3" x14ac:dyDescent="0.2">
      <c r="A66">
        <f t="shared" ref="A66:A71" si="5">A65+1</f>
        <v>139</v>
      </c>
      <c r="B66">
        <f>COUNTIF(表4[[#This Row],[列1]:[列20]],"&lt;&gt;")</f>
        <v>0</v>
      </c>
      <c r="C66" t="s">
        <v>474</v>
      </c>
    </row>
    <row r="67" spans="1:3" x14ac:dyDescent="0.2">
      <c r="A67">
        <f t="shared" si="5"/>
        <v>140</v>
      </c>
      <c r="B67">
        <f>COUNTIF(表4[[#This Row],[列1]:[列20]],"&lt;&gt;")</f>
        <v>0</v>
      </c>
      <c r="C67" t="s">
        <v>478</v>
      </c>
    </row>
    <row r="68" spans="1:3" x14ac:dyDescent="0.2">
      <c r="A68">
        <f t="shared" si="5"/>
        <v>141</v>
      </c>
      <c r="B68">
        <f>COUNTIF(表4[[#This Row],[列1]:[列20]],"&lt;&gt;")</f>
        <v>0</v>
      </c>
      <c r="C68" t="s">
        <v>482</v>
      </c>
    </row>
    <row r="69" spans="1:3" x14ac:dyDescent="0.2">
      <c r="A69">
        <f t="shared" si="5"/>
        <v>142</v>
      </c>
      <c r="B69">
        <f>COUNTIF(表4[[#This Row],[列1]:[列20]],"&lt;&gt;")</f>
        <v>0</v>
      </c>
      <c r="C69" t="s">
        <v>486</v>
      </c>
    </row>
    <row r="70" spans="1:3" x14ac:dyDescent="0.2">
      <c r="A70">
        <f t="shared" si="5"/>
        <v>143</v>
      </c>
      <c r="B70">
        <f>COUNTIF(表4[[#This Row],[列1]:[列20]],"&lt;&gt;")</f>
        <v>0</v>
      </c>
      <c r="C70" t="s">
        <v>490</v>
      </c>
    </row>
    <row r="71" spans="1:3" x14ac:dyDescent="0.2">
      <c r="A71">
        <f t="shared" si="5"/>
        <v>144</v>
      </c>
      <c r="B71">
        <f>COUNTIF(表4[[#This Row],[列1]:[列20]],"&lt;&gt;")</f>
        <v>0</v>
      </c>
      <c r="C71" t="s">
        <v>494</v>
      </c>
    </row>
    <row r="72" spans="1:3" s="1" customFormat="1" x14ac:dyDescent="0.2">
      <c r="A72" s="3">
        <f>A27+1</f>
        <v>126</v>
      </c>
      <c r="B72" s="3">
        <f>COUNTIF(表4[[#This Row],[列1]:[列20]],"&lt;&gt;")</f>
        <v>0</v>
      </c>
      <c r="C72" s="1" t="s">
        <v>594</v>
      </c>
    </row>
    <row r="73" spans="1:3" s="1" customFormat="1" x14ac:dyDescent="0.2">
      <c r="A73" s="3">
        <f t="shared" ref="A73:A137" si="6">A72+1</f>
        <v>127</v>
      </c>
      <c r="B73" s="3">
        <f>COUNTIF(表4[[#This Row],[列1]:[列20]],"&lt;&gt;")</f>
        <v>0</v>
      </c>
      <c r="C73" s="1" t="s">
        <v>604</v>
      </c>
    </row>
    <row r="74" spans="1:3" s="1" customFormat="1" x14ac:dyDescent="0.2">
      <c r="A74" s="3">
        <f t="shared" si="6"/>
        <v>128</v>
      </c>
      <c r="B74" s="3">
        <f>COUNTIF(表4[[#This Row],[列1]:[列20]],"&lt;&gt;")</f>
        <v>0</v>
      </c>
      <c r="C74" s="1" t="s">
        <v>645</v>
      </c>
    </row>
    <row r="75" spans="1:3" s="1" customFormat="1" x14ac:dyDescent="0.2">
      <c r="A75" s="3">
        <f t="shared" si="6"/>
        <v>129</v>
      </c>
      <c r="B75" s="3">
        <f>COUNTIF(表4[[#This Row],[列1]:[列20]],"&lt;&gt;")</f>
        <v>0</v>
      </c>
      <c r="C75" s="1" t="s">
        <v>569</v>
      </c>
    </row>
    <row r="76" spans="1:3" s="1" customFormat="1" x14ac:dyDescent="0.2">
      <c r="A76" s="3">
        <f t="shared" si="6"/>
        <v>130</v>
      </c>
      <c r="B76" s="3">
        <f>COUNTIF(表4[[#This Row],[列1]:[列20]],"&lt;&gt;")</f>
        <v>0</v>
      </c>
      <c r="C76" s="1" t="s">
        <v>1751</v>
      </c>
    </row>
    <row r="77" spans="1:3" s="1" customFormat="1" x14ac:dyDescent="0.2">
      <c r="A77" s="3">
        <f t="shared" si="6"/>
        <v>131</v>
      </c>
      <c r="B77" s="3">
        <f>COUNTIF(表4[[#This Row],[列1]:[列20]],"&lt;&gt;")</f>
        <v>0</v>
      </c>
      <c r="C77" s="1" t="s">
        <v>1752</v>
      </c>
    </row>
    <row r="78" spans="1:3" s="1" customFormat="1" x14ac:dyDescent="0.2">
      <c r="A78" s="3">
        <f t="shared" si="6"/>
        <v>132</v>
      </c>
      <c r="B78" s="3">
        <f>COUNTIF(表4[[#This Row],[列1]:[列20]],"&lt;&gt;")</f>
        <v>0</v>
      </c>
      <c r="C78" s="1" t="s">
        <v>1001</v>
      </c>
    </row>
    <row r="79" spans="1:3" s="1" customFormat="1" x14ac:dyDescent="0.2">
      <c r="A79" s="3">
        <f t="shared" si="6"/>
        <v>133</v>
      </c>
      <c r="B79" s="3">
        <f>COUNTIF(表4[[#This Row],[列1]:[列20]],"&lt;&gt;")</f>
        <v>0</v>
      </c>
      <c r="C79" s="1" t="s">
        <v>1021</v>
      </c>
    </row>
    <row r="80" spans="1:3" s="1" customFormat="1" x14ac:dyDescent="0.2">
      <c r="A80" s="3">
        <f t="shared" si="6"/>
        <v>134</v>
      </c>
      <c r="B80" s="3">
        <f>COUNTIF(表4[[#This Row],[列1]:[列20]],"&lt;&gt;")</f>
        <v>0</v>
      </c>
      <c r="C80" s="1" t="s">
        <v>1043</v>
      </c>
    </row>
    <row r="81" spans="1:23" s="1" customFormat="1" x14ac:dyDescent="0.2">
      <c r="A81" s="3">
        <f t="shared" si="6"/>
        <v>135</v>
      </c>
      <c r="B81" s="3">
        <f>COUNTIF(表4[[#This Row],[列1]:[列20]],"&lt;&gt;")</f>
        <v>0</v>
      </c>
      <c r="C81" s="1" t="s">
        <v>1062</v>
      </c>
    </row>
    <row r="82" spans="1:23" s="1" customFormat="1" x14ac:dyDescent="0.2">
      <c r="A82" s="3">
        <f t="shared" si="6"/>
        <v>136</v>
      </c>
      <c r="B82" s="3">
        <f>COUNTIF(表4[[#This Row],[列1]:[列20]],"&lt;&gt;")</f>
        <v>0</v>
      </c>
      <c r="C82" s="1" t="s">
        <v>591</v>
      </c>
    </row>
    <row r="83" spans="1:23" s="1" customFormat="1" x14ac:dyDescent="0.2">
      <c r="A83" s="3">
        <f t="shared" si="6"/>
        <v>137</v>
      </c>
      <c r="B83" s="3">
        <f>COUNTIF(表4[[#This Row],[列1]:[列20]],"&lt;&gt;")</f>
        <v>0</v>
      </c>
      <c r="C83" s="1" t="s">
        <v>1083</v>
      </c>
    </row>
    <row r="84" spans="1:23" s="1" customFormat="1" x14ac:dyDescent="0.2">
      <c r="A84" s="3">
        <f t="shared" si="6"/>
        <v>138</v>
      </c>
      <c r="B84" s="3">
        <f>COUNTIF(表4[[#This Row],[列1]:[列20]],"&lt;&gt;")</f>
        <v>0</v>
      </c>
      <c r="C84" s="1" t="s">
        <v>1117</v>
      </c>
    </row>
    <row r="85" spans="1:23" s="1" customFormat="1" x14ac:dyDescent="0.2">
      <c r="A85" s="3">
        <f t="shared" si="6"/>
        <v>139</v>
      </c>
      <c r="B85" s="3">
        <f>COUNTIF(表4[[#This Row],[列1]:[列20]],"&lt;&gt;")</f>
        <v>0</v>
      </c>
      <c r="C85" s="1" t="s">
        <v>1173</v>
      </c>
    </row>
    <row r="86" spans="1:23" s="1" customFormat="1" x14ac:dyDescent="0.2">
      <c r="A86" s="3">
        <f t="shared" si="6"/>
        <v>140</v>
      </c>
      <c r="B86" s="3">
        <f>COUNTIF(表4[[#This Row],[列1]:[列20]],"&lt;&gt;")</f>
        <v>0</v>
      </c>
      <c r="C86" s="1" t="s">
        <v>1189</v>
      </c>
    </row>
    <row r="87" spans="1:23" s="1" customFormat="1" x14ac:dyDescent="0.2">
      <c r="A87" s="3">
        <f t="shared" si="6"/>
        <v>141</v>
      </c>
      <c r="B87" s="3">
        <f>COUNTIF(表4[[#This Row],[列1]:[列20]],"&lt;&gt;")</f>
        <v>0</v>
      </c>
      <c r="C87" s="1" t="s">
        <v>1196</v>
      </c>
    </row>
    <row r="88" spans="1:23" s="1" customFormat="1" x14ac:dyDescent="0.2">
      <c r="A88" s="3">
        <f t="shared" si="6"/>
        <v>142</v>
      </c>
      <c r="B88" s="3">
        <f>COUNTIF(表4[[#This Row],[列1]:[列20]],"&lt;&gt;")</f>
        <v>0</v>
      </c>
      <c r="C88" s="1" t="s">
        <v>1222</v>
      </c>
    </row>
    <row r="89" spans="1:23" s="1" customFormat="1" x14ac:dyDescent="0.2">
      <c r="A89" s="3">
        <f t="shared" si="6"/>
        <v>143</v>
      </c>
      <c r="B89" s="3">
        <f>COUNTIF(表4[[#This Row],[列1]:[列20]],"&lt;&gt;")</f>
        <v>0</v>
      </c>
      <c r="C89" s="1" t="s">
        <v>1226</v>
      </c>
    </row>
    <row r="90" spans="1:23" s="1" customFormat="1" x14ac:dyDescent="0.2">
      <c r="A90" s="3">
        <f t="shared" si="6"/>
        <v>144</v>
      </c>
      <c r="B90" s="3">
        <f>COUNTIF(表4[[#This Row],[列1]:[列20]],"&lt;&gt;")</f>
        <v>0</v>
      </c>
      <c r="C90" s="1" t="s">
        <v>542</v>
      </c>
    </row>
    <row r="91" spans="1:23" s="1" customFormat="1" x14ac:dyDescent="0.2">
      <c r="A91" s="2">
        <f t="shared" si="6"/>
        <v>145</v>
      </c>
      <c r="B91" s="2">
        <f>COUNTIF(表4[[#This Row],[列1]:[列20]],"&lt;&gt;")</f>
        <v>0</v>
      </c>
      <c r="C91" t="s">
        <v>552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s="1" customFormat="1" x14ac:dyDescent="0.2">
      <c r="A92" s="2">
        <f t="shared" si="6"/>
        <v>146</v>
      </c>
      <c r="B92" s="2">
        <f>COUNTIF(表4[[#This Row],[列1]:[列20]],"&lt;&gt;")</f>
        <v>0</v>
      </c>
      <c r="C92" t="s">
        <v>556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s="1" customFormat="1" x14ac:dyDescent="0.2">
      <c r="A93" s="2">
        <f t="shared" si="6"/>
        <v>147</v>
      </c>
      <c r="B93" s="2">
        <f>COUNTIF(表4[[#This Row],[列1]:[列20]],"&lt;&gt;")</f>
        <v>0</v>
      </c>
      <c r="C93" t="s">
        <v>560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s="1" customFormat="1" x14ac:dyDescent="0.2">
      <c r="A94" s="2">
        <f t="shared" si="6"/>
        <v>148</v>
      </c>
      <c r="B94" s="2">
        <f>COUNTIF(表4[[#This Row],[列1]:[列20]],"&lt;&gt;")</f>
        <v>0</v>
      </c>
      <c r="C94" t="s">
        <v>565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s="1" customFormat="1" x14ac:dyDescent="0.2">
      <c r="A95" s="2">
        <f t="shared" si="6"/>
        <v>149</v>
      </c>
      <c r="B95" s="2">
        <f>COUNTIF(表4[[#This Row],[列1]:[列20]],"&lt;&gt;")</f>
        <v>0</v>
      </c>
      <c r="C95" t="s">
        <v>569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s="1" customFormat="1" x14ac:dyDescent="0.2">
      <c r="A96" s="3">
        <f t="shared" si="6"/>
        <v>150</v>
      </c>
      <c r="B96" s="3">
        <f>COUNTIF(表4[[#This Row],[列1]:[列20]],"&lt;&gt;")</f>
        <v>0</v>
      </c>
      <c r="C96" s="1" t="s">
        <v>614</v>
      </c>
    </row>
    <row r="97" spans="1:23" s="1" customFormat="1" x14ac:dyDescent="0.2">
      <c r="A97" s="2">
        <f t="shared" si="6"/>
        <v>151</v>
      </c>
      <c r="B97" s="2">
        <f>COUNTIF(表4[[#This Row],[列1]:[列20]],"&lt;&gt;")</f>
        <v>0</v>
      </c>
      <c r="C97" t="s">
        <v>641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s="1" customFormat="1" x14ac:dyDescent="0.2">
      <c r="A98" s="3">
        <f t="shared" si="6"/>
        <v>152</v>
      </c>
      <c r="B98" s="3">
        <f>COUNTIF(表4[[#This Row],[列1]:[列20]],"&lt;&gt;")</f>
        <v>0</v>
      </c>
      <c r="C98" s="1" t="s">
        <v>1753</v>
      </c>
    </row>
    <row r="99" spans="1:23" s="1" customFormat="1" x14ac:dyDescent="0.2">
      <c r="A99" s="2">
        <f t="shared" si="6"/>
        <v>153</v>
      </c>
      <c r="B99" s="2">
        <f>COUNTIF(表4[[#This Row],[列1]:[列20]],"&lt;&gt;")</f>
        <v>0</v>
      </c>
      <c r="C99" t="s">
        <v>701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">
      <c r="A100" s="2">
        <f t="shared" si="6"/>
        <v>154</v>
      </c>
      <c r="B100" s="2">
        <f>COUNTIF(表4[[#This Row],[列1]:[列20]],"&lt;&gt;")</f>
        <v>0</v>
      </c>
      <c r="C100" t="s">
        <v>705</v>
      </c>
    </row>
    <row r="101" spans="1:23" x14ac:dyDescent="0.2">
      <c r="A101" s="2">
        <f t="shared" si="6"/>
        <v>155</v>
      </c>
      <c r="B101" s="2">
        <f>COUNTIF(表4[[#This Row],[列1]:[列20]],"&lt;&gt;")</f>
        <v>0</v>
      </c>
      <c r="C101" t="s">
        <v>713</v>
      </c>
    </row>
    <row r="102" spans="1:23" x14ac:dyDescent="0.2">
      <c r="A102" s="2">
        <f t="shared" si="6"/>
        <v>156</v>
      </c>
      <c r="B102" s="2">
        <f>COUNTIF(表4[[#This Row],[列1]:[列20]],"&lt;&gt;")</f>
        <v>0</v>
      </c>
      <c r="C102" t="s">
        <v>717</v>
      </c>
    </row>
    <row r="103" spans="1:23" x14ac:dyDescent="0.2">
      <c r="A103" s="2">
        <f t="shared" si="6"/>
        <v>157</v>
      </c>
      <c r="B103" s="2">
        <f>COUNTIF(表4[[#This Row],[列1]:[列20]],"&lt;&gt;")</f>
        <v>0</v>
      </c>
      <c r="C103" t="s">
        <v>730</v>
      </c>
    </row>
    <row r="104" spans="1:23" x14ac:dyDescent="0.2">
      <c r="A104" s="3">
        <f t="shared" si="6"/>
        <v>158</v>
      </c>
      <c r="B104" s="3">
        <f>COUNTIF(表4[[#This Row],[列1]:[列20]],"&lt;&gt;")</f>
        <v>0</v>
      </c>
      <c r="C104" s="1" t="s">
        <v>882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">
      <c r="A105" s="2">
        <f>A104+1</f>
        <v>159</v>
      </c>
      <c r="B105" s="2">
        <f>COUNTIF(表4[[#This Row],[列1]:[列20]],"&lt;&gt;")</f>
        <v>7</v>
      </c>
      <c r="C105" t="s">
        <v>1790</v>
      </c>
      <c r="D105" s="5" t="s">
        <v>1783</v>
      </c>
      <c r="E105" s="7" t="s">
        <v>1785</v>
      </c>
      <c r="F105" s="6" t="s">
        <v>1786</v>
      </c>
      <c r="G105" s="7" t="s">
        <v>1782</v>
      </c>
      <c r="H105" s="7" t="s">
        <v>1788</v>
      </c>
      <c r="I105" s="7" t="s">
        <v>1789</v>
      </c>
      <c r="J105" s="6" t="s">
        <v>1781</v>
      </c>
    </row>
    <row r="106" spans="1:23" s="1" customFormat="1" x14ac:dyDescent="0.2">
      <c r="A106" s="2">
        <f>A104+1</f>
        <v>159</v>
      </c>
      <c r="B106" s="2">
        <f>COUNTIF(表4[[#This Row],[列1]:[列20]],"&lt;&gt;")</f>
        <v>0</v>
      </c>
      <c r="C106" t="s">
        <v>930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">
      <c r="A107" s="2">
        <f t="shared" si="6"/>
        <v>160</v>
      </c>
      <c r="B107" s="2">
        <f>COUNTIF(表4[[#This Row],[列1]:[列20]],"&lt;&gt;")</f>
        <v>0</v>
      </c>
      <c r="C107" t="s">
        <v>933</v>
      </c>
    </row>
    <row r="108" spans="1:23" s="1" customFormat="1" x14ac:dyDescent="0.2">
      <c r="A108" s="2">
        <f t="shared" si="6"/>
        <v>161</v>
      </c>
      <c r="B108" s="2">
        <f>COUNTIF(表4[[#This Row],[列1]:[列20]],"&lt;&gt;")</f>
        <v>0</v>
      </c>
      <c r="C108" t="s">
        <v>938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">
      <c r="A109" s="2">
        <f t="shared" si="6"/>
        <v>162</v>
      </c>
      <c r="B109" s="2">
        <f>COUNTIF(表4[[#This Row],[列1]:[列20]],"&lt;&gt;")</f>
        <v>0</v>
      </c>
      <c r="C109" t="s">
        <v>941</v>
      </c>
    </row>
    <row r="110" spans="1:23" x14ac:dyDescent="0.2">
      <c r="A110" s="2">
        <f t="shared" si="6"/>
        <v>163</v>
      </c>
      <c r="B110" s="2">
        <f>COUNTIF(表4[[#This Row],[列1]:[列20]],"&lt;&gt;")</f>
        <v>0</v>
      </c>
      <c r="C110" t="s">
        <v>945</v>
      </c>
    </row>
    <row r="111" spans="1:23" x14ac:dyDescent="0.2">
      <c r="A111" s="2">
        <f t="shared" si="6"/>
        <v>164</v>
      </c>
      <c r="B111" s="2">
        <f>COUNTIF(表4[[#This Row],[列1]:[列20]],"&lt;&gt;")</f>
        <v>0</v>
      </c>
      <c r="C111" t="s">
        <v>948</v>
      </c>
    </row>
    <row r="112" spans="1:23" x14ac:dyDescent="0.2">
      <c r="A112" s="2">
        <f t="shared" si="6"/>
        <v>165</v>
      </c>
      <c r="B112" s="2">
        <f>COUNTIF(表4[[#This Row],[列1]:[列20]],"&lt;&gt;")</f>
        <v>0</v>
      </c>
      <c r="C112" t="s">
        <v>951</v>
      </c>
    </row>
    <row r="113" spans="1:23" x14ac:dyDescent="0.2">
      <c r="A113" s="2">
        <f t="shared" si="6"/>
        <v>166</v>
      </c>
      <c r="B113" s="2">
        <f>COUNTIF(表4[[#This Row],[列1]:[列20]],"&lt;&gt;")</f>
        <v>0</v>
      </c>
      <c r="C113" t="s">
        <v>952</v>
      </c>
    </row>
    <row r="114" spans="1:23" s="1" customFormat="1" x14ac:dyDescent="0.2">
      <c r="A114" s="2">
        <f t="shared" si="6"/>
        <v>167</v>
      </c>
      <c r="B114" s="2">
        <f>COUNTIF(表4[[#This Row],[列1]:[列20]],"&lt;&gt;")</f>
        <v>0</v>
      </c>
      <c r="C114" t="s">
        <v>958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6"/>
        <v>168</v>
      </c>
      <c r="B115" s="2">
        <f>COUNTIF(表4[[#This Row],[列1]:[列20]],"&lt;&gt;")</f>
        <v>0</v>
      </c>
      <c r="C115" t="s">
        <v>962</v>
      </c>
    </row>
    <row r="116" spans="1:23" x14ac:dyDescent="0.2">
      <c r="A116" s="2">
        <f t="shared" si="6"/>
        <v>169</v>
      </c>
      <c r="B116" s="2">
        <f>COUNTIF(表4[[#This Row],[列1]:[列20]],"&lt;&gt;")</f>
        <v>0</v>
      </c>
      <c r="C116" t="s">
        <v>965</v>
      </c>
    </row>
    <row r="117" spans="1:23" x14ac:dyDescent="0.2">
      <c r="A117" s="2">
        <f t="shared" si="6"/>
        <v>170</v>
      </c>
      <c r="B117" s="2">
        <f>COUNTIF(表4[[#This Row],[列1]:[列20]],"&lt;&gt;")</f>
        <v>0</v>
      </c>
      <c r="C117" t="s">
        <v>968</v>
      </c>
    </row>
    <row r="118" spans="1:23" x14ac:dyDescent="0.2">
      <c r="A118" s="2">
        <f t="shared" si="6"/>
        <v>171</v>
      </c>
      <c r="B118" s="2">
        <f>COUNTIF(表4[[#This Row],[列1]:[列20]],"&lt;&gt;")</f>
        <v>0</v>
      </c>
      <c r="C118" t="s">
        <v>971</v>
      </c>
    </row>
    <row r="119" spans="1:23" x14ac:dyDescent="0.2">
      <c r="A119" s="2">
        <f t="shared" si="6"/>
        <v>172</v>
      </c>
      <c r="B119" s="2">
        <f>COUNTIF(表4[[#This Row],[列1]:[列20]],"&lt;&gt;")</f>
        <v>0</v>
      </c>
      <c r="C119" t="s">
        <v>974</v>
      </c>
    </row>
    <row r="120" spans="1:23" x14ac:dyDescent="0.2">
      <c r="A120" s="2">
        <f t="shared" si="6"/>
        <v>173</v>
      </c>
      <c r="B120" s="2">
        <f>COUNTIF(表4[[#This Row],[列1]:[列20]],"&lt;&gt;")</f>
        <v>0</v>
      </c>
      <c r="C120" t="s">
        <v>977</v>
      </c>
    </row>
    <row r="121" spans="1:23" x14ac:dyDescent="0.2">
      <c r="A121" s="2">
        <f t="shared" si="6"/>
        <v>174</v>
      </c>
      <c r="B121" s="2">
        <f>COUNTIF(表4[[#This Row],[列1]:[列20]],"&lt;&gt;")</f>
        <v>0</v>
      </c>
      <c r="C121" t="s">
        <v>982</v>
      </c>
    </row>
    <row r="122" spans="1:23" x14ac:dyDescent="0.2">
      <c r="A122" s="2">
        <f>A120+1</f>
        <v>174</v>
      </c>
      <c r="B122" s="2">
        <f>COUNTIF(表4[[#This Row],[列1]:[列20]],"&lt;&gt;")</f>
        <v>0</v>
      </c>
      <c r="C122" t="s">
        <v>985</v>
      </c>
    </row>
    <row r="123" spans="1:23" x14ac:dyDescent="0.2">
      <c r="A123" s="3">
        <f t="shared" si="6"/>
        <v>175</v>
      </c>
      <c r="B123" s="3">
        <f>COUNTIF(表4[[#This Row],[列1]:[列20]],"&lt;&gt;")</f>
        <v>0</v>
      </c>
      <c r="C123" s="1" t="s">
        <v>995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">
      <c r="A124" s="2">
        <f t="shared" si="6"/>
        <v>176</v>
      </c>
      <c r="B124" s="2">
        <f>COUNTIF(表4[[#This Row],[列1]:[列20]],"&lt;&gt;")</f>
        <v>0</v>
      </c>
      <c r="C124" t="s">
        <v>992</v>
      </c>
    </row>
    <row r="125" spans="1:23" x14ac:dyDescent="0.2">
      <c r="A125" s="3">
        <f t="shared" si="6"/>
        <v>177</v>
      </c>
      <c r="B125" s="3">
        <f>COUNTIF(表4[[#This Row],[列1]:[列20]],"&lt;&gt;")</f>
        <v>0</v>
      </c>
      <c r="C125" s="1" t="s">
        <v>1029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x14ac:dyDescent="0.2">
      <c r="A126" s="2">
        <f t="shared" si="6"/>
        <v>178</v>
      </c>
      <c r="B126" s="2">
        <f>COUNTIF(表4[[#This Row],[列1]:[列20]],"&lt;&gt;")</f>
        <v>0</v>
      </c>
      <c r="C126" t="s">
        <v>1032</v>
      </c>
    </row>
    <row r="127" spans="1:23" x14ac:dyDescent="0.2">
      <c r="A127" s="2">
        <f t="shared" si="6"/>
        <v>179</v>
      </c>
      <c r="B127" s="2">
        <f>COUNTIF(表4[[#This Row],[列1]:[列20]],"&lt;&gt;")</f>
        <v>0</v>
      </c>
      <c r="C127" t="s">
        <v>982</v>
      </c>
    </row>
    <row r="128" spans="1:23" x14ac:dyDescent="0.2">
      <c r="A128" s="2">
        <f t="shared" si="6"/>
        <v>180</v>
      </c>
      <c r="B128" s="2">
        <f>COUNTIF(表4[[#This Row],[列1]:[列20]],"&lt;&gt;")</f>
        <v>0</v>
      </c>
      <c r="C128" t="s">
        <v>1039</v>
      </c>
    </row>
    <row r="129" spans="1:23" x14ac:dyDescent="0.2">
      <c r="A129" s="3">
        <f t="shared" si="6"/>
        <v>181</v>
      </c>
      <c r="B129" s="3">
        <f>COUNTIF(表4[[#This Row],[列1]:[列20]],"&lt;&gt;")</f>
        <v>0</v>
      </c>
      <c r="C129" s="1" t="s">
        <v>552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">
      <c r="A130" s="2">
        <f t="shared" si="6"/>
        <v>182</v>
      </c>
      <c r="B130" s="2">
        <f>COUNTIF(表4[[#This Row],[列1]:[列20]],"&lt;&gt;")</f>
        <v>0</v>
      </c>
      <c r="C130" t="s">
        <v>1144</v>
      </c>
    </row>
    <row r="131" spans="1:23" x14ac:dyDescent="0.2">
      <c r="A131" s="2">
        <f t="shared" si="6"/>
        <v>183</v>
      </c>
      <c r="B131" s="2">
        <f>COUNTIF(表4[[#This Row],[列1]:[列20]],"&lt;&gt;")</f>
        <v>0</v>
      </c>
      <c r="C131" t="s">
        <v>1162</v>
      </c>
    </row>
    <row r="132" spans="1:23" s="1" customFormat="1" x14ac:dyDescent="0.2">
      <c r="A132" s="2">
        <f t="shared" si="6"/>
        <v>184</v>
      </c>
      <c r="B132" s="2">
        <f>COUNTIF(表4[[#This Row],[列1]:[列20]],"&lt;&gt;")</f>
        <v>0</v>
      </c>
      <c r="C132" t="s">
        <v>1166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">
      <c r="A133" s="2">
        <f t="shared" si="6"/>
        <v>185</v>
      </c>
      <c r="B133" s="2">
        <f>COUNTIF(表4[[#This Row],[列1]:[列20]],"&lt;&gt;")</f>
        <v>0</v>
      </c>
      <c r="C133" t="s">
        <v>1169</v>
      </c>
    </row>
    <row r="134" spans="1:23" s="1" customFormat="1" x14ac:dyDescent="0.2">
      <c r="A134" s="3">
        <f t="shared" si="6"/>
        <v>186</v>
      </c>
      <c r="B134" s="3">
        <f>COUNTIF(表4[[#This Row],[列1]:[列20]],"&lt;&gt;")</f>
        <v>0</v>
      </c>
      <c r="C134" s="1" t="s">
        <v>1253</v>
      </c>
    </row>
    <row r="135" spans="1:23" x14ac:dyDescent="0.2">
      <c r="A135" s="2">
        <f t="shared" si="6"/>
        <v>187</v>
      </c>
      <c r="B135" s="2">
        <f>COUNTIF(表4[[#This Row],[列1]:[列20]],"&lt;&gt;")</f>
        <v>0</v>
      </c>
      <c r="C135" t="s">
        <v>1257</v>
      </c>
    </row>
    <row r="136" spans="1:23" x14ac:dyDescent="0.2">
      <c r="A136" s="2">
        <f t="shared" si="6"/>
        <v>188</v>
      </c>
      <c r="B136" s="2">
        <f>COUNTIF(表4[[#This Row],[列1]:[列20]],"&lt;&gt;")</f>
        <v>0</v>
      </c>
      <c r="C136" t="s">
        <v>1274</v>
      </c>
    </row>
    <row r="137" spans="1:23" x14ac:dyDescent="0.2">
      <c r="A137" s="2">
        <f t="shared" si="6"/>
        <v>189</v>
      </c>
      <c r="B137" s="2">
        <f>COUNTIF(表4[[#This Row],[列1]:[列20]],"&lt;&gt;")</f>
        <v>0</v>
      </c>
      <c r="C137" t="s">
        <v>1278</v>
      </c>
    </row>
    <row r="138" spans="1:23" s="1" customFormat="1" x14ac:dyDescent="0.2">
      <c r="A138" s="3">
        <f t="shared" ref="A138:A151" si="7">A137+1</f>
        <v>190</v>
      </c>
      <c r="B138" s="3">
        <f>COUNTIF(表4[[#This Row],[列1]:[列20]],"&lt;&gt;")</f>
        <v>0</v>
      </c>
      <c r="C138" s="1" t="s">
        <v>1279</v>
      </c>
    </row>
    <row r="139" spans="1:23" x14ac:dyDescent="0.2">
      <c r="A139" s="2">
        <f t="shared" si="7"/>
        <v>191</v>
      </c>
      <c r="B139" s="2">
        <f>COUNTIF(表4[[#This Row],[列1]:[列20]],"&lt;&gt;")</f>
        <v>0</v>
      </c>
      <c r="C139" t="s">
        <v>1257</v>
      </c>
    </row>
    <row r="140" spans="1:23" x14ac:dyDescent="0.2">
      <c r="A140" s="2">
        <f t="shared" si="7"/>
        <v>192</v>
      </c>
      <c r="B140" s="2">
        <f>COUNTIF(表4[[#This Row],[列1]:[列20]],"&lt;&gt;")</f>
        <v>4</v>
      </c>
      <c r="C140" t="s">
        <v>1029</v>
      </c>
      <c r="D140" s="4" t="s">
        <v>1297</v>
      </c>
      <c r="E140" s="4" t="s">
        <v>1309</v>
      </c>
      <c r="F140" s="4" t="s">
        <v>1321</v>
      </c>
      <c r="G140" s="5" t="s">
        <v>1257</v>
      </c>
    </row>
    <row r="141" spans="1:23" x14ac:dyDescent="0.2">
      <c r="A141" s="2">
        <f t="shared" si="7"/>
        <v>193</v>
      </c>
      <c r="B141" s="2">
        <f>COUNTIF(表4[[#This Row],[列1]:[列20]],"&lt;&gt;")</f>
        <v>4</v>
      </c>
      <c r="C141" t="s">
        <v>1524</v>
      </c>
      <c r="D141" t="s">
        <v>1257</v>
      </c>
      <c r="E141" t="s">
        <v>1546</v>
      </c>
      <c r="F141" t="s">
        <v>1549</v>
      </c>
      <c r="G141" t="s">
        <v>1557</v>
      </c>
    </row>
    <row r="142" spans="1:23" x14ac:dyDescent="0.2">
      <c r="A142" s="2">
        <f t="shared" si="7"/>
        <v>194</v>
      </c>
      <c r="B142" s="2">
        <f>COUNTIF(表4[[#This Row],[列1]:[列20]],"&lt;&gt;")</f>
        <v>3</v>
      </c>
      <c r="C142" t="s">
        <v>1622</v>
      </c>
      <c r="D142" t="s">
        <v>1627</v>
      </c>
      <c r="E142" t="s">
        <v>1166</v>
      </c>
      <c r="F142" t="s">
        <v>1636</v>
      </c>
    </row>
    <row r="143" spans="1:23" s="1" customFormat="1" x14ac:dyDescent="0.2">
      <c r="A143" s="3">
        <f t="shared" si="7"/>
        <v>195</v>
      </c>
      <c r="B143" s="3">
        <f>COUNTIF(表4[[#This Row],[列1]:[列20]],"&lt;&gt;")</f>
        <v>0</v>
      </c>
      <c r="C143" s="1" t="s">
        <v>1637</v>
      </c>
    </row>
    <row r="144" spans="1:23" x14ac:dyDescent="0.2">
      <c r="A144" s="2">
        <f t="shared" si="7"/>
        <v>196</v>
      </c>
      <c r="B144" s="2">
        <f>COUNTIF(表4[[#This Row],[列1]:[列20]],"&lt;&gt;")</f>
        <v>0</v>
      </c>
      <c r="C144" t="s">
        <v>1640</v>
      </c>
    </row>
    <row r="145" spans="1:23" x14ac:dyDescent="0.2">
      <c r="A145" s="2">
        <f t="shared" si="7"/>
        <v>197</v>
      </c>
      <c r="B145" s="2">
        <f>COUNTIF(表4[[#This Row],[列1]:[列20]],"&lt;&gt;")</f>
        <v>0</v>
      </c>
      <c r="C145" t="s">
        <v>1643</v>
      </c>
    </row>
    <row r="146" spans="1:23" x14ac:dyDescent="0.2">
      <c r="A146" s="2">
        <f t="shared" si="7"/>
        <v>198</v>
      </c>
      <c r="B146" s="2">
        <f>COUNTIF(表4[[#This Row],[列1]:[列20]],"&lt;&gt;")</f>
        <v>0</v>
      </c>
      <c r="C146" t="s">
        <v>1646</v>
      </c>
    </row>
    <row r="147" spans="1:23" s="1" customFormat="1" x14ac:dyDescent="0.2">
      <c r="A147" s="2">
        <f t="shared" si="7"/>
        <v>199</v>
      </c>
      <c r="B147" s="2">
        <f>COUNTIF(表4[[#This Row],[列1]:[列20]],"&lt;&gt;")</f>
        <v>0</v>
      </c>
      <c r="C147" t="s">
        <v>1649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 s="2">
        <f t="shared" si="7"/>
        <v>200</v>
      </c>
      <c r="B148" s="2">
        <f>COUNTIF(表4[[#This Row],[列1]:[列20]],"&lt;&gt;")</f>
        <v>0</v>
      </c>
      <c r="C148" t="s">
        <v>1652</v>
      </c>
    </row>
    <row r="149" spans="1:23" x14ac:dyDescent="0.2">
      <c r="A149" s="2">
        <f t="shared" si="7"/>
        <v>201</v>
      </c>
      <c r="B149" s="2">
        <f>COUNTIF(表4[[#This Row],[列1]:[列20]],"&lt;&gt;")</f>
        <v>0</v>
      </c>
      <c r="C149" t="s">
        <v>1655</v>
      </c>
    </row>
    <row r="150" spans="1:23" x14ac:dyDescent="0.2">
      <c r="A150" s="2">
        <f t="shared" si="7"/>
        <v>202</v>
      </c>
      <c r="B150" s="2">
        <f>COUNTIF(表4[[#This Row],[列1]:[列20]],"&lt;&gt;")</f>
        <v>0</v>
      </c>
      <c r="C150" t="s">
        <v>1658</v>
      </c>
    </row>
    <row r="151" spans="1:23" x14ac:dyDescent="0.2">
      <c r="A151" s="2">
        <f t="shared" si="7"/>
        <v>203</v>
      </c>
      <c r="B151" s="2">
        <f>COUNTIF(表4[[#This Row],[列1]:[列20]],"&lt;&gt;")</f>
        <v>0</v>
      </c>
      <c r="C151" t="s">
        <v>1659</v>
      </c>
    </row>
  </sheetData>
  <phoneticPr fontId="1" type="noConversion"/>
  <dataValidations disablePrompts="1" count="1">
    <dataValidation type="list" allowBlank="1" showInputMessage="1" showErrorMessage="1" sqref="E105:J105 D142:F142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dimension ref="F1:S287"/>
  <sheetViews>
    <sheetView topLeftCell="A10" workbookViewId="0">
      <selection activeCell="C13" sqref="C13"/>
    </sheetView>
  </sheetViews>
  <sheetFormatPr defaultRowHeight="14.25" x14ac:dyDescent="0.2"/>
  <cols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601</v>
      </c>
      <c r="G2" t="s">
        <v>602</v>
      </c>
      <c r="I2" t="s">
        <v>603</v>
      </c>
      <c r="J2" t="s">
        <v>1740</v>
      </c>
      <c r="K2" t="s">
        <v>604</v>
      </c>
      <c r="N2" t="s">
        <v>1854</v>
      </c>
      <c r="O2" t="s">
        <v>1166</v>
      </c>
      <c r="Q2">
        <v>32</v>
      </c>
    </row>
    <row r="3" spans="6:19" x14ac:dyDescent="0.2">
      <c r="F3" t="s">
        <v>605</v>
      </c>
      <c r="G3" t="s">
        <v>606</v>
      </c>
      <c r="I3" t="s">
        <v>607</v>
      </c>
      <c r="J3" t="s">
        <v>1740</v>
      </c>
      <c r="K3" t="s">
        <v>604</v>
      </c>
      <c r="N3" t="s">
        <v>1854</v>
      </c>
      <c r="O3" t="s">
        <v>1166</v>
      </c>
      <c r="Q3">
        <v>32</v>
      </c>
    </row>
    <row r="4" spans="6:19" x14ac:dyDescent="0.2">
      <c r="F4" t="s">
        <v>608</v>
      </c>
      <c r="G4" t="s">
        <v>609</v>
      </c>
      <c r="I4" t="s">
        <v>610</v>
      </c>
      <c r="J4" t="s">
        <v>1740</v>
      </c>
      <c r="K4" t="s">
        <v>604</v>
      </c>
      <c r="L4" t="s">
        <v>1765</v>
      </c>
      <c r="N4" t="s">
        <v>1854</v>
      </c>
      <c r="O4" t="s">
        <v>1166</v>
      </c>
      <c r="Q4">
        <v>16</v>
      </c>
    </row>
    <row r="5" spans="6:19" x14ac:dyDescent="0.2">
      <c r="F5" t="s">
        <v>611</v>
      </c>
      <c r="G5" t="s">
        <v>612</v>
      </c>
      <c r="H5" t="s">
        <v>29</v>
      </c>
      <c r="I5" t="s">
        <v>613</v>
      </c>
      <c r="J5" t="s">
        <v>1740</v>
      </c>
      <c r="K5" t="s">
        <v>614</v>
      </c>
      <c r="N5" t="s">
        <v>1854</v>
      </c>
      <c r="O5" t="s">
        <v>1166</v>
      </c>
      <c r="Q5">
        <v>48</v>
      </c>
    </row>
    <row r="6" spans="6:19" x14ac:dyDescent="0.2">
      <c r="F6" t="s">
        <v>1077</v>
      </c>
      <c r="G6" t="s">
        <v>1078</v>
      </c>
      <c r="I6" t="s">
        <v>1079</v>
      </c>
      <c r="J6" t="s">
        <v>1740</v>
      </c>
      <c r="K6" t="s">
        <v>614</v>
      </c>
      <c r="N6" t="s">
        <v>1854</v>
      </c>
      <c r="O6" t="s">
        <v>1166</v>
      </c>
      <c r="Q6">
        <v>16</v>
      </c>
    </row>
    <row r="7" spans="6:19" x14ac:dyDescent="0.2">
      <c r="F7" t="s">
        <v>615</v>
      </c>
      <c r="G7" t="s">
        <v>616</v>
      </c>
      <c r="H7" t="s">
        <v>29</v>
      </c>
      <c r="I7" t="s">
        <v>617</v>
      </c>
      <c r="J7" t="s">
        <v>1740</v>
      </c>
      <c r="K7" t="s">
        <v>614</v>
      </c>
      <c r="N7" t="s">
        <v>1854</v>
      </c>
      <c r="O7" t="s">
        <v>1166</v>
      </c>
      <c r="Q7">
        <v>16</v>
      </c>
    </row>
    <row r="8" spans="6:19" x14ac:dyDescent="0.2">
      <c r="F8" t="s">
        <v>618</v>
      </c>
      <c r="G8" t="s">
        <v>619</v>
      </c>
      <c r="H8" t="s">
        <v>29</v>
      </c>
      <c r="I8" t="s">
        <v>620</v>
      </c>
      <c r="J8" t="s">
        <v>1740</v>
      </c>
      <c r="K8" t="s">
        <v>614</v>
      </c>
      <c r="N8" t="s">
        <v>1854</v>
      </c>
      <c r="O8" t="s">
        <v>1166</v>
      </c>
      <c r="Q8">
        <v>32</v>
      </c>
    </row>
    <row r="9" spans="6:19" x14ac:dyDescent="0.2">
      <c r="F9" t="s">
        <v>621</v>
      </c>
      <c r="G9" t="s">
        <v>622</v>
      </c>
      <c r="H9" t="s">
        <v>29</v>
      </c>
      <c r="I9" t="s">
        <v>623</v>
      </c>
      <c r="J9" t="s">
        <v>1740</v>
      </c>
      <c r="K9" t="s">
        <v>614</v>
      </c>
      <c r="N9" t="s">
        <v>1854</v>
      </c>
      <c r="O9" t="s">
        <v>1166</v>
      </c>
      <c r="Q9">
        <v>16</v>
      </c>
    </row>
    <row r="10" spans="6:19" x14ac:dyDescent="0.2">
      <c r="F10" t="s">
        <v>624</v>
      </c>
      <c r="G10" t="s">
        <v>625</v>
      </c>
      <c r="H10" t="s">
        <v>29</v>
      </c>
      <c r="J10" t="s">
        <v>1740</v>
      </c>
      <c r="K10" t="s">
        <v>614</v>
      </c>
      <c r="N10" t="s">
        <v>1854</v>
      </c>
    </row>
    <row r="11" spans="6:19" x14ac:dyDescent="0.2">
      <c r="F11" t="s">
        <v>626</v>
      </c>
      <c r="G11" t="s">
        <v>627</v>
      </c>
      <c r="H11" t="s">
        <v>29</v>
      </c>
      <c r="J11" t="s">
        <v>1740</v>
      </c>
      <c r="K11" t="s">
        <v>614</v>
      </c>
      <c r="N11" t="s">
        <v>1854</v>
      </c>
    </row>
    <row r="12" spans="6:19" x14ac:dyDescent="0.2">
      <c r="F12" t="s">
        <v>628</v>
      </c>
      <c r="G12" t="s">
        <v>629</v>
      </c>
      <c r="H12" t="s">
        <v>29</v>
      </c>
      <c r="J12" t="s">
        <v>1740</v>
      </c>
      <c r="K12" t="s">
        <v>614</v>
      </c>
      <c r="N12" t="s">
        <v>1854</v>
      </c>
    </row>
    <row r="13" spans="6:19" x14ac:dyDescent="0.2">
      <c r="F13" t="s">
        <v>630</v>
      </c>
      <c r="G13" t="s">
        <v>631</v>
      </c>
      <c r="H13" t="s">
        <v>29</v>
      </c>
      <c r="I13" t="s">
        <v>632</v>
      </c>
      <c r="J13" t="s">
        <v>1740</v>
      </c>
      <c r="K13" t="s">
        <v>614</v>
      </c>
      <c r="N13" t="s">
        <v>1854</v>
      </c>
      <c r="O13" t="s">
        <v>1166</v>
      </c>
      <c r="Q13">
        <v>32</v>
      </c>
    </row>
    <row r="14" spans="6:19" x14ac:dyDescent="0.2">
      <c r="F14" t="s">
        <v>633</v>
      </c>
      <c r="G14" t="s">
        <v>634</v>
      </c>
      <c r="H14" t="s">
        <v>29</v>
      </c>
      <c r="I14" t="s">
        <v>635</v>
      </c>
      <c r="J14" t="s">
        <v>1740</v>
      </c>
      <c r="K14" t="s">
        <v>614</v>
      </c>
      <c r="N14" t="s">
        <v>1854</v>
      </c>
      <c r="O14" t="s">
        <v>1166</v>
      </c>
      <c r="Q14">
        <v>32</v>
      </c>
    </row>
    <row r="15" spans="6:19" x14ac:dyDescent="0.2">
      <c r="F15" t="s">
        <v>1839</v>
      </c>
      <c r="G15" t="s">
        <v>1824</v>
      </c>
      <c r="I15" t="s">
        <v>1825</v>
      </c>
      <c r="J15" t="s">
        <v>1740</v>
      </c>
      <c r="K15" t="s">
        <v>614</v>
      </c>
    </row>
    <row r="16" spans="6:19" x14ac:dyDescent="0.2">
      <c r="F16" t="s">
        <v>639</v>
      </c>
      <c r="G16" t="s">
        <v>640</v>
      </c>
      <c r="J16" t="s">
        <v>1740</v>
      </c>
      <c r="K16" t="s">
        <v>614</v>
      </c>
      <c r="L16" t="s">
        <v>641</v>
      </c>
      <c r="N16" t="s">
        <v>1854</v>
      </c>
    </row>
    <row r="17" spans="6:17" x14ac:dyDescent="0.2">
      <c r="F17" t="s">
        <v>636</v>
      </c>
      <c r="G17" t="s">
        <v>637</v>
      </c>
      <c r="H17" t="s">
        <v>29</v>
      </c>
      <c r="I17" t="s">
        <v>638</v>
      </c>
      <c r="J17" t="s">
        <v>1740</v>
      </c>
      <c r="K17" t="s">
        <v>614</v>
      </c>
      <c r="L17" t="s">
        <v>1253</v>
      </c>
      <c r="N17" t="s">
        <v>1854</v>
      </c>
      <c r="O17" t="s">
        <v>1166</v>
      </c>
      <c r="Q17">
        <v>32</v>
      </c>
    </row>
    <row r="18" spans="6:17" x14ac:dyDescent="0.2">
      <c r="F18" t="s">
        <v>642</v>
      </c>
      <c r="G18" t="s">
        <v>643</v>
      </c>
      <c r="H18" t="s">
        <v>29</v>
      </c>
      <c r="I18" t="s">
        <v>644</v>
      </c>
      <c r="J18" t="s">
        <v>1740</v>
      </c>
      <c r="K18" t="s">
        <v>645</v>
      </c>
      <c r="N18" t="s">
        <v>1854</v>
      </c>
      <c r="O18" t="s">
        <v>1166</v>
      </c>
      <c r="Q18">
        <v>16</v>
      </c>
    </row>
    <row r="19" spans="6:17" x14ac:dyDescent="0.2">
      <c r="F19" t="s">
        <v>646</v>
      </c>
      <c r="G19" t="s">
        <v>647</v>
      </c>
      <c r="H19" t="s">
        <v>29</v>
      </c>
      <c r="I19" t="s">
        <v>648</v>
      </c>
      <c r="J19" t="s">
        <v>1740</v>
      </c>
      <c r="K19" t="s">
        <v>645</v>
      </c>
      <c r="N19" t="s">
        <v>1854</v>
      </c>
      <c r="O19" t="s">
        <v>1166</v>
      </c>
      <c r="Q19">
        <v>195</v>
      </c>
    </row>
    <row r="20" spans="6:17" x14ac:dyDescent="0.2">
      <c r="F20" t="s">
        <v>649</v>
      </c>
      <c r="G20" t="s">
        <v>650</v>
      </c>
      <c r="H20" t="s">
        <v>29</v>
      </c>
      <c r="I20" t="s">
        <v>651</v>
      </c>
      <c r="J20" t="s">
        <v>1740</v>
      </c>
      <c r="K20" t="s">
        <v>645</v>
      </c>
      <c r="N20" t="s">
        <v>1854</v>
      </c>
      <c r="O20" t="s">
        <v>1166</v>
      </c>
      <c r="Q20">
        <v>32</v>
      </c>
    </row>
    <row r="21" spans="6:17" x14ac:dyDescent="0.2">
      <c r="F21" t="s">
        <v>652</v>
      </c>
      <c r="G21" t="s">
        <v>653</v>
      </c>
      <c r="H21" t="s">
        <v>29</v>
      </c>
      <c r="I21" t="s">
        <v>654</v>
      </c>
      <c r="J21" t="s">
        <v>1740</v>
      </c>
      <c r="K21" t="s">
        <v>645</v>
      </c>
      <c r="N21" t="s">
        <v>1854</v>
      </c>
      <c r="O21" t="s">
        <v>1166</v>
      </c>
      <c r="Q21">
        <v>256</v>
      </c>
    </row>
    <row r="22" spans="6:17" x14ac:dyDescent="0.2">
      <c r="F22" t="s">
        <v>655</v>
      </c>
      <c r="G22" t="s">
        <v>656</v>
      </c>
      <c r="H22" t="s">
        <v>29</v>
      </c>
      <c r="I22" t="s">
        <v>657</v>
      </c>
      <c r="J22" t="s">
        <v>1740</v>
      </c>
      <c r="K22" t="s">
        <v>645</v>
      </c>
      <c r="N22" t="s">
        <v>1854</v>
      </c>
      <c r="O22" t="s">
        <v>1166</v>
      </c>
      <c r="Q22">
        <v>32</v>
      </c>
    </row>
    <row r="23" spans="6:17" x14ac:dyDescent="0.2">
      <c r="F23" t="s">
        <v>658</v>
      </c>
      <c r="G23" t="s">
        <v>659</v>
      </c>
      <c r="H23" t="s">
        <v>29</v>
      </c>
      <c r="I23" t="s">
        <v>660</v>
      </c>
      <c r="J23" t="s">
        <v>1740</v>
      </c>
      <c r="K23" t="s">
        <v>645</v>
      </c>
      <c r="N23" t="s">
        <v>1854</v>
      </c>
      <c r="O23" t="s">
        <v>1166</v>
      </c>
      <c r="Q23">
        <v>32</v>
      </c>
    </row>
    <row r="24" spans="6:17" x14ac:dyDescent="0.2">
      <c r="F24" t="s">
        <v>661</v>
      </c>
      <c r="G24" t="s">
        <v>662</v>
      </c>
      <c r="H24" t="s">
        <v>29</v>
      </c>
      <c r="J24" t="s">
        <v>1740</v>
      </c>
      <c r="K24" t="s">
        <v>645</v>
      </c>
      <c r="N24" t="s">
        <v>1854</v>
      </c>
    </row>
    <row r="25" spans="6:17" x14ac:dyDescent="0.2">
      <c r="F25" t="s">
        <v>663</v>
      </c>
      <c r="G25" t="s">
        <v>664</v>
      </c>
      <c r="H25" t="s">
        <v>29</v>
      </c>
      <c r="I25" t="s">
        <v>665</v>
      </c>
      <c r="J25" t="s">
        <v>1740</v>
      </c>
      <c r="K25" t="s">
        <v>645</v>
      </c>
      <c r="N25" t="s">
        <v>1854</v>
      </c>
      <c r="O25" t="s">
        <v>1166</v>
      </c>
      <c r="Q25">
        <v>16</v>
      </c>
    </row>
    <row r="26" spans="6:17" x14ac:dyDescent="0.2">
      <c r="F26" t="s">
        <v>666</v>
      </c>
      <c r="G26" t="s">
        <v>667</v>
      </c>
      <c r="H26" t="s">
        <v>29</v>
      </c>
      <c r="I26" t="s">
        <v>668</v>
      </c>
      <c r="J26" t="s">
        <v>1740</v>
      </c>
      <c r="K26" t="s">
        <v>645</v>
      </c>
      <c r="N26" t="s">
        <v>1854</v>
      </c>
      <c r="O26" t="s">
        <v>1166</v>
      </c>
      <c r="Q26">
        <v>32</v>
      </c>
    </row>
    <row r="27" spans="6:17" x14ac:dyDescent="0.2">
      <c r="F27" t="s">
        <v>669</v>
      </c>
      <c r="G27" t="s">
        <v>670</v>
      </c>
      <c r="H27" t="s">
        <v>29</v>
      </c>
      <c r="I27" t="s">
        <v>671</v>
      </c>
      <c r="J27" t="s">
        <v>1740</v>
      </c>
      <c r="K27" t="s">
        <v>645</v>
      </c>
      <c r="N27" t="s">
        <v>1854</v>
      </c>
      <c r="O27" t="s">
        <v>1166</v>
      </c>
      <c r="Q27">
        <v>48</v>
      </c>
    </row>
    <row r="28" spans="6:17" x14ac:dyDescent="0.2">
      <c r="F28" t="s">
        <v>672</v>
      </c>
      <c r="G28" t="s">
        <v>673</v>
      </c>
      <c r="H28" t="s">
        <v>29</v>
      </c>
      <c r="I28" t="s">
        <v>674</v>
      </c>
      <c r="J28" t="s">
        <v>1740</v>
      </c>
      <c r="K28" t="s">
        <v>645</v>
      </c>
      <c r="N28" t="s">
        <v>1854</v>
      </c>
      <c r="O28" t="s">
        <v>1166</v>
      </c>
      <c r="Q28">
        <v>32</v>
      </c>
    </row>
    <row r="29" spans="6:17" x14ac:dyDescent="0.2">
      <c r="F29" t="s">
        <v>675</v>
      </c>
      <c r="G29" t="s">
        <v>676</v>
      </c>
      <c r="H29" t="s">
        <v>29</v>
      </c>
      <c r="I29" t="s">
        <v>677</v>
      </c>
      <c r="J29" t="s">
        <v>1740</v>
      </c>
      <c r="K29" t="s">
        <v>645</v>
      </c>
      <c r="N29" t="s">
        <v>1854</v>
      </c>
      <c r="O29" t="s">
        <v>1166</v>
      </c>
      <c r="Q29">
        <v>32</v>
      </c>
    </row>
    <row r="30" spans="6:17" x14ac:dyDescent="0.2">
      <c r="F30" t="s">
        <v>678</v>
      </c>
      <c r="G30" t="s">
        <v>679</v>
      </c>
      <c r="H30" t="s">
        <v>29</v>
      </c>
      <c r="J30" t="s">
        <v>1740</v>
      </c>
      <c r="K30" t="s">
        <v>645</v>
      </c>
      <c r="N30" t="s">
        <v>1854</v>
      </c>
    </row>
    <row r="31" spans="6:17" x14ac:dyDescent="0.2">
      <c r="F31" t="s">
        <v>680</v>
      </c>
      <c r="G31" t="s">
        <v>681</v>
      </c>
      <c r="H31" t="s">
        <v>29</v>
      </c>
      <c r="I31" t="s">
        <v>682</v>
      </c>
      <c r="J31" t="s">
        <v>1740</v>
      </c>
      <c r="K31" t="s">
        <v>645</v>
      </c>
      <c r="N31" t="s">
        <v>1854</v>
      </c>
      <c r="O31" t="s">
        <v>1166</v>
      </c>
      <c r="Q31">
        <v>32</v>
      </c>
    </row>
    <row r="32" spans="6:17" x14ac:dyDescent="0.2">
      <c r="F32" t="s">
        <v>683</v>
      </c>
      <c r="G32" t="s">
        <v>684</v>
      </c>
      <c r="H32" t="s">
        <v>29</v>
      </c>
      <c r="I32" t="s">
        <v>685</v>
      </c>
      <c r="J32" t="s">
        <v>1740</v>
      </c>
      <c r="K32" t="s">
        <v>645</v>
      </c>
      <c r="N32" t="s">
        <v>1854</v>
      </c>
      <c r="O32" t="s">
        <v>1166</v>
      </c>
      <c r="Q32">
        <v>32</v>
      </c>
    </row>
    <row r="33" spans="6:18" x14ac:dyDescent="0.2">
      <c r="F33" t="s">
        <v>686</v>
      </c>
      <c r="G33" t="s">
        <v>687</v>
      </c>
      <c r="H33" t="s">
        <v>29</v>
      </c>
      <c r="I33" t="s">
        <v>688</v>
      </c>
      <c r="J33" t="s">
        <v>1740</v>
      </c>
      <c r="K33" t="s">
        <v>645</v>
      </c>
      <c r="N33" t="s">
        <v>1854</v>
      </c>
      <c r="O33" t="s">
        <v>1166</v>
      </c>
      <c r="Q33">
        <v>32</v>
      </c>
    </row>
    <row r="34" spans="6:18" x14ac:dyDescent="0.2">
      <c r="F34" t="s">
        <v>1289</v>
      </c>
      <c r="G34" t="s">
        <v>1290</v>
      </c>
      <c r="I34" t="s">
        <v>1291</v>
      </c>
      <c r="J34" t="s">
        <v>1740</v>
      </c>
      <c r="K34" t="s">
        <v>730</v>
      </c>
      <c r="N34" t="s">
        <v>1854</v>
      </c>
      <c r="O34" t="s">
        <v>1166</v>
      </c>
      <c r="Q34">
        <v>32</v>
      </c>
    </row>
    <row r="35" spans="6:18" x14ac:dyDescent="0.2">
      <c r="F35" t="s">
        <v>1283</v>
      </c>
      <c r="G35" t="s">
        <v>1284</v>
      </c>
      <c r="H35" t="s">
        <v>29</v>
      </c>
      <c r="I35" t="s">
        <v>1285</v>
      </c>
      <c r="J35" t="s">
        <v>1546</v>
      </c>
      <c r="K35" t="s">
        <v>1792</v>
      </c>
      <c r="N35" t="s">
        <v>1854</v>
      </c>
      <c r="O35" t="s">
        <v>1166</v>
      </c>
      <c r="Q35">
        <v>32</v>
      </c>
    </row>
    <row r="36" spans="6:18" x14ac:dyDescent="0.2">
      <c r="F36" t="s">
        <v>1114</v>
      </c>
      <c r="G36" t="s">
        <v>1115</v>
      </c>
      <c r="H36" t="s">
        <v>29</v>
      </c>
      <c r="I36" t="s">
        <v>1116</v>
      </c>
      <c r="J36" t="s">
        <v>1546</v>
      </c>
      <c r="K36" t="s">
        <v>1117</v>
      </c>
      <c r="N36" t="s">
        <v>1854</v>
      </c>
      <c r="O36" t="s">
        <v>1166</v>
      </c>
      <c r="Q36">
        <v>32</v>
      </c>
      <c r="R36" t="s">
        <v>1832</v>
      </c>
    </row>
    <row r="37" spans="6:18" x14ac:dyDescent="0.2">
      <c r="F37" t="s">
        <v>1118</v>
      </c>
      <c r="G37" t="s">
        <v>1119</v>
      </c>
      <c r="H37" t="s">
        <v>29</v>
      </c>
      <c r="I37" t="s">
        <v>1120</v>
      </c>
      <c r="J37" t="s">
        <v>1546</v>
      </c>
      <c r="K37" t="s">
        <v>1117</v>
      </c>
      <c r="N37" t="s">
        <v>1854</v>
      </c>
      <c r="O37" t="s">
        <v>1166</v>
      </c>
      <c r="Q37">
        <v>32</v>
      </c>
      <c r="R37" t="s">
        <v>1832</v>
      </c>
    </row>
    <row r="38" spans="6:18" x14ac:dyDescent="0.2">
      <c r="F38" t="s">
        <v>1056</v>
      </c>
      <c r="G38" t="s">
        <v>1057</v>
      </c>
      <c r="H38" t="s">
        <v>29</v>
      </c>
      <c r="I38" t="s">
        <v>1058</v>
      </c>
      <c r="J38" t="s">
        <v>1546</v>
      </c>
      <c r="K38" t="s">
        <v>1117</v>
      </c>
      <c r="N38" t="s">
        <v>1854</v>
      </c>
      <c r="O38" t="s">
        <v>1166</v>
      </c>
      <c r="Q38">
        <v>256</v>
      </c>
    </row>
    <row r="39" spans="6:18" x14ac:dyDescent="0.2">
      <c r="F39" t="s">
        <v>1121</v>
      </c>
      <c r="G39" t="s">
        <v>1122</v>
      </c>
      <c r="H39" t="s">
        <v>29</v>
      </c>
      <c r="I39" t="s">
        <v>1123</v>
      </c>
      <c r="J39" t="s">
        <v>1546</v>
      </c>
      <c r="K39" t="s">
        <v>1117</v>
      </c>
      <c r="N39" t="s">
        <v>1854</v>
      </c>
      <c r="O39" t="s">
        <v>1166</v>
      </c>
      <c r="Q39">
        <v>32</v>
      </c>
      <c r="R39" t="s">
        <v>1832</v>
      </c>
    </row>
    <row r="40" spans="6:18" x14ac:dyDescent="0.2">
      <c r="F40" t="s">
        <v>1124</v>
      </c>
      <c r="G40" t="s">
        <v>1125</v>
      </c>
      <c r="H40" t="s">
        <v>29</v>
      </c>
      <c r="I40" t="s">
        <v>1126</v>
      </c>
      <c r="J40" t="s">
        <v>1546</v>
      </c>
      <c r="K40" t="s">
        <v>1117</v>
      </c>
      <c r="N40" t="s">
        <v>1854</v>
      </c>
      <c r="O40" t="s">
        <v>1166</v>
      </c>
      <c r="Q40">
        <v>32</v>
      </c>
      <c r="R40" t="s">
        <v>1832</v>
      </c>
    </row>
    <row r="41" spans="6:18" x14ac:dyDescent="0.2">
      <c r="F41" t="s">
        <v>1127</v>
      </c>
      <c r="G41" t="s">
        <v>1128</v>
      </c>
      <c r="H41" t="s">
        <v>29</v>
      </c>
      <c r="I41" t="s">
        <v>1129</v>
      </c>
      <c r="J41" t="s">
        <v>1546</v>
      </c>
      <c r="K41" t="s">
        <v>1117</v>
      </c>
      <c r="N41" t="s">
        <v>1854</v>
      </c>
      <c r="O41" t="s">
        <v>1166</v>
      </c>
      <c r="Q41">
        <v>16</v>
      </c>
    </row>
    <row r="42" spans="6:18" x14ac:dyDescent="0.2">
      <c r="F42" t="s">
        <v>1130</v>
      </c>
      <c r="G42" t="s">
        <v>1131</v>
      </c>
      <c r="H42" t="s">
        <v>29</v>
      </c>
      <c r="J42" t="s">
        <v>1546</v>
      </c>
      <c r="K42" t="s">
        <v>1117</v>
      </c>
      <c r="N42" t="s">
        <v>1854</v>
      </c>
      <c r="R42" t="s">
        <v>1832</v>
      </c>
    </row>
    <row r="43" spans="6:18" x14ac:dyDescent="0.2">
      <c r="F43" t="s">
        <v>1132</v>
      </c>
      <c r="G43" t="s">
        <v>1133</v>
      </c>
      <c r="H43" t="s">
        <v>29</v>
      </c>
      <c r="I43" t="s">
        <v>1134</v>
      </c>
      <c r="J43" t="s">
        <v>1546</v>
      </c>
      <c r="K43" t="s">
        <v>1117</v>
      </c>
      <c r="N43" t="s">
        <v>1854</v>
      </c>
      <c r="R43" t="s">
        <v>1832</v>
      </c>
    </row>
    <row r="44" spans="6:18" x14ac:dyDescent="0.2">
      <c r="F44" t="s">
        <v>1135</v>
      </c>
      <c r="G44" t="s">
        <v>1136</v>
      </c>
      <c r="H44" t="s">
        <v>29</v>
      </c>
      <c r="I44" t="s">
        <v>1137</v>
      </c>
      <c r="J44" t="s">
        <v>1546</v>
      </c>
      <c r="K44" t="s">
        <v>1117</v>
      </c>
      <c r="N44" t="s">
        <v>1854</v>
      </c>
      <c r="R44" t="s">
        <v>1832</v>
      </c>
    </row>
    <row r="45" spans="6:18" x14ac:dyDescent="0.2">
      <c r="F45" t="s">
        <v>1286</v>
      </c>
      <c r="G45" t="s">
        <v>1287</v>
      </c>
      <c r="I45" t="s">
        <v>1288</v>
      </c>
      <c r="J45" t="s">
        <v>1546</v>
      </c>
      <c r="K45" t="s">
        <v>1794</v>
      </c>
      <c r="N45" t="s">
        <v>1854</v>
      </c>
      <c r="O45" t="s">
        <v>1166</v>
      </c>
      <c r="Q45">
        <v>32</v>
      </c>
    </row>
    <row r="46" spans="6:18" x14ac:dyDescent="0.2">
      <c r="F46" t="s">
        <v>878</v>
      </c>
      <c r="G46" t="s">
        <v>879</v>
      </c>
      <c r="H46" t="s">
        <v>880</v>
      </c>
      <c r="I46" t="s">
        <v>881</v>
      </c>
      <c r="J46" t="s">
        <v>1775</v>
      </c>
      <c r="K46" t="s">
        <v>882</v>
      </c>
      <c r="N46" t="s">
        <v>1854</v>
      </c>
      <c r="O46" t="s">
        <v>1166</v>
      </c>
      <c r="Q46">
        <v>152</v>
      </c>
    </row>
    <row r="47" spans="6:18" x14ac:dyDescent="0.2">
      <c r="F47" t="s">
        <v>888</v>
      </c>
      <c r="G47" t="s">
        <v>889</v>
      </c>
      <c r="J47" t="s">
        <v>1775</v>
      </c>
      <c r="K47" t="s">
        <v>882</v>
      </c>
      <c r="N47" t="s">
        <v>1854</v>
      </c>
    </row>
    <row r="48" spans="6:18" x14ac:dyDescent="0.2">
      <c r="F48" t="s">
        <v>898</v>
      </c>
      <c r="G48" t="s">
        <v>899</v>
      </c>
      <c r="J48" t="s">
        <v>1775</v>
      </c>
      <c r="K48" t="s">
        <v>882</v>
      </c>
      <c r="N48" t="s">
        <v>1854</v>
      </c>
    </row>
    <row r="49" spans="6:14" x14ac:dyDescent="0.2">
      <c r="F49" t="s">
        <v>905</v>
      </c>
      <c r="G49" t="s">
        <v>906</v>
      </c>
      <c r="H49" t="s">
        <v>907</v>
      </c>
      <c r="J49" t="s">
        <v>1775</v>
      </c>
      <c r="K49" t="s">
        <v>882</v>
      </c>
      <c r="N49" t="s">
        <v>1854</v>
      </c>
    </row>
    <row r="50" spans="6:14" x14ac:dyDescent="0.2">
      <c r="F50" t="s">
        <v>883</v>
      </c>
      <c r="G50" t="s">
        <v>884</v>
      </c>
      <c r="H50" t="s">
        <v>885</v>
      </c>
      <c r="J50" t="s">
        <v>1775</v>
      </c>
      <c r="K50" t="s">
        <v>882</v>
      </c>
      <c r="N50" t="s">
        <v>1854</v>
      </c>
    </row>
    <row r="51" spans="6:14" x14ac:dyDescent="0.2">
      <c r="F51" t="s">
        <v>890</v>
      </c>
      <c r="G51" t="s">
        <v>891</v>
      </c>
      <c r="J51" t="s">
        <v>1775</v>
      </c>
      <c r="K51" t="s">
        <v>882</v>
      </c>
      <c r="N51" t="s">
        <v>1854</v>
      </c>
    </row>
    <row r="52" spans="6:14" x14ac:dyDescent="0.2">
      <c r="F52" t="s">
        <v>900</v>
      </c>
      <c r="G52" t="s">
        <v>901</v>
      </c>
      <c r="H52" t="s">
        <v>902</v>
      </c>
      <c r="J52" t="s">
        <v>1775</v>
      </c>
      <c r="K52" t="s">
        <v>882</v>
      </c>
      <c r="N52" t="s">
        <v>1854</v>
      </c>
    </row>
    <row r="53" spans="6:14" x14ac:dyDescent="0.2">
      <c r="F53" t="s">
        <v>908</v>
      </c>
      <c r="G53" t="s">
        <v>909</v>
      </c>
      <c r="H53" t="s">
        <v>910</v>
      </c>
      <c r="J53" t="s">
        <v>1775</v>
      </c>
      <c r="K53" t="s">
        <v>882</v>
      </c>
      <c r="N53" t="s">
        <v>1854</v>
      </c>
    </row>
    <row r="54" spans="6:14" x14ac:dyDescent="0.2">
      <c r="F54" t="s">
        <v>892</v>
      </c>
      <c r="G54" t="s">
        <v>893</v>
      </c>
      <c r="J54" t="s">
        <v>1775</v>
      </c>
      <c r="K54" t="s">
        <v>882</v>
      </c>
      <c r="N54" t="s">
        <v>1854</v>
      </c>
    </row>
    <row r="55" spans="6:14" x14ac:dyDescent="0.2">
      <c r="F55" t="s">
        <v>911</v>
      </c>
      <c r="G55" t="s">
        <v>912</v>
      </c>
      <c r="H55" t="s">
        <v>913</v>
      </c>
      <c r="J55" t="s">
        <v>1775</v>
      </c>
      <c r="K55" t="s">
        <v>882</v>
      </c>
      <c r="N55" t="s">
        <v>1854</v>
      </c>
    </row>
    <row r="56" spans="6:14" x14ac:dyDescent="0.2">
      <c r="F56" t="s">
        <v>894</v>
      </c>
      <c r="G56" t="s">
        <v>895</v>
      </c>
      <c r="J56" t="s">
        <v>1775</v>
      </c>
      <c r="K56" t="s">
        <v>882</v>
      </c>
      <c r="N56" t="s">
        <v>1854</v>
      </c>
    </row>
    <row r="57" spans="6:14" x14ac:dyDescent="0.2">
      <c r="F57" t="s">
        <v>914</v>
      </c>
      <c r="G57" t="s">
        <v>915</v>
      </c>
      <c r="H57" t="s">
        <v>916</v>
      </c>
      <c r="J57" t="s">
        <v>1775</v>
      </c>
      <c r="K57" t="s">
        <v>882</v>
      </c>
      <c r="N57" t="s">
        <v>1854</v>
      </c>
    </row>
    <row r="58" spans="6:14" x14ac:dyDescent="0.2">
      <c r="F58" t="s">
        <v>917</v>
      </c>
      <c r="G58" t="s">
        <v>918</v>
      </c>
      <c r="H58" t="s">
        <v>919</v>
      </c>
      <c r="J58" t="s">
        <v>1775</v>
      </c>
      <c r="K58" t="s">
        <v>882</v>
      </c>
      <c r="N58" t="s">
        <v>1854</v>
      </c>
    </row>
    <row r="59" spans="6:14" x14ac:dyDescent="0.2">
      <c r="F59" t="s">
        <v>920</v>
      </c>
      <c r="G59" t="s">
        <v>921</v>
      </c>
      <c r="J59" t="s">
        <v>1775</v>
      </c>
      <c r="K59" t="s">
        <v>882</v>
      </c>
      <c r="N59" t="s">
        <v>1854</v>
      </c>
    </row>
    <row r="60" spans="6:14" x14ac:dyDescent="0.2">
      <c r="F60" t="s">
        <v>922</v>
      </c>
      <c r="G60" t="s">
        <v>923</v>
      </c>
      <c r="H60" t="s">
        <v>924</v>
      </c>
      <c r="J60" t="s">
        <v>1775</v>
      </c>
      <c r="K60" t="s">
        <v>882</v>
      </c>
      <c r="N60" t="s">
        <v>1854</v>
      </c>
    </row>
    <row r="61" spans="6:14" x14ac:dyDescent="0.2">
      <c r="F61" t="s">
        <v>925</v>
      </c>
      <c r="G61" t="s">
        <v>926</v>
      </c>
      <c r="H61" t="s">
        <v>927</v>
      </c>
      <c r="J61" t="s">
        <v>1775</v>
      </c>
      <c r="K61" t="s">
        <v>882</v>
      </c>
      <c r="N61" t="s">
        <v>1854</v>
      </c>
    </row>
    <row r="62" spans="6:14" x14ac:dyDescent="0.2">
      <c r="J62" t="s">
        <v>1775</v>
      </c>
      <c r="K62" t="s">
        <v>882</v>
      </c>
      <c r="L62" t="s">
        <v>1779</v>
      </c>
    </row>
    <row r="63" spans="6:14" x14ac:dyDescent="0.2">
      <c r="F63" t="s">
        <v>1840</v>
      </c>
      <c r="G63" t="s">
        <v>886</v>
      </c>
      <c r="J63" t="s">
        <v>1775</v>
      </c>
      <c r="K63" t="s">
        <v>882</v>
      </c>
      <c r="L63" t="s">
        <v>1779</v>
      </c>
      <c r="M63" t="s">
        <v>1841</v>
      </c>
      <c r="N63" t="s">
        <v>1854</v>
      </c>
    </row>
    <row r="64" spans="6:14" x14ac:dyDescent="0.2">
      <c r="F64" t="s">
        <v>1840</v>
      </c>
      <c r="G64" t="s">
        <v>887</v>
      </c>
      <c r="J64" t="s">
        <v>1775</v>
      </c>
      <c r="K64" t="s">
        <v>882</v>
      </c>
      <c r="L64" t="s">
        <v>1779</v>
      </c>
      <c r="M64" t="s">
        <v>1784</v>
      </c>
      <c r="N64" t="s">
        <v>1854</v>
      </c>
    </row>
    <row r="65" spans="6:14" x14ac:dyDescent="0.2">
      <c r="F65" t="s">
        <v>903</v>
      </c>
      <c r="G65" t="s">
        <v>904</v>
      </c>
      <c r="J65" t="s">
        <v>1775</v>
      </c>
      <c r="K65" t="s">
        <v>882</v>
      </c>
      <c r="L65" t="s">
        <v>1779</v>
      </c>
      <c r="M65" t="s">
        <v>1784</v>
      </c>
      <c r="N65" t="s">
        <v>1854</v>
      </c>
    </row>
    <row r="66" spans="6:14" x14ac:dyDescent="0.2">
      <c r="F66" t="s">
        <v>1842</v>
      </c>
      <c r="G66" t="s">
        <v>896</v>
      </c>
      <c r="J66" t="s">
        <v>1775</v>
      </c>
      <c r="K66" t="s">
        <v>882</v>
      </c>
      <c r="L66" t="s">
        <v>1779</v>
      </c>
      <c r="M66" t="s">
        <v>1786</v>
      </c>
      <c r="N66" t="s">
        <v>1854</v>
      </c>
    </row>
    <row r="67" spans="6:14" x14ac:dyDescent="0.2">
      <c r="F67" t="s">
        <v>1843</v>
      </c>
      <c r="G67" t="s">
        <v>897</v>
      </c>
      <c r="J67" t="s">
        <v>1775</v>
      </c>
      <c r="K67" t="s">
        <v>882</v>
      </c>
      <c r="L67" t="s">
        <v>1779</v>
      </c>
      <c r="M67" t="s">
        <v>1782</v>
      </c>
      <c r="N67" t="s">
        <v>1854</v>
      </c>
    </row>
    <row r="68" spans="6:14" x14ac:dyDescent="0.2">
      <c r="F68" t="s">
        <v>1844</v>
      </c>
      <c r="G68" t="s">
        <v>961</v>
      </c>
      <c r="J68" t="s">
        <v>1775</v>
      </c>
      <c r="K68" t="s">
        <v>882</v>
      </c>
      <c r="L68" t="s">
        <v>1779</v>
      </c>
      <c r="M68" t="s">
        <v>1782</v>
      </c>
      <c r="N68" t="s">
        <v>1854</v>
      </c>
    </row>
    <row r="69" spans="6:14" x14ac:dyDescent="0.2">
      <c r="F69" t="s">
        <v>946</v>
      </c>
      <c r="G69" t="s">
        <v>947</v>
      </c>
      <c r="J69" t="s">
        <v>1775</v>
      </c>
      <c r="K69" t="s">
        <v>882</v>
      </c>
      <c r="L69" t="s">
        <v>1779</v>
      </c>
      <c r="M69" t="s">
        <v>1787</v>
      </c>
      <c r="N69" t="s">
        <v>1854</v>
      </c>
    </row>
    <row r="70" spans="6:14" x14ac:dyDescent="0.2">
      <c r="F70" t="s">
        <v>966</v>
      </c>
      <c r="G70" t="s">
        <v>967</v>
      </c>
      <c r="J70" t="s">
        <v>1775</v>
      </c>
      <c r="K70" t="s">
        <v>882</v>
      </c>
      <c r="L70" t="s">
        <v>1779</v>
      </c>
      <c r="M70" t="s">
        <v>1845</v>
      </c>
      <c r="N70" t="s">
        <v>1854</v>
      </c>
    </row>
    <row r="71" spans="6:14" x14ac:dyDescent="0.2">
      <c r="F71" t="s">
        <v>980</v>
      </c>
      <c r="G71" t="s">
        <v>981</v>
      </c>
      <c r="J71" t="s">
        <v>1775</v>
      </c>
      <c r="K71" t="s">
        <v>882</v>
      </c>
      <c r="L71" t="s">
        <v>1779</v>
      </c>
      <c r="M71" t="s">
        <v>1846</v>
      </c>
      <c r="N71" t="s">
        <v>1854</v>
      </c>
    </row>
    <row r="72" spans="6:14" x14ac:dyDescent="0.2">
      <c r="F72" t="s">
        <v>1033</v>
      </c>
      <c r="G72" t="s">
        <v>1034</v>
      </c>
      <c r="H72" t="s">
        <v>1035</v>
      </c>
      <c r="J72" t="s">
        <v>1775</v>
      </c>
      <c r="K72" t="s">
        <v>882</v>
      </c>
      <c r="L72" t="s">
        <v>1779</v>
      </c>
      <c r="M72" t="s">
        <v>1846</v>
      </c>
      <c r="N72" t="s">
        <v>1854</v>
      </c>
    </row>
    <row r="73" spans="6:14" x14ac:dyDescent="0.2">
      <c r="F73" t="s">
        <v>931</v>
      </c>
      <c r="G73" t="s">
        <v>932</v>
      </c>
      <c r="J73" t="s">
        <v>1775</v>
      </c>
      <c r="K73" t="s">
        <v>882</v>
      </c>
      <c r="L73" t="s">
        <v>933</v>
      </c>
      <c r="N73" t="s">
        <v>1854</v>
      </c>
    </row>
    <row r="74" spans="6:14" x14ac:dyDescent="0.2">
      <c r="F74" t="s">
        <v>934</v>
      </c>
      <c r="G74" t="s">
        <v>935</v>
      </c>
      <c r="J74" t="s">
        <v>1775</v>
      </c>
      <c r="K74" t="s">
        <v>882</v>
      </c>
      <c r="L74" t="s">
        <v>933</v>
      </c>
      <c r="N74" t="s">
        <v>1854</v>
      </c>
    </row>
    <row r="75" spans="6:14" x14ac:dyDescent="0.2">
      <c r="F75" t="s">
        <v>936</v>
      </c>
      <c r="G75" t="s">
        <v>937</v>
      </c>
      <c r="J75" t="s">
        <v>1775</v>
      </c>
      <c r="K75" t="s">
        <v>882</v>
      </c>
      <c r="L75" t="s">
        <v>938</v>
      </c>
      <c r="N75" t="s">
        <v>1854</v>
      </c>
    </row>
    <row r="76" spans="6:14" x14ac:dyDescent="0.2">
      <c r="F76" t="s">
        <v>939</v>
      </c>
      <c r="G76" t="s">
        <v>940</v>
      </c>
      <c r="J76" t="s">
        <v>1775</v>
      </c>
      <c r="K76" t="s">
        <v>882</v>
      </c>
      <c r="L76" t="s">
        <v>941</v>
      </c>
      <c r="N76" t="s">
        <v>1854</v>
      </c>
    </row>
    <row r="77" spans="6:14" x14ac:dyDescent="0.2">
      <c r="F77" t="s">
        <v>942</v>
      </c>
      <c r="G77" t="s">
        <v>943</v>
      </c>
      <c r="H77" t="s">
        <v>944</v>
      </c>
      <c r="J77" t="s">
        <v>1775</v>
      </c>
      <c r="K77" t="s">
        <v>882</v>
      </c>
      <c r="L77" t="s">
        <v>945</v>
      </c>
      <c r="N77" t="s">
        <v>1854</v>
      </c>
    </row>
    <row r="78" spans="6:14" x14ac:dyDescent="0.2">
      <c r="F78" t="s">
        <v>949</v>
      </c>
      <c r="G78" t="s">
        <v>950</v>
      </c>
      <c r="J78" t="s">
        <v>1775</v>
      </c>
      <c r="K78" t="s">
        <v>882</v>
      </c>
      <c r="L78" t="s">
        <v>951</v>
      </c>
      <c r="N78" t="s">
        <v>1854</v>
      </c>
    </row>
    <row r="79" spans="6:14" x14ac:dyDescent="0.2">
      <c r="F79" t="s">
        <v>952</v>
      </c>
      <c r="G79" t="s">
        <v>953</v>
      </c>
      <c r="J79" t="s">
        <v>1775</v>
      </c>
      <c r="K79" t="s">
        <v>882</v>
      </c>
      <c r="L79" t="s">
        <v>952</v>
      </c>
      <c r="N79" t="s">
        <v>1854</v>
      </c>
    </row>
    <row r="80" spans="6:14" x14ac:dyDescent="0.2">
      <c r="F80" t="s">
        <v>954</v>
      </c>
      <c r="G80" t="s">
        <v>955</v>
      </c>
      <c r="J80" t="s">
        <v>1775</v>
      </c>
      <c r="K80" t="s">
        <v>882</v>
      </c>
      <c r="L80" t="s">
        <v>952</v>
      </c>
      <c r="N80" t="s">
        <v>1854</v>
      </c>
    </row>
    <row r="81" spans="6:14" x14ac:dyDescent="0.2">
      <c r="F81" t="s">
        <v>956</v>
      </c>
      <c r="G81" t="s">
        <v>957</v>
      </c>
      <c r="J81" t="s">
        <v>1775</v>
      </c>
      <c r="K81" t="s">
        <v>882</v>
      </c>
      <c r="L81" t="s">
        <v>958</v>
      </c>
      <c r="N81" t="s">
        <v>1854</v>
      </c>
    </row>
    <row r="82" spans="6:14" x14ac:dyDescent="0.2">
      <c r="F82" t="s">
        <v>959</v>
      </c>
      <c r="G82" t="s">
        <v>960</v>
      </c>
      <c r="J82" t="s">
        <v>1775</v>
      </c>
      <c r="K82" t="s">
        <v>882</v>
      </c>
      <c r="L82" t="s">
        <v>958</v>
      </c>
      <c r="N82" t="s">
        <v>1854</v>
      </c>
    </row>
    <row r="83" spans="6:14" x14ac:dyDescent="0.2">
      <c r="F83" t="s">
        <v>963</v>
      </c>
      <c r="G83" t="s">
        <v>964</v>
      </c>
      <c r="J83" t="s">
        <v>1775</v>
      </c>
      <c r="K83" t="s">
        <v>882</v>
      </c>
      <c r="L83" t="s">
        <v>965</v>
      </c>
      <c r="N83" t="s">
        <v>1854</v>
      </c>
    </row>
    <row r="84" spans="6:14" x14ac:dyDescent="0.2">
      <c r="F84" t="s">
        <v>969</v>
      </c>
      <c r="G84" t="s">
        <v>970</v>
      </c>
      <c r="J84" t="s">
        <v>1775</v>
      </c>
      <c r="K84" t="s">
        <v>882</v>
      </c>
      <c r="L84" t="s">
        <v>971</v>
      </c>
      <c r="N84" t="s">
        <v>1854</v>
      </c>
    </row>
    <row r="85" spans="6:14" x14ac:dyDescent="0.2">
      <c r="F85" t="s">
        <v>972</v>
      </c>
      <c r="G85" t="s">
        <v>973</v>
      </c>
      <c r="J85" t="s">
        <v>1775</v>
      </c>
      <c r="K85" t="s">
        <v>882</v>
      </c>
      <c r="L85" t="s">
        <v>974</v>
      </c>
      <c r="N85" t="s">
        <v>1854</v>
      </c>
    </row>
    <row r="86" spans="6:14" x14ac:dyDescent="0.2">
      <c r="F86" t="s">
        <v>975</v>
      </c>
      <c r="G86" t="s">
        <v>976</v>
      </c>
      <c r="J86" t="s">
        <v>1775</v>
      </c>
      <c r="K86" t="s">
        <v>882</v>
      </c>
      <c r="L86" t="s">
        <v>977</v>
      </c>
      <c r="N86" t="s">
        <v>1854</v>
      </c>
    </row>
    <row r="87" spans="6:14" x14ac:dyDescent="0.2">
      <c r="F87" t="s">
        <v>978</v>
      </c>
      <c r="G87" t="s">
        <v>979</v>
      </c>
      <c r="J87" t="s">
        <v>1775</v>
      </c>
      <c r="K87" t="s">
        <v>882</v>
      </c>
      <c r="L87" t="s">
        <v>977</v>
      </c>
      <c r="N87" t="s">
        <v>1854</v>
      </c>
    </row>
    <row r="88" spans="6:14" x14ac:dyDescent="0.2">
      <c r="F88" t="s">
        <v>983</v>
      </c>
      <c r="G88" t="s">
        <v>984</v>
      </c>
      <c r="J88" t="s">
        <v>1775</v>
      </c>
      <c r="K88" t="s">
        <v>882</v>
      </c>
      <c r="L88" t="s">
        <v>985</v>
      </c>
      <c r="N88" t="s">
        <v>1854</v>
      </c>
    </row>
    <row r="89" spans="6:14" x14ac:dyDescent="0.2">
      <c r="F89" t="s">
        <v>986</v>
      </c>
      <c r="G89" t="s">
        <v>987</v>
      </c>
      <c r="H89" t="s">
        <v>988</v>
      </c>
      <c r="J89" t="s">
        <v>1775</v>
      </c>
      <c r="K89" t="s">
        <v>882</v>
      </c>
      <c r="L89" t="s">
        <v>985</v>
      </c>
      <c r="N89" t="s">
        <v>1854</v>
      </c>
    </row>
    <row r="90" spans="6:14" x14ac:dyDescent="0.2">
      <c r="F90" t="s">
        <v>989</v>
      </c>
      <c r="G90" t="s">
        <v>990</v>
      </c>
      <c r="H90" t="s">
        <v>991</v>
      </c>
      <c r="J90" t="s">
        <v>1775</v>
      </c>
      <c r="K90" t="s">
        <v>882</v>
      </c>
      <c r="L90" t="s">
        <v>985</v>
      </c>
      <c r="N90" t="s">
        <v>1854</v>
      </c>
    </row>
    <row r="91" spans="6:14" x14ac:dyDescent="0.2">
      <c r="F91" t="s">
        <v>928</v>
      </c>
      <c r="G91" t="s">
        <v>929</v>
      </c>
      <c r="J91" t="s">
        <v>1775</v>
      </c>
      <c r="K91" t="s">
        <v>882</v>
      </c>
      <c r="L91" t="s">
        <v>930</v>
      </c>
      <c r="N91" t="s">
        <v>1854</v>
      </c>
    </row>
    <row r="92" spans="6:14" x14ac:dyDescent="0.2">
      <c r="F92" t="s">
        <v>992</v>
      </c>
      <c r="G92" t="s">
        <v>993</v>
      </c>
      <c r="H92" t="s">
        <v>994</v>
      </c>
      <c r="J92" t="s">
        <v>1775</v>
      </c>
      <c r="K92" t="s">
        <v>995</v>
      </c>
      <c r="N92" t="s">
        <v>1854</v>
      </c>
    </row>
    <row r="93" spans="6:14" x14ac:dyDescent="0.2">
      <c r="F93" t="s">
        <v>996</v>
      </c>
      <c r="G93" t="s">
        <v>997</v>
      </c>
      <c r="J93" t="s">
        <v>1775</v>
      </c>
      <c r="K93" t="s">
        <v>995</v>
      </c>
      <c r="L93" t="s">
        <v>992</v>
      </c>
      <c r="N93" t="s">
        <v>1854</v>
      </c>
    </row>
    <row r="94" spans="6:14" x14ac:dyDescent="0.2">
      <c r="F94" t="s">
        <v>998</v>
      </c>
      <c r="G94" t="s">
        <v>999</v>
      </c>
      <c r="I94" t="s">
        <v>1000</v>
      </c>
      <c r="J94" t="s">
        <v>1775</v>
      </c>
      <c r="K94" t="s">
        <v>1001</v>
      </c>
      <c r="N94" t="s">
        <v>1854</v>
      </c>
    </row>
    <row r="95" spans="6:14" x14ac:dyDescent="0.2">
      <c r="F95" t="s">
        <v>1002</v>
      </c>
      <c r="G95" t="s">
        <v>1003</v>
      </c>
      <c r="I95" t="s">
        <v>1004</v>
      </c>
      <c r="J95" t="s">
        <v>1775</v>
      </c>
      <c r="K95" t="s">
        <v>1001</v>
      </c>
      <c r="N95" t="s">
        <v>1854</v>
      </c>
    </row>
    <row r="96" spans="6:14" x14ac:dyDescent="0.2">
      <c r="F96" t="s">
        <v>1005</v>
      </c>
      <c r="G96" t="s">
        <v>1006</v>
      </c>
      <c r="I96" t="s">
        <v>1007</v>
      </c>
      <c r="J96" t="s">
        <v>1775</v>
      </c>
      <c r="K96" t="s">
        <v>1001</v>
      </c>
      <c r="N96" t="s">
        <v>1854</v>
      </c>
    </row>
    <row r="97" spans="6:19" x14ac:dyDescent="0.2">
      <c r="F97" t="s">
        <v>1008</v>
      </c>
      <c r="G97" t="s">
        <v>1009</v>
      </c>
      <c r="I97" t="s">
        <v>1010</v>
      </c>
      <c r="J97" t="s">
        <v>1775</v>
      </c>
      <c r="K97" t="s">
        <v>1001</v>
      </c>
      <c r="N97" t="s">
        <v>1854</v>
      </c>
    </row>
    <row r="98" spans="6:19" x14ac:dyDescent="0.2">
      <c r="F98" t="s">
        <v>1011</v>
      </c>
      <c r="G98" t="s">
        <v>1012</v>
      </c>
      <c r="J98" t="s">
        <v>1775</v>
      </c>
      <c r="K98" t="s">
        <v>1001</v>
      </c>
      <c r="N98" t="s">
        <v>1854</v>
      </c>
    </row>
    <row r="99" spans="6:19" x14ac:dyDescent="0.2">
      <c r="F99" t="s">
        <v>1013</v>
      </c>
      <c r="G99" t="s">
        <v>1014</v>
      </c>
      <c r="J99" t="s">
        <v>1775</v>
      </c>
      <c r="K99" t="s">
        <v>1001</v>
      </c>
      <c r="N99" t="s">
        <v>1854</v>
      </c>
    </row>
    <row r="100" spans="6:19" x14ac:dyDescent="0.2">
      <c r="F100" t="s">
        <v>1015</v>
      </c>
      <c r="G100" t="s">
        <v>1016</v>
      </c>
      <c r="H100" t="s">
        <v>1017</v>
      </c>
      <c r="J100" t="s">
        <v>1775</v>
      </c>
      <c r="K100" t="s">
        <v>1001</v>
      </c>
      <c r="N100" t="s">
        <v>1854</v>
      </c>
    </row>
    <row r="101" spans="6:19" x14ac:dyDescent="0.2">
      <c r="F101" t="s">
        <v>1018</v>
      </c>
      <c r="G101" t="s">
        <v>1019</v>
      </c>
      <c r="I101" t="s">
        <v>1020</v>
      </c>
      <c r="J101" t="s">
        <v>1775</v>
      </c>
      <c r="K101" t="s">
        <v>1021</v>
      </c>
      <c r="N101" t="s">
        <v>1854</v>
      </c>
      <c r="O101" t="s">
        <v>1166</v>
      </c>
      <c r="Q101">
        <v>16</v>
      </c>
    </row>
    <row r="102" spans="6:19" x14ac:dyDescent="0.2">
      <c r="F102" t="s">
        <v>1022</v>
      </c>
      <c r="G102" t="s">
        <v>1023</v>
      </c>
      <c r="H102" t="s">
        <v>29</v>
      </c>
      <c r="J102" t="s">
        <v>1775</v>
      </c>
      <c r="K102" t="s">
        <v>1021</v>
      </c>
      <c r="N102" t="s">
        <v>1854</v>
      </c>
    </row>
    <row r="103" spans="6:19" x14ac:dyDescent="0.2">
      <c r="F103" t="s">
        <v>1024</v>
      </c>
      <c r="G103" t="s">
        <v>1025</v>
      </c>
      <c r="H103" t="s">
        <v>1026</v>
      </c>
      <c r="J103" t="s">
        <v>1775</v>
      </c>
      <c r="K103" t="s">
        <v>1021</v>
      </c>
      <c r="N103" t="s">
        <v>1854</v>
      </c>
    </row>
    <row r="104" spans="6:19" x14ac:dyDescent="0.2">
      <c r="F104" t="s">
        <v>1027</v>
      </c>
      <c r="G104" t="s">
        <v>1028</v>
      </c>
      <c r="J104" t="s">
        <v>1775</v>
      </c>
      <c r="K104" t="s">
        <v>1029</v>
      </c>
      <c r="N104" t="s">
        <v>1854</v>
      </c>
    </row>
    <row r="105" spans="6:19" x14ac:dyDescent="0.2">
      <c r="F105" t="s">
        <v>1030</v>
      </c>
      <c r="G105" t="s">
        <v>1031</v>
      </c>
      <c r="J105" t="s">
        <v>1775</v>
      </c>
      <c r="K105" t="s">
        <v>1029</v>
      </c>
      <c r="L105" t="s">
        <v>1032</v>
      </c>
      <c r="N105" t="s">
        <v>1854</v>
      </c>
    </row>
    <row r="106" spans="6:19" x14ac:dyDescent="0.2">
      <c r="F106" t="s">
        <v>1036</v>
      </c>
      <c r="G106" t="s">
        <v>1037</v>
      </c>
      <c r="H106" t="s">
        <v>1038</v>
      </c>
      <c r="J106" t="s">
        <v>1775</v>
      </c>
      <c r="K106" t="s">
        <v>1029</v>
      </c>
      <c r="L106" t="s">
        <v>1039</v>
      </c>
      <c r="N106" t="s">
        <v>1854</v>
      </c>
    </row>
    <row r="107" spans="6:19" x14ac:dyDescent="0.2">
      <c r="F107" t="s">
        <v>1080</v>
      </c>
      <c r="G107" t="s">
        <v>1081</v>
      </c>
      <c r="H107" t="s">
        <v>29</v>
      </c>
      <c r="I107" t="s">
        <v>1082</v>
      </c>
      <c r="J107" t="s">
        <v>730</v>
      </c>
      <c r="K107" t="s">
        <v>1083</v>
      </c>
      <c r="N107" t="s">
        <v>1854</v>
      </c>
      <c r="O107" t="s">
        <v>1166</v>
      </c>
      <c r="Q107" t="s">
        <v>1084</v>
      </c>
      <c r="R107" t="s">
        <v>1832</v>
      </c>
    </row>
    <row r="108" spans="6:19" x14ac:dyDescent="0.2">
      <c r="F108" t="s">
        <v>1085</v>
      </c>
      <c r="G108" t="s">
        <v>1086</v>
      </c>
      <c r="H108" t="s">
        <v>29</v>
      </c>
      <c r="I108" t="s">
        <v>1087</v>
      </c>
      <c r="J108" t="s">
        <v>730</v>
      </c>
      <c r="K108" t="s">
        <v>1083</v>
      </c>
      <c r="N108" t="s">
        <v>1854</v>
      </c>
      <c r="O108" t="s">
        <v>1166</v>
      </c>
      <c r="Q108">
        <v>16</v>
      </c>
      <c r="R108" t="s">
        <v>1832</v>
      </c>
      <c r="S108" t="s">
        <v>1836</v>
      </c>
    </row>
    <row r="109" spans="6:19" x14ac:dyDescent="0.2">
      <c r="F109" t="s">
        <v>1088</v>
      </c>
      <c r="G109" t="s">
        <v>1089</v>
      </c>
      <c r="H109" t="s">
        <v>29</v>
      </c>
      <c r="I109" t="s">
        <v>1090</v>
      </c>
      <c r="J109" t="s">
        <v>730</v>
      </c>
      <c r="K109" t="s">
        <v>1083</v>
      </c>
      <c r="N109" t="s">
        <v>1854</v>
      </c>
      <c r="O109" t="s">
        <v>1166</v>
      </c>
      <c r="Q109">
        <v>48</v>
      </c>
      <c r="R109" t="s">
        <v>1832</v>
      </c>
      <c r="S109" t="s">
        <v>1836</v>
      </c>
    </row>
    <row r="110" spans="6:19" x14ac:dyDescent="0.2">
      <c r="F110" t="s">
        <v>1091</v>
      </c>
      <c r="G110" t="s">
        <v>1092</v>
      </c>
      <c r="H110" t="s">
        <v>29</v>
      </c>
      <c r="I110" t="s">
        <v>1093</v>
      </c>
      <c r="J110" t="s">
        <v>730</v>
      </c>
      <c r="K110" t="s">
        <v>1083</v>
      </c>
      <c r="N110" t="s">
        <v>1854</v>
      </c>
      <c r="O110" t="s">
        <v>1166</v>
      </c>
      <c r="Q110">
        <v>16</v>
      </c>
      <c r="R110" t="s">
        <v>1832</v>
      </c>
      <c r="S110" t="s">
        <v>1836</v>
      </c>
    </row>
    <row r="111" spans="6:19" x14ac:dyDescent="0.2">
      <c r="F111" t="s">
        <v>1094</v>
      </c>
      <c r="G111" t="s">
        <v>1095</v>
      </c>
      <c r="H111" t="s">
        <v>29</v>
      </c>
      <c r="I111" t="s">
        <v>1096</v>
      </c>
      <c r="J111" t="s">
        <v>730</v>
      </c>
      <c r="K111" t="s">
        <v>1083</v>
      </c>
      <c r="N111" t="s">
        <v>1854</v>
      </c>
      <c r="O111" t="s">
        <v>1166</v>
      </c>
      <c r="Q111">
        <v>48</v>
      </c>
      <c r="R111" t="s">
        <v>1832</v>
      </c>
      <c r="S111" t="s">
        <v>1836</v>
      </c>
    </row>
    <row r="112" spans="6:19" x14ac:dyDescent="0.2">
      <c r="F112" t="s">
        <v>1097</v>
      </c>
      <c r="G112" t="s">
        <v>1098</v>
      </c>
      <c r="I112" t="s">
        <v>1099</v>
      </c>
      <c r="J112" t="s">
        <v>730</v>
      </c>
      <c r="K112" t="s">
        <v>1083</v>
      </c>
      <c r="N112" t="s">
        <v>1854</v>
      </c>
      <c r="O112" t="s">
        <v>1166</v>
      </c>
      <c r="Q112">
        <v>16</v>
      </c>
      <c r="R112" t="s">
        <v>1832</v>
      </c>
      <c r="S112" t="s">
        <v>1836</v>
      </c>
    </row>
    <row r="113" spans="6:19" x14ac:dyDescent="0.2">
      <c r="F113">
        <v>1688</v>
      </c>
      <c r="G113" t="s">
        <v>1100</v>
      </c>
      <c r="I113" t="s">
        <v>1101</v>
      </c>
      <c r="J113" t="s">
        <v>730</v>
      </c>
      <c r="K113" t="s">
        <v>1083</v>
      </c>
      <c r="N113" t="s">
        <v>1854</v>
      </c>
      <c r="O113" t="s">
        <v>1166</v>
      </c>
      <c r="Q113">
        <v>16</v>
      </c>
      <c r="R113" t="s">
        <v>1832</v>
      </c>
      <c r="S113" t="s">
        <v>1836</v>
      </c>
    </row>
    <row r="114" spans="6:19" x14ac:dyDescent="0.2">
      <c r="F114" t="s">
        <v>1102</v>
      </c>
      <c r="G114" t="s">
        <v>1103</v>
      </c>
      <c r="I114" t="s">
        <v>1104</v>
      </c>
      <c r="J114" t="s">
        <v>730</v>
      </c>
      <c r="K114" t="s">
        <v>1083</v>
      </c>
      <c r="N114" t="s">
        <v>1854</v>
      </c>
      <c r="O114" t="s">
        <v>1166</v>
      </c>
      <c r="Q114">
        <v>16</v>
      </c>
      <c r="R114" t="s">
        <v>1832</v>
      </c>
      <c r="S114" t="s">
        <v>1836</v>
      </c>
    </row>
    <row r="115" spans="6:19" x14ac:dyDescent="0.2">
      <c r="F115" t="s">
        <v>1105</v>
      </c>
      <c r="G115" t="s">
        <v>1106</v>
      </c>
      <c r="I115" t="s">
        <v>1107</v>
      </c>
      <c r="J115" t="s">
        <v>730</v>
      </c>
      <c r="K115" t="s">
        <v>1083</v>
      </c>
      <c r="N115" t="s">
        <v>1854</v>
      </c>
      <c r="O115" t="s">
        <v>1166</v>
      </c>
      <c r="Q115">
        <v>16</v>
      </c>
      <c r="R115" t="s">
        <v>1832</v>
      </c>
      <c r="S115" t="s">
        <v>1836</v>
      </c>
    </row>
    <row r="116" spans="6:19" x14ac:dyDescent="0.2">
      <c r="F116" t="s">
        <v>1108</v>
      </c>
      <c r="G116" t="s">
        <v>1109</v>
      </c>
      <c r="I116" t="s">
        <v>1110</v>
      </c>
      <c r="J116" t="s">
        <v>730</v>
      </c>
      <c r="K116" t="s">
        <v>1083</v>
      </c>
      <c r="N116" t="s">
        <v>1854</v>
      </c>
      <c r="O116" t="s">
        <v>1166</v>
      </c>
      <c r="Q116">
        <v>16</v>
      </c>
      <c r="R116" t="s">
        <v>1832</v>
      </c>
      <c r="S116" t="s">
        <v>1836</v>
      </c>
    </row>
    <row r="117" spans="6:19" x14ac:dyDescent="0.2">
      <c r="F117" t="s">
        <v>1111</v>
      </c>
      <c r="G117" t="s">
        <v>1112</v>
      </c>
      <c r="I117" t="s">
        <v>1113</v>
      </c>
      <c r="J117" t="s">
        <v>730</v>
      </c>
      <c r="K117" t="s">
        <v>1083</v>
      </c>
      <c r="N117" t="s">
        <v>1854</v>
      </c>
      <c r="O117" t="s">
        <v>1166</v>
      </c>
      <c r="Q117">
        <v>48</v>
      </c>
      <c r="R117" t="s">
        <v>1832</v>
      </c>
      <c r="S117" t="s">
        <v>1836</v>
      </c>
    </row>
    <row r="118" spans="6:19" x14ac:dyDescent="0.2">
      <c r="F118" t="s">
        <v>1138</v>
      </c>
      <c r="G118" t="s">
        <v>1139</v>
      </c>
      <c r="H118" t="s">
        <v>29</v>
      </c>
      <c r="I118" t="s">
        <v>1140</v>
      </c>
      <c r="J118" t="s">
        <v>730</v>
      </c>
      <c r="K118" t="s">
        <v>552</v>
      </c>
      <c r="N118" t="s">
        <v>1854</v>
      </c>
      <c r="O118" t="s">
        <v>1166</v>
      </c>
      <c r="Q118">
        <v>32</v>
      </c>
      <c r="R118" t="s">
        <v>1832</v>
      </c>
    </row>
    <row r="119" spans="6:19" x14ac:dyDescent="0.2">
      <c r="F119" t="s">
        <v>1141</v>
      </c>
      <c r="G119" t="s">
        <v>1142</v>
      </c>
      <c r="H119" t="s">
        <v>29</v>
      </c>
      <c r="I119" t="s">
        <v>1143</v>
      </c>
      <c r="J119" t="s">
        <v>730</v>
      </c>
      <c r="K119" t="s">
        <v>552</v>
      </c>
      <c r="L119" t="s">
        <v>1144</v>
      </c>
      <c r="N119" t="s">
        <v>1854</v>
      </c>
      <c r="O119" t="s">
        <v>1166</v>
      </c>
      <c r="Q119">
        <v>32</v>
      </c>
      <c r="R119" t="s">
        <v>1832</v>
      </c>
    </row>
    <row r="120" spans="6:19" x14ac:dyDescent="0.2">
      <c r="F120" t="s">
        <v>1145</v>
      </c>
      <c r="G120" t="s">
        <v>1146</v>
      </c>
      <c r="H120" t="s">
        <v>1147</v>
      </c>
      <c r="I120" t="s">
        <v>1148</v>
      </c>
      <c r="J120" t="s">
        <v>730</v>
      </c>
      <c r="K120" t="s">
        <v>552</v>
      </c>
      <c r="L120" t="s">
        <v>1144</v>
      </c>
      <c r="N120" t="s">
        <v>1854</v>
      </c>
      <c r="O120" t="s">
        <v>1166</v>
      </c>
      <c r="Q120">
        <v>32</v>
      </c>
    </row>
    <row r="121" spans="6:19" x14ac:dyDescent="0.2">
      <c r="F121" t="s">
        <v>1149</v>
      </c>
      <c r="G121" t="s">
        <v>1150</v>
      </c>
      <c r="H121" t="s">
        <v>29</v>
      </c>
      <c r="I121" t="s">
        <v>1151</v>
      </c>
      <c r="J121" t="s">
        <v>730</v>
      </c>
      <c r="K121" t="s">
        <v>552</v>
      </c>
      <c r="L121" t="s">
        <v>1144</v>
      </c>
      <c r="N121" t="s">
        <v>1854</v>
      </c>
      <c r="O121" t="s">
        <v>1166</v>
      </c>
      <c r="Q121">
        <v>16</v>
      </c>
      <c r="R121" t="s">
        <v>1832</v>
      </c>
    </row>
    <row r="122" spans="6:19" x14ac:dyDescent="0.2">
      <c r="F122" t="s">
        <v>1152</v>
      </c>
      <c r="G122" t="s">
        <v>1153</v>
      </c>
      <c r="H122" t="s">
        <v>29</v>
      </c>
      <c r="I122" t="s">
        <v>1154</v>
      </c>
      <c r="J122" t="s">
        <v>730</v>
      </c>
      <c r="K122" t="s">
        <v>552</v>
      </c>
      <c r="L122" t="s">
        <v>1144</v>
      </c>
      <c r="N122" t="s">
        <v>1854</v>
      </c>
      <c r="O122" t="s">
        <v>1166</v>
      </c>
      <c r="Q122">
        <v>64</v>
      </c>
      <c r="R122" t="s">
        <v>1832</v>
      </c>
    </row>
    <row r="123" spans="6:19" x14ac:dyDescent="0.2">
      <c r="F123" t="s">
        <v>1155</v>
      </c>
      <c r="G123" t="s">
        <v>1156</v>
      </c>
      <c r="H123" t="s">
        <v>29</v>
      </c>
      <c r="I123" t="s">
        <v>1157</v>
      </c>
      <c r="J123" t="s">
        <v>730</v>
      </c>
      <c r="K123" t="s">
        <v>552</v>
      </c>
      <c r="L123" t="s">
        <v>1144</v>
      </c>
      <c r="N123" t="s">
        <v>1854</v>
      </c>
      <c r="O123" t="s">
        <v>1166</v>
      </c>
      <c r="Q123">
        <v>16</v>
      </c>
      <c r="R123" t="s">
        <v>1832</v>
      </c>
    </row>
    <row r="124" spans="6:19" x14ac:dyDescent="0.2">
      <c r="F124" t="s">
        <v>1158</v>
      </c>
      <c r="G124" t="s">
        <v>1159</v>
      </c>
      <c r="H124" t="s">
        <v>1160</v>
      </c>
      <c r="I124" t="s">
        <v>1161</v>
      </c>
      <c r="J124" t="s">
        <v>730</v>
      </c>
      <c r="K124" t="s">
        <v>552</v>
      </c>
      <c r="L124" t="s">
        <v>1162</v>
      </c>
      <c r="N124" t="s">
        <v>1854</v>
      </c>
      <c r="O124" t="s">
        <v>1166</v>
      </c>
      <c r="Q124">
        <v>64</v>
      </c>
    </row>
    <row r="125" spans="6:19" x14ac:dyDescent="0.2">
      <c r="F125" t="s">
        <v>1163</v>
      </c>
      <c r="G125" t="s">
        <v>1164</v>
      </c>
      <c r="H125" t="s">
        <v>29</v>
      </c>
      <c r="I125" t="s">
        <v>1165</v>
      </c>
      <c r="J125" t="s">
        <v>730</v>
      </c>
      <c r="K125" t="s">
        <v>552</v>
      </c>
      <c r="L125" t="s">
        <v>1166</v>
      </c>
      <c r="N125" t="s">
        <v>1854</v>
      </c>
      <c r="O125" t="s">
        <v>1166</v>
      </c>
      <c r="Q125">
        <v>32</v>
      </c>
      <c r="R125" t="s">
        <v>1832</v>
      </c>
    </row>
    <row r="126" spans="6:19" x14ac:dyDescent="0.2">
      <c r="F126" t="s">
        <v>1167</v>
      </c>
      <c r="G126" t="s">
        <v>1168</v>
      </c>
      <c r="H126" t="s">
        <v>29</v>
      </c>
      <c r="J126" t="s">
        <v>730</v>
      </c>
      <c r="K126" t="s">
        <v>552</v>
      </c>
      <c r="L126" t="s">
        <v>1169</v>
      </c>
      <c r="N126" t="s">
        <v>1854</v>
      </c>
      <c r="R126" t="s">
        <v>1832</v>
      </c>
    </row>
    <row r="127" spans="6:19" x14ac:dyDescent="0.2">
      <c r="F127" t="s">
        <v>1847</v>
      </c>
      <c r="G127" t="s">
        <v>1848</v>
      </c>
      <c r="H127" t="s">
        <v>1849</v>
      </c>
      <c r="J127" t="s">
        <v>730</v>
      </c>
      <c r="K127" t="s">
        <v>552</v>
      </c>
      <c r="L127" t="s">
        <v>1822</v>
      </c>
      <c r="N127" t="s">
        <v>1854</v>
      </c>
    </row>
    <row r="128" spans="6:19" x14ac:dyDescent="0.2">
      <c r="F128" t="s">
        <v>1850</v>
      </c>
      <c r="G128" t="s">
        <v>1851</v>
      </c>
      <c r="J128" t="s">
        <v>730</v>
      </c>
      <c r="K128" t="s">
        <v>552</v>
      </c>
      <c r="L128" t="s">
        <v>1822</v>
      </c>
      <c r="N128" t="s">
        <v>1854</v>
      </c>
    </row>
    <row r="129" spans="6:19" x14ac:dyDescent="0.2">
      <c r="F129" t="s">
        <v>1852</v>
      </c>
      <c r="G129" t="s">
        <v>1853</v>
      </c>
      <c r="J129" t="s">
        <v>730</v>
      </c>
      <c r="K129" t="s">
        <v>552</v>
      </c>
      <c r="L129" t="s">
        <v>1822</v>
      </c>
      <c r="N129" t="s">
        <v>1854</v>
      </c>
    </row>
    <row r="130" spans="6:19" x14ac:dyDescent="0.2">
      <c r="F130" t="s">
        <v>1170</v>
      </c>
      <c r="G130" t="s">
        <v>1171</v>
      </c>
      <c r="H130" t="s">
        <v>29</v>
      </c>
      <c r="I130" t="s">
        <v>1172</v>
      </c>
      <c r="J130" t="s">
        <v>730</v>
      </c>
      <c r="K130" t="s">
        <v>1173</v>
      </c>
      <c r="N130" t="s">
        <v>1854</v>
      </c>
      <c r="O130" t="s">
        <v>1166</v>
      </c>
      <c r="Q130">
        <v>32</v>
      </c>
      <c r="R130" t="s">
        <v>1832</v>
      </c>
      <c r="S130" t="s">
        <v>1836</v>
      </c>
    </row>
    <row r="131" spans="6:19" x14ac:dyDescent="0.2">
      <c r="F131" t="s">
        <v>1174</v>
      </c>
      <c r="G131" t="s">
        <v>1175</v>
      </c>
      <c r="H131" t="s">
        <v>29</v>
      </c>
      <c r="I131" t="s">
        <v>1176</v>
      </c>
      <c r="J131" t="s">
        <v>730</v>
      </c>
      <c r="K131" t="s">
        <v>1173</v>
      </c>
      <c r="N131" t="s">
        <v>1854</v>
      </c>
      <c r="O131" t="s">
        <v>1166</v>
      </c>
      <c r="Q131">
        <v>32</v>
      </c>
      <c r="R131" t="s">
        <v>1832</v>
      </c>
      <c r="S131" t="s">
        <v>1836</v>
      </c>
    </row>
    <row r="132" spans="6:19" x14ac:dyDescent="0.2">
      <c r="F132" t="s">
        <v>1177</v>
      </c>
      <c r="G132" t="s">
        <v>1178</v>
      </c>
      <c r="H132" t="s">
        <v>29</v>
      </c>
      <c r="I132" t="s">
        <v>1179</v>
      </c>
      <c r="J132" t="s">
        <v>730</v>
      </c>
      <c r="K132" t="s">
        <v>1173</v>
      </c>
      <c r="N132" t="s">
        <v>1854</v>
      </c>
      <c r="O132" t="s">
        <v>1166</v>
      </c>
      <c r="Q132">
        <v>128</v>
      </c>
      <c r="R132" t="s">
        <v>1832</v>
      </c>
      <c r="S132" t="s">
        <v>1836</v>
      </c>
    </row>
    <row r="133" spans="6:19" x14ac:dyDescent="0.2">
      <c r="F133" t="s">
        <v>1180</v>
      </c>
      <c r="G133" t="s">
        <v>1181</v>
      </c>
      <c r="H133" t="s">
        <v>29</v>
      </c>
      <c r="I133" t="s">
        <v>1182</v>
      </c>
      <c r="J133" t="s">
        <v>730</v>
      </c>
      <c r="K133" t="s">
        <v>1173</v>
      </c>
      <c r="N133" t="s">
        <v>1854</v>
      </c>
      <c r="O133" t="s">
        <v>1166</v>
      </c>
      <c r="Q133">
        <v>16</v>
      </c>
      <c r="R133" t="s">
        <v>1832</v>
      </c>
      <c r="S133" t="s">
        <v>1836</v>
      </c>
    </row>
    <row r="134" spans="6:19" x14ac:dyDescent="0.2">
      <c r="F134" t="s">
        <v>1183</v>
      </c>
      <c r="G134" t="s">
        <v>1184</v>
      </c>
      <c r="H134" t="s">
        <v>29</v>
      </c>
      <c r="I134" t="s">
        <v>1185</v>
      </c>
      <c r="J134" t="s">
        <v>730</v>
      </c>
      <c r="K134" t="s">
        <v>1173</v>
      </c>
      <c r="N134" t="s">
        <v>1854</v>
      </c>
      <c r="O134" t="s">
        <v>1166</v>
      </c>
      <c r="Q134">
        <v>16</v>
      </c>
    </row>
    <row r="135" spans="6:19" x14ac:dyDescent="0.2">
      <c r="F135" t="s">
        <v>1050</v>
      </c>
      <c r="G135" t="s">
        <v>1051</v>
      </c>
      <c r="H135" t="s">
        <v>29</v>
      </c>
      <c r="I135" t="s">
        <v>1052</v>
      </c>
      <c r="J135" t="s">
        <v>730</v>
      </c>
      <c r="K135" t="s">
        <v>1173</v>
      </c>
      <c r="N135" t="s">
        <v>1854</v>
      </c>
      <c r="O135" t="s">
        <v>1166</v>
      </c>
      <c r="Q135">
        <v>32</v>
      </c>
    </row>
    <row r="136" spans="6:19" x14ac:dyDescent="0.2">
      <c r="F136" t="s">
        <v>1186</v>
      </c>
      <c r="G136" t="s">
        <v>1187</v>
      </c>
      <c r="H136" t="s">
        <v>29</v>
      </c>
      <c r="I136" t="s">
        <v>1188</v>
      </c>
      <c r="J136" t="s">
        <v>730</v>
      </c>
      <c r="K136" t="s">
        <v>1189</v>
      </c>
      <c r="N136" t="s">
        <v>1854</v>
      </c>
      <c r="O136" t="s">
        <v>1166</v>
      </c>
      <c r="Q136">
        <v>16</v>
      </c>
    </row>
    <row r="137" spans="6:19" x14ac:dyDescent="0.2">
      <c r="F137" t="s">
        <v>1190</v>
      </c>
      <c r="G137" t="s">
        <v>1191</v>
      </c>
      <c r="H137" t="s">
        <v>29</v>
      </c>
      <c r="I137" t="s">
        <v>1192</v>
      </c>
      <c r="J137" t="s">
        <v>730</v>
      </c>
      <c r="K137" t="s">
        <v>1189</v>
      </c>
      <c r="N137" t="s">
        <v>1854</v>
      </c>
      <c r="O137" t="s">
        <v>1166</v>
      </c>
      <c r="Q137">
        <v>64</v>
      </c>
    </row>
    <row r="138" spans="6:19" x14ac:dyDescent="0.2">
      <c r="F138" t="s">
        <v>1193</v>
      </c>
      <c r="G138" t="s">
        <v>1194</v>
      </c>
      <c r="H138" t="s">
        <v>29</v>
      </c>
      <c r="I138" t="s">
        <v>1195</v>
      </c>
      <c r="J138" t="s">
        <v>730</v>
      </c>
      <c r="K138" t="s">
        <v>1196</v>
      </c>
      <c r="N138" t="s">
        <v>1854</v>
      </c>
      <c r="O138" t="s">
        <v>1166</v>
      </c>
      <c r="Q138">
        <v>32</v>
      </c>
    </row>
    <row r="139" spans="6:19" x14ac:dyDescent="0.2">
      <c r="F139" t="s">
        <v>1197</v>
      </c>
      <c r="G139" t="s">
        <v>1198</v>
      </c>
      <c r="H139" t="s">
        <v>29</v>
      </c>
      <c r="I139" t="s">
        <v>1199</v>
      </c>
      <c r="J139" t="s">
        <v>730</v>
      </c>
      <c r="K139" t="s">
        <v>1196</v>
      </c>
      <c r="N139" t="s">
        <v>1854</v>
      </c>
      <c r="O139" t="s">
        <v>1166</v>
      </c>
      <c r="Q139">
        <v>32</v>
      </c>
    </row>
    <row r="140" spans="6:19" x14ac:dyDescent="0.2">
      <c r="F140" t="s">
        <v>1200</v>
      </c>
      <c r="G140" t="s">
        <v>1201</v>
      </c>
      <c r="H140" t="s">
        <v>29</v>
      </c>
      <c r="I140" t="s">
        <v>1202</v>
      </c>
      <c r="J140" t="s">
        <v>730</v>
      </c>
      <c r="K140" t="s">
        <v>1196</v>
      </c>
      <c r="N140" t="s">
        <v>1854</v>
      </c>
      <c r="O140" t="s">
        <v>1166</v>
      </c>
      <c r="Q140">
        <v>32</v>
      </c>
    </row>
    <row r="141" spans="6:19" x14ac:dyDescent="0.2">
      <c r="F141" t="s">
        <v>1203</v>
      </c>
      <c r="G141" t="s">
        <v>1204</v>
      </c>
      <c r="H141" t="s">
        <v>29</v>
      </c>
      <c r="I141" t="s">
        <v>1205</v>
      </c>
      <c r="J141" t="s">
        <v>730</v>
      </c>
      <c r="K141" t="s">
        <v>1196</v>
      </c>
      <c r="N141" t="s">
        <v>1854</v>
      </c>
      <c r="O141" t="s">
        <v>1166</v>
      </c>
      <c r="Q141">
        <v>32</v>
      </c>
    </row>
    <row r="142" spans="6:19" x14ac:dyDescent="0.2">
      <c r="F142" t="s">
        <v>1206</v>
      </c>
      <c r="G142" t="s">
        <v>1207</v>
      </c>
      <c r="H142" t="s">
        <v>29</v>
      </c>
      <c r="I142" t="s">
        <v>1208</v>
      </c>
      <c r="J142" t="s">
        <v>730</v>
      </c>
      <c r="K142" t="s">
        <v>1196</v>
      </c>
      <c r="N142" t="s">
        <v>1854</v>
      </c>
      <c r="Q142">
        <v>32</v>
      </c>
    </row>
    <row r="143" spans="6:19" x14ac:dyDescent="0.2">
      <c r="F143" t="s">
        <v>1209</v>
      </c>
      <c r="G143" t="s">
        <v>1210</v>
      </c>
      <c r="H143" t="s">
        <v>29</v>
      </c>
      <c r="I143" t="s">
        <v>1211</v>
      </c>
      <c r="J143" t="s">
        <v>730</v>
      </c>
      <c r="K143" t="s">
        <v>1196</v>
      </c>
      <c r="N143" t="s">
        <v>1854</v>
      </c>
      <c r="O143" t="s">
        <v>1166</v>
      </c>
      <c r="Q143">
        <v>32</v>
      </c>
    </row>
    <row r="144" spans="6:19" x14ac:dyDescent="0.2">
      <c r="F144" t="s">
        <v>1212</v>
      </c>
      <c r="G144" t="s">
        <v>1213</v>
      </c>
      <c r="H144" t="s">
        <v>1214</v>
      </c>
      <c r="I144" t="s">
        <v>1215</v>
      </c>
      <c r="J144" t="s">
        <v>730</v>
      </c>
      <c r="K144" t="s">
        <v>1196</v>
      </c>
      <c r="N144" t="s">
        <v>1854</v>
      </c>
      <c r="O144" t="s">
        <v>1166</v>
      </c>
      <c r="Q144">
        <v>32</v>
      </c>
    </row>
    <row r="145" spans="6:17" x14ac:dyDescent="0.2">
      <c r="F145" t="s">
        <v>1216</v>
      </c>
      <c r="G145" t="s">
        <v>1217</v>
      </c>
      <c r="I145" t="s">
        <v>1218</v>
      </c>
      <c r="J145" t="s">
        <v>730</v>
      </c>
      <c r="K145" t="s">
        <v>1196</v>
      </c>
      <c r="N145" t="s">
        <v>1854</v>
      </c>
      <c r="O145" t="s">
        <v>1166</v>
      </c>
      <c r="Q145">
        <v>32</v>
      </c>
    </row>
    <row r="146" spans="6:17" x14ac:dyDescent="0.2">
      <c r="F146" t="s">
        <v>1219</v>
      </c>
      <c r="G146" t="s">
        <v>1220</v>
      </c>
      <c r="H146" t="s">
        <v>29</v>
      </c>
      <c r="I146" t="s">
        <v>1221</v>
      </c>
      <c r="J146" t="s">
        <v>730</v>
      </c>
      <c r="K146" t="s">
        <v>1222</v>
      </c>
      <c r="N146" t="s">
        <v>1854</v>
      </c>
      <c r="Q146">
        <v>16</v>
      </c>
    </row>
    <row r="147" spans="6:17" x14ac:dyDescent="0.2">
      <c r="F147" t="s">
        <v>1223</v>
      </c>
      <c r="G147" t="s">
        <v>1224</v>
      </c>
      <c r="I147" t="s">
        <v>1225</v>
      </c>
      <c r="J147" t="s">
        <v>730</v>
      </c>
      <c r="K147" t="s">
        <v>1226</v>
      </c>
      <c r="N147" t="s">
        <v>1854</v>
      </c>
      <c r="O147" t="s">
        <v>1166</v>
      </c>
      <c r="Q147">
        <v>16</v>
      </c>
    </row>
    <row r="148" spans="6:17" x14ac:dyDescent="0.2">
      <c r="F148" t="s">
        <v>1227</v>
      </c>
      <c r="G148" t="s">
        <v>1228</v>
      </c>
      <c r="I148" t="s">
        <v>1229</v>
      </c>
      <c r="J148" t="s">
        <v>730</v>
      </c>
      <c r="K148" t="s">
        <v>1226</v>
      </c>
      <c r="N148" t="s">
        <v>1854</v>
      </c>
      <c r="O148" t="s">
        <v>1166</v>
      </c>
      <c r="Q148">
        <v>16</v>
      </c>
    </row>
    <row r="149" spans="6:17" x14ac:dyDescent="0.2">
      <c r="F149" t="s">
        <v>1230</v>
      </c>
      <c r="G149" t="s">
        <v>1231</v>
      </c>
      <c r="I149" t="s">
        <v>1232</v>
      </c>
      <c r="J149" t="s">
        <v>730</v>
      </c>
      <c r="K149" t="s">
        <v>1226</v>
      </c>
      <c r="N149" t="s">
        <v>1854</v>
      </c>
      <c r="O149" t="s">
        <v>1166</v>
      </c>
      <c r="Q149">
        <v>32</v>
      </c>
    </row>
    <row r="150" spans="6:17" x14ac:dyDescent="0.2">
      <c r="F150" t="s">
        <v>1233</v>
      </c>
      <c r="G150" t="s">
        <v>1234</v>
      </c>
      <c r="I150" t="s">
        <v>1235</v>
      </c>
      <c r="J150" t="s">
        <v>730</v>
      </c>
      <c r="K150" t="s">
        <v>1226</v>
      </c>
      <c r="N150" t="s">
        <v>1854</v>
      </c>
      <c r="O150" t="s">
        <v>1166</v>
      </c>
      <c r="Q150">
        <v>16</v>
      </c>
    </row>
    <row r="151" spans="6:17" x14ac:dyDescent="0.2">
      <c r="F151" t="s">
        <v>1236</v>
      </c>
      <c r="G151" t="s">
        <v>1237</v>
      </c>
      <c r="I151" t="s">
        <v>1238</v>
      </c>
      <c r="J151" t="s">
        <v>730</v>
      </c>
      <c r="K151" t="s">
        <v>1226</v>
      </c>
      <c r="N151" t="s">
        <v>1854</v>
      </c>
      <c r="O151" t="s">
        <v>1166</v>
      </c>
      <c r="Q151">
        <v>60</v>
      </c>
    </row>
    <row r="152" spans="6:17" x14ac:dyDescent="0.2">
      <c r="F152" t="s">
        <v>1203</v>
      </c>
      <c r="G152" t="s">
        <v>1239</v>
      </c>
      <c r="I152" t="s">
        <v>1240</v>
      </c>
      <c r="J152" t="s">
        <v>730</v>
      </c>
      <c r="K152" t="s">
        <v>1226</v>
      </c>
      <c r="N152" t="s">
        <v>1854</v>
      </c>
      <c r="O152" t="s">
        <v>1166</v>
      </c>
      <c r="Q152">
        <v>64</v>
      </c>
    </row>
    <row r="153" spans="6:17" x14ac:dyDescent="0.2">
      <c r="F153" t="s">
        <v>1241</v>
      </c>
      <c r="G153" t="s">
        <v>1242</v>
      </c>
      <c r="I153" t="s">
        <v>1243</v>
      </c>
      <c r="J153" t="s">
        <v>730</v>
      </c>
      <c r="K153" t="s">
        <v>1226</v>
      </c>
      <c r="N153" t="s">
        <v>1854</v>
      </c>
      <c r="O153" t="s">
        <v>1166</v>
      </c>
      <c r="Q153">
        <v>16</v>
      </c>
    </row>
    <row r="154" spans="6:17" x14ac:dyDescent="0.2">
      <c r="F154" t="s">
        <v>1244</v>
      </c>
      <c r="G154" t="s">
        <v>1245</v>
      </c>
      <c r="I154" t="s">
        <v>1246</v>
      </c>
      <c r="J154" t="s">
        <v>730</v>
      </c>
      <c r="K154" t="s">
        <v>1226</v>
      </c>
      <c r="N154" t="s">
        <v>1854</v>
      </c>
      <c r="O154" t="s">
        <v>1166</v>
      </c>
      <c r="Q154">
        <v>48</v>
      </c>
    </row>
    <row r="155" spans="6:17" x14ac:dyDescent="0.2">
      <c r="F155" t="s">
        <v>1247</v>
      </c>
      <c r="G155" t="s">
        <v>1248</v>
      </c>
      <c r="I155" t="s">
        <v>1249</v>
      </c>
      <c r="J155" t="s">
        <v>730</v>
      </c>
      <c r="K155" t="s">
        <v>1226</v>
      </c>
      <c r="N155" t="s">
        <v>1854</v>
      </c>
      <c r="O155" t="s">
        <v>1166</v>
      </c>
      <c r="Q155">
        <v>16</v>
      </c>
    </row>
    <row r="156" spans="6:17" x14ac:dyDescent="0.2">
      <c r="F156" t="s">
        <v>1250</v>
      </c>
      <c r="G156" t="s">
        <v>1251</v>
      </c>
      <c r="I156" t="s">
        <v>1252</v>
      </c>
      <c r="J156" t="s">
        <v>730</v>
      </c>
      <c r="K156" t="s">
        <v>1253</v>
      </c>
      <c r="N156" t="s">
        <v>1854</v>
      </c>
      <c r="O156" t="s">
        <v>1166</v>
      </c>
    </row>
    <row r="157" spans="6:17" x14ac:dyDescent="0.2">
      <c r="F157" t="s">
        <v>1254</v>
      </c>
      <c r="G157" t="s">
        <v>1255</v>
      </c>
      <c r="I157" t="s">
        <v>1256</v>
      </c>
      <c r="J157" t="s">
        <v>730</v>
      </c>
      <c r="K157" t="s">
        <v>1253</v>
      </c>
      <c r="L157" t="s">
        <v>1257</v>
      </c>
      <c r="N157" t="s">
        <v>1854</v>
      </c>
      <c r="O157" t="s">
        <v>1166</v>
      </c>
      <c r="Q157">
        <v>32</v>
      </c>
    </row>
    <row r="158" spans="6:17" x14ac:dyDescent="0.2">
      <c r="F158" t="s">
        <v>1258</v>
      </c>
      <c r="G158" t="s">
        <v>1259</v>
      </c>
      <c r="I158" t="s">
        <v>1260</v>
      </c>
      <c r="J158" t="s">
        <v>730</v>
      </c>
      <c r="K158" t="s">
        <v>1253</v>
      </c>
      <c r="L158" t="s">
        <v>1257</v>
      </c>
      <c r="N158" t="s">
        <v>1854</v>
      </c>
      <c r="O158" t="s">
        <v>1166</v>
      </c>
      <c r="Q158">
        <v>64</v>
      </c>
    </row>
    <row r="159" spans="6:17" x14ac:dyDescent="0.2">
      <c r="F159" t="s">
        <v>1261</v>
      </c>
      <c r="G159" t="s">
        <v>1262</v>
      </c>
      <c r="I159" t="s">
        <v>1263</v>
      </c>
      <c r="J159" t="s">
        <v>730</v>
      </c>
      <c r="K159" t="s">
        <v>1253</v>
      </c>
      <c r="L159" t="s">
        <v>1257</v>
      </c>
      <c r="N159" t="s">
        <v>1854</v>
      </c>
      <c r="O159" t="s">
        <v>1166</v>
      </c>
      <c r="Q159">
        <v>16</v>
      </c>
    </row>
    <row r="160" spans="6:17" x14ac:dyDescent="0.2">
      <c r="F160" t="s">
        <v>1264</v>
      </c>
      <c r="G160" t="s">
        <v>1265</v>
      </c>
      <c r="I160" t="s">
        <v>1266</v>
      </c>
      <c r="J160" t="s">
        <v>730</v>
      </c>
      <c r="K160" t="s">
        <v>1253</v>
      </c>
      <c r="L160" t="s">
        <v>1257</v>
      </c>
      <c r="N160" t="s">
        <v>1854</v>
      </c>
      <c r="O160" t="s">
        <v>1166</v>
      </c>
      <c r="Q160">
        <v>64</v>
      </c>
    </row>
    <row r="161" spans="6:17" x14ac:dyDescent="0.2">
      <c r="F161" t="s">
        <v>1267</v>
      </c>
      <c r="G161" t="s">
        <v>1268</v>
      </c>
      <c r="I161" t="s">
        <v>1269</v>
      </c>
      <c r="J161" t="s">
        <v>730</v>
      </c>
      <c r="K161" t="s">
        <v>1253</v>
      </c>
      <c r="L161" t="s">
        <v>1257</v>
      </c>
      <c r="N161" t="s">
        <v>1854</v>
      </c>
      <c r="O161" t="s">
        <v>1166</v>
      </c>
      <c r="Q161">
        <v>16</v>
      </c>
    </row>
    <row r="162" spans="6:17" x14ac:dyDescent="0.2">
      <c r="F162" t="s">
        <v>1250</v>
      </c>
      <c r="G162" t="s">
        <v>1251</v>
      </c>
      <c r="I162" t="s">
        <v>1252</v>
      </c>
      <c r="J162" t="s">
        <v>730</v>
      </c>
      <c r="K162" t="s">
        <v>1253</v>
      </c>
      <c r="L162" t="s">
        <v>1257</v>
      </c>
      <c r="N162" t="s">
        <v>1854</v>
      </c>
      <c r="O162" t="s">
        <v>1166</v>
      </c>
      <c r="Q162">
        <v>16</v>
      </c>
    </row>
    <row r="163" spans="6:17" x14ac:dyDescent="0.2">
      <c r="F163" t="s">
        <v>1270</v>
      </c>
      <c r="G163" t="s">
        <v>1271</v>
      </c>
      <c r="H163" t="s">
        <v>1272</v>
      </c>
      <c r="I163" t="s">
        <v>1273</v>
      </c>
      <c r="J163" t="s">
        <v>730</v>
      </c>
      <c r="K163" t="s">
        <v>1253</v>
      </c>
      <c r="L163" t="s">
        <v>1274</v>
      </c>
      <c r="N163" t="s">
        <v>1854</v>
      </c>
      <c r="O163" t="s">
        <v>1166</v>
      </c>
      <c r="Q163">
        <v>16</v>
      </c>
    </row>
    <row r="164" spans="6:17" x14ac:dyDescent="0.2">
      <c r="F164" t="s">
        <v>1275</v>
      </c>
      <c r="G164" t="s">
        <v>1276</v>
      </c>
      <c r="I164" t="s">
        <v>1277</v>
      </c>
      <c r="J164" t="s">
        <v>730</v>
      </c>
      <c r="K164" t="s">
        <v>1253</v>
      </c>
      <c r="L164" t="s">
        <v>1278</v>
      </c>
      <c r="N164" t="s">
        <v>1854</v>
      </c>
      <c r="O164" t="s">
        <v>1166</v>
      </c>
      <c r="Q164">
        <v>16</v>
      </c>
    </row>
    <row r="165" spans="6:17" x14ac:dyDescent="0.2">
      <c r="F165" t="s">
        <v>689</v>
      </c>
      <c r="G165" t="s">
        <v>690</v>
      </c>
      <c r="H165" t="s">
        <v>29</v>
      </c>
      <c r="I165" t="s">
        <v>691</v>
      </c>
      <c r="J165" t="s">
        <v>730</v>
      </c>
      <c r="K165" t="s">
        <v>569</v>
      </c>
      <c r="N165" t="s">
        <v>1854</v>
      </c>
      <c r="O165" t="s">
        <v>1166</v>
      </c>
      <c r="Q165">
        <v>32</v>
      </c>
    </row>
    <row r="166" spans="6:17" x14ac:dyDescent="0.2">
      <c r="F166" t="s">
        <v>692</v>
      </c>
      <c r="G166" t="s">
        <v>693</v>
      </c>
      <c r="H166" t="s">
        <v>29</v>
      </c>
      <c r="I166" t="s">
        <v>694</v>
      </c>
      <c r="J166" t="s">
        <v>730</v>
      </c>
      <c r="K166" t="s">
        <v>569</v>
      </c>
      <c r="N166" t="s">
        <v>1854</v>
      </c>
      <c r="O166" t="s">
        <v>1166</v>
      </c>
      <c r="Q166">
        <v>32</v>
      </c>
    </row>
    <row r="167" spans="6:17" x14ac:dyDescent="0.2">
      <c r="F167" t="s">
        <v>1858</v>
      </c>
      <c r="G167" t="s">
        <v>1857</v>
      </c>
      <c r="H167" t="s">
        <v>1860</v>
      </c>
      <c r="I167" t="s">
        <v>1859</v>
      </c>
      <c r="J167" t="s">
        <v>730</v>
      </c>
      <c r="K167" t="s">
        <v>569</v>
      </c>
      <c r="N167" t="s">
        <v>1854</v>
      </c>
      <c r="O167" t="s">
        <v>1166</v>
      </c>
      <c r="Q167">
        <v>32</v>
      </c>
    </row>
    <row r="168" spans="6:17" x14ac:dyDescent="0.2">
      <c r="F168" t="s">
        <v>695</v>
      </c>
      <c r="G168" t="s">
        <v>696</v>
      </c>
      <c r="I168" t="s">
        <v>697</v>
      </c>
      <c r="J168" t="s">
        <v>730</v>
      </c>
      <c r="K168" t="s">
        <v>569</v>
      </c>
      <c r="N168" t="s">
        <v>1854</v>
      </c>
      <c r="O168" t="s">
        <v>1166</v>
      </c>
      <c r="Q168">
        <v>16</v>
      </c>
    </row>
    <row r="169" spans="6:17" x14ac:dyDescent="0.2">
      <c r="F169" t="s">
        <v>1280</v>
      </c>
      <c r="G169" t="s">
        <v>1281</v>
      </c>
      <c r="I169" t="s">
        <v>1282</v>
      </c>
      <c r="J169" t="s">
        <v>506</v>
      </c>
      <c r="K169" t="s">
        <v>1279</v>
      </c>
      <c r="N169" t="s">
        <v>1854</v>
      </c>
      <c r="O169" t="s">
        <v>1166</v>
      </c>
    </row>
    <row r="170" spans="6:17" x14ac:dyDescent="0.2">
      <c r="J170" t="s">
        <v>506</v>
      </c>
      <c r="K170" t="s">
        <v>1279</v>
      </c>
      <c r="L170" t="s">
        <v>1029</v>
      </c>
    </row>
    <row r="171" spans="6:17" x14ac:dyDescent="0.2">
      <c r="F171" t="s">
        <v>1294</v>
      </c>
      <c r="G171" t="s">
        <v>1295</v>
      </c>
      <c r="H171" t="s">
        <v>1296</v>
      </c>
      <c r="J171" t="s">
        <v>506</v>
      </c>
      <c r="K171" t="s">
        <v>1279</v>
      </c>
      <c r="L171" t="s">
        <v>1029</v>
      </c>
      <c r="M171" t="s">
        <v>1297</v>
      </c>
      <c r="N171" t="s">
        <v>1854</v>
      </c>
    </row>
    <row r="172" spans="6:17" x14ac:dyDescent="0.2">
      <c r="F172" t="s">
        <v>1298</v>
      </c>
      <c r="G172" t="s">
        <v>1299</v>
      </c>
      <c r="H172" t="s">
        <v>1300</v>
      </c>
      <c r="J172" t="s">
        <v>506</v>
      </c>
      <c r="K172" t="s">
        <v>1279</v>
      </c>
      <c r="L172" t="s">
        <v>1029</v>
      </c>
      <c r="M172" t="s">
        <v>1297</v>
      </c>
      <c r="N172" t="s">
        <v>1854</v>
      </c>
    </row>
    <row r="173" spans="6:17" x14ac:dyDescent="0.2">
      <c r="F173" t="s">
        <v>1301</v>
      </c>
      <c r="G173" t="s">
        <v>1302</v>
      </c>
      <c r="H173" t="s">
        <v>1303</v>
      </c>
      <c r="J173" t="s">
        <v>506</v>
      </c>
      <c r="K173" t="s">
        <v>1279</v>
      </c>
      <c r="L173" t="s">
        <v>1029</v>
      </c>
      <c r="M173" t="s">
        <v>1297</v>
      </c>
      <c r="N173" t="s">
        <v>1854</v>
      </c>
    </row>
    <row r="174" spans="6:17" x14ac:dyDescent="0.2">
      <c r="F174" t="s">
        <v>1304</v>
      </c>
      <c r="G174" t="s">
        <v>1305</v>
      </c>
      <c r="H174" t="s">
        <v>1306</v>
      </c>
      <c r="J174" t="s">
        <v>506</v>
      </c>
      <c r="K174" t="s">
        <v>1279</v>
      </c>
      <c r="L174" t="s">
        <v>1029</v>
      </c>
      <c r="M174" t="s">
        <v>1297</v>
      </c>
      <c r="N174" t="s">
        <v>1854</v>
      </c>
    </row>
    <row r="175" spans="6:17" x14ac:dyDescent="0.2">
      <c r="F175" t="s">
        <v>1307</v>
      </c>
      <c r="G175" t="s">
        <v>1308</v>
      </c>
      <c r="J175" t="s">
        <v>506</v>
      </c>
      <c r="K175" t="s">
        <v>1279</v>
      </c>
      <c r="L175" t="s">
        <v>1029</v>
      </c>
      <c r="M175" t="s">
        <v>1309</v>
      </c>
      <c r="N175" t="s">
        <v>1854</v>
      </c>
    </row>
    <row r="176" spans="6:17" x14ac:dyDescent="0.2">
      <c r="F176" t="s">
        <v>1310</v>
      </c>
      <c r="G176" t="s">
        <v>1311</v>
      </c>
      <c r="H176" t="s">
        <v>1312</v>
      </c>
      <c r="J176" t="s">
        <v>506</v>
      </c>
      <c r="K176" t="s">
        <v>1279</v>
      </c>
      <c r="L176" t="s">
        <v>1029</v>
      </c>
      <c r="M176" t="s">
        <v>1309</v>
      </c>
      <c r="N176" t="s">
        <v>1854</v>
      </c>
    </row>
    <row r="177" spans="6:14" x14ac:dyDescent="0.2">
      <c r="F177" t="s">
        <v>1313</v>
      </c>
      <c r="G177" t="s">
        <v>1314</v>
      </c>
      <c r="H177" t="s">
        <v>1315</v>
      </c>
      <c r="J177" t="s">
        <v>506</v>
      </c>
      <c r="K177" t="s">
        <v>1279</v>
      </c>
      <c r="L177" t="s">
        <v>1029</v>
      </c>
      <c r="M177" t="s">
        <v>1309</v>
      </c>
      <c r="N177" t="s">
        <v>1854</v>
      </c>
    </row>
    <row r="178" spans="6:14" x14ac:dyDescent="0.2">
      <c r="F178" t="s">
        <v>1316</v>
      </c>
      <c r="G178" t="s">
        <v>1317</v>
      </c>
      <c r="H178" t="s">
        <v>1318</v>
      </c>
      <c r="J178" t="s">
        <v>506</v>
      </c>
      <c r="K178" t="s">
        <v>1279</v>
      </c>
      <c r="L178" t="s">
        <v>1029</v>
      </c>
      <c r="M178" t="s">
        <v>1309</v>
      </c>
      <c r="N178" t="s">
        <v>1854</v>
      </c>
    </row>
    <row r="179" spans="6:14" x14ac:dyDescent="0.2">
      <c r="F179" t="s">
        <v>1319</v>
      </c>
      <c r="G179" t="s">
        <v>1320</v>
      </c>
      <c r="J179" t="s">
        <v>506</v>
      </c>
      <c r="K179" t="s">
        <v>1279</v>
      </c>
      <c r="L179" t="s">
        <v>1029</v>
      </c>
      <c r="M179" t="s">
        <v>1321</v>
      </c>
      <c r="N179" t="s">
        <v>1854</v>
      </c>
    </row>
    <row r="180" spans="6:14" x14ac:dyDescent="0.2">
      <c r="F180" t="s">
        <v>1322</v>
      </c>
      <c r="G180" t="s">
        <v>1323</v>
      </c>
      <c r="J180" t="s">
        <v>506</v>
      </c>
      <c r="K180" t="s">
        <v>1279</v>
      </c>
      <c r="L180" t="s">
        <v>1029</v>
      </c>
      <c r="M180" t="s">
        <v>1321</v>
      </c>
      <c r="N180" t="s">
        <v>1854</v>
      </c>
    </row>
    <row r="181" spans="6:14" x14ac:dyDescent="0.2">
      <c r="F181" t="s">
        <v>1324</v>
      </c>
      <c r="G181" t="s">
        <v>1325</v>
      </c>
      <c r="H181" t="s">
        <v>1326</v>
      </c>
      <c r="J181" t="s">
        <v>506</v>
      </c>
      <c r="K181" t="s">
        <v>1279</v>
      </c>
      <c r="L181" t="s">
        <v>1029</v>
      </c>
      <c r="M181" t="s">
        <v>1321</v>
      </c>
      <c r="N181" t="s">
        <v>1854</v>
      </c>
    </row>
    <row r="182" spans="6:14" x14ac:dyDescent="0.2">
      <c r="F182" t="s">
        <v>1327</v>
      </c>
      <c r="G182" t="s">
        <v>1328</v>
      </c>
      <c r="H182" t="s">
        <v>1329</v>
      </c>
      <c r="J182" t="s">
        <v>506</v>
      </c>
      <c r="K182" t="s">
        <v>1279</v>
      </c>
      <c r="L182" t="s">
        <v>1029</v>
      </c>
      <c r="M182" t="s">
        <v>1321</v>
      </c>
      <c r="N182" t="s">
        <v>1854</v>
      </c>
    </row>
    <row r="183" spans="6:14" x14ac:dyDescent="0.2">
      <c r="F183" t="s">
        <v>1330</v>
      </c>
      <c r="G183" t="s">
        <v>1331</v>
      </c>
      <c r="H183" t="s">
        <v>1332</v>
      </c>
      <c r="J183" t="s">
        <v>506</v>
      </c>
      <c r="K183" t="s">
        <v>1279</v>
      </c>
      <c r="L183" t="s">
        <v>1029</v>
      </c>
      <c r="M183" t="s">
        <v>1321</v>
      </c>
      <c r="N183" t="s">
        <v>1854</v>
      </c>
    </row>
    <row r="184" spans="6:14" x14ac:dyDescent="0.2">
      <c r="F184" t="s">
        <v>1333</v>
      </c>
      <c r="G184" t="s">
        <v>1334</v>
      </c>
      <c r="J184" t="s">
        <v>506</v>
      </c>
      <c r="K184" t="s">
        <v>1279</v>
      </c>
      <c r="L184" t="s">
        <v>1029</v>
      </c>
      <c r="M184" t="s">
        <v>1321</v>
      </c>
      <c r="N184" t="s">
        <v>1854</v>
      </c>
    </row>
    <row r="185" spans="6:14" x14ac:dyDescent="0.2">
      <c r="F185" t="s">
        <v>1335</v>
      </c>
      <c r="G185" t="s">
        <v>1336</v>
      </c>
      <c r="J185" t="s">
        <v>506</v>
      </c>
      <c r="K185" t="s">
        <v>1279</v>
      </c>
      <c r="L185" t="s">
        <v>1029</v>
      </c>
      <c r="M185" t="s">
        <v>1321</v>
      </c>
      <c r="N185" t="s">
        <v>1854</v>
      </c>
    </row>
    <row r="186" spans="6:14" x14ac:dyDescent="0.2">
      <c r="F186" t="s">
        <v>1337</v>
      </c>
      <c r="G186" t="s">
        <v>1338</v>
      </c>
      <c r="J186" t="s">
        <v>506</v>
      </c>
      <c r="K186" t="s">
        <v>1279</v>
      </c>
      <c r="L186" t="s">
        <v>1029</v>
      </c>
      <c r="M186" t="s">
        <v>1321</v>
      </c>
      <c r="N186" t="s">
        <v>1854</v>
      </c>
    </row>
    <row r="187" spans="6:14" x14ac:dyDescent="0.2">
      <c r="F187" t="s">
        <v>1339</v>
      </c>
      <c r="G187" t="s">
        <v>1340</v>
      </c>
      <c r="J187" t="s">
        <v>506</v>
      </c>
      <c r="K187" t="s">
        <v>1279</v>
      </c>
      <c r="L187" t="s">
        <v>1029</v>
      </c>
      <c r="M187" t="s">
        <v>1321</v>
      </c>
      <c r="N187" t="s">
        <v>1854</v>
      </c>
    </row>
    <row r="188" spans="6:14" x14ac:dyDescent="0.2">
      <c r="F188" t="s">
        <v>1341</v>
      </c>
      <c r="G188" t="s">
        <v>1342</v>
      </c>
      <c r="J188" t="s">
        <v>506</v>
      </c>
      <c r="K188" t="s">
        <v>1279</v>
      </c>
      <c r="L188" t="s">
        <v>1029</v>
      </c>
      <c r="M188" t="s">
        <v>1321</v>
      </c>
      <c r="N188" t="s">
        <v>1854</v>
      </c>
    </row>
    <row r="189" spans="6:14" x14ac:dyDescent="0.2">
      <c r="F189" t="s">
        <v>1343</v>
      </c>
      <c r="G189" t="s">
        <v>1344</v>
      </c>
      <c r="J189" t="s">
        <v>506</v>
      </c>
      <c r="K189" t="s">
        <v>1279</v>
      </c>
      <c r="L189" t="s">
        <v>1029</v>
      </c>
      <c r="M189" t="s">
        <v>1321</v>
      </c>
      <c r="N189" t="s">
        <v>1854</v>
      </c>
    </row>
    <row r="190" spans="6:14" x14ac:dyDescent="0.2">
      <c r="F190" t="s">
        <v>1345</v>
      </c>
      <c r="G190" t="s">
        <v>1346</v>
      </c>
      <c r="H190" t="s">
        <v>1347</v>
      </c>
      <c r="J190" t="s">
        <v>506</v>
      </c>
      <c r="K190" t="s">
        <v>1279</v>
      </c>
      <c r="L190" t="s">
        <v>1029</v>
      </c>
      <c r="M190" t="s">
        <v>1321</v>
      </c>
      <c r="N190" t="s">
        <v>1854</v>
      </c>
    </row>
    <row r="191" spans="6:14" x14ac:dyDescent="0.2">
      <c r="F191" t="s">
        <v>1348</v>
      </c>
      <c r="G191" t="s">
        <v>1349</v>
      </c>
      <c r="J191" t="s">
        <v>506</v>
      </c>
      <c r="K191" t="s">
        <v>1279</v>
      </c>
      <c r="L191" t="s">
        <v>1029</v>
      </c>
      <c r="M191" t="s">
        <v>1321</v>
      </c>
      <c r="N191" t="s">
        <v>1854</v>
      </c>
    </row>
    <row r="192" spans="6:14" x14ac:dyDescent="0.2">
      <c r="F192" t="s">
        <v>1350</v>
      </c>
      <c r="G192" t="s">
        <v>1351</v>
      </c>
      <c r="J192" t="s">
        <v>506</v>
      </c>
      <c r="K192" t="s">
        <v>1279</v>
      </c>
      <c r="L192" t="s">
        <v>1029</v>
      </c>
      <c r="M192" t="s">
        <v>1321</v>
      </c>
      <c r="N192" t="s">
        <v>1854</v>
      </c>
    </row>
    <row r="193" spans="6:14" x14ac:dyDescent="0.2">
      <c r="F193" t="s">
        <v>1352</v>
      </c>
      <c r="G193" t="s">
        <v>1353</v>
      </c>
      <c r="J193" t="s">
        <v>506</v>
      </c>
      <c r="K193" t="s">
        <v>1279</v>
      </c>
      <c r="L193" t="s">
        <v>1029</v>
      </c>
      <c r="M193" t="s">
        <v>1321</v>
      </c>
      <c r="N193" t="s">
        <v>1854</v>
      </c>
    </row>
    <row r="194" spans="6:14" x14ac:dyDescent="0.2">
      <c r="F194" t="s">
        <v>1354</v>
      </c>
      <c r="G194" t="s">
        <v>1355</v>
      </c>
      <c r="J194" t="s">
        <v>506</v>
      </c>
      <c r="K194" t="s">
        <v>1279</v>
      </c>
      <c r="L194" t="s">
        <v>1029</v>
      </c>
      <c r="M194" t="s">
        <v>1321</v>
      </c>
      <c r="N194" t="s">
        <v>1854</v>
      </c>
    </row>
    <row r="195" spans="6:14" x14ac:dyDescent="0.2">
      <c r="F195" t="s">
        <v>1356</v>
      </c>
      <c r="G195" t="s">
        <v>1357</v>
      </c>
      <c r="H195" t="s">
        <v>1358</v>
      </c>
      <c r="J195" t="s">
        <v>506</v>
      </c>
      <c r="K195" t="s">
        <v>1279</v>
      </c>
      <c r="L195" t="s">
        <v>1029</v>
      </c>
      <c r="M195" t="s">
        <v>1321</v>
      </c>
      <c r="N195" t="s">
        <v>1854</v>
      </c>
    </row>
    <row r="196" spans="6:14" x14ac:dyDescent="0.2">
      <c r="F196" t="s">
        <v>1359</v>
      </c>
      <c r="G196" t="s">
        <v>1360</v>
      </c>
      <c r="H196" t="s">
        <v>1361</v>
      </c>
      <c r="J196" t="s">
        <v>506</v>
      </c>
      <c r="K196" t="s">
        <v>1279</v>
      </c>
      <c r="L196" t="s">
        <v>1029</v>
      </c>
      <c r="M196" t="s">
        <v>1321</v>
      </c>
      <c r="N196" t="s">
        <v>1854</v>
      </c>
    </row>
    <row r="197" spans="6:14" x14ac:dyDescent="0.2">
      <c r="F197" t="s">
        <v>1362</v>
      </c>
      <c r="G197" t="s">
        <v>1363</v>
      </c>
      <c r="J197" t="s">
        <v>506</v>
      </c>
      <c r="K197" t="s">
        <v>1279</v>
      </c>
      <c r="L197" t="s">
        <v>1029</v>
      </c>
      <c r="M197" t="s">
        <v>1321</v>
      </c>
      <c r="N197" t="s">
        <v>1854</v>
      </c>
    </row>
    <row r="198" spans="6:14" x14ac:dyDescent="0.2">
      <c r="F198" t="s">
        <v>1364</v>
      </c>
      <c r="G198" t="s">
        <v>1365</v>
      </c>
      <c r="H198" t="s">
        <v>1366</v>
      </c>
      <c r="J198" t="s">
        <v>506</v>
      </c>
      <c r="K198" t="s">
        <v>1279</v>
      </c>
      <c r="L198" t="s">
        <v>1029</v>
      </c>
      <c r="M198" t="s">
        <v>1321</v>
      </c>
      <c r="N198" t="s">
        <v>1854</v>
      </c>
    </row>
    <row r="199" spans="6:14" x14ac:dyDescent="0.2">
      <c r="F199" t="s">
        <v>1367</v>
      </c>
      <c r="G199" t="s">
        <v>1368</v>
      </c>
      <c r="H199" t="s">
        <v>1369</v>
      </c>
      <c r="J199" t="s">
        <v>506</v>
      </c>
      <c r="K199" t="s">
        <v>1279</v>
      </c>
      <c r="L199" t="s">
        <v>1029</v>
      </c>
      <c r="M199" t="s">
        <v>1321</v>
      </c>
      <c r="N199" t="s">
        <v>1854</v>
      </c>
    </row>
    <row r="200" spans="6:14" x14ac:dyDescent="0.2">
      <c r="F200" t="s">
        <v>1370</v>
      </c>
      <c r="G200" t="s">
        <v>1371</v>
      </c>
      <c r="H200" t="s">
        <v>1372</v>
      </c>
      <c r="J200" t="s">
        <v>506</v>
      </c>
      <c r="K200" t="s">
        <v>1279</v>
      </c>
      <c r="L200" t="s">
        <v>1029</v>
      </c>
      <c r="M200" t="s">
        <v>1321</v>
      </c>
      <c r="N200" t="s">
        <v>1854</v>
      </c>
    </row>
    <row r="201" spans="6:14" x14ac:dyDescent="0.2">
      <c r="F201" t="s">
        <v>1373</v>
      </c>
      <c r="G201" t="s">
        <v>1374</v>
      </c>
      <c r="H201" t="s">
        <v>1375</v>
      </c>
      <c r="J201" t="s">
        <v>506</v>
      </c>
      <c r="K201" t="s">
        <v>1279</v>
      </c>
      <c r="L201" t="s">
        <v>1029</v>
      </c>
      <c r="M201" t="s">
        <v>1321</v>
      </c>
      <c r="N201" t="s">
        <v>1854</v>
      </c>
    </row>
    <row r="202" spans="6:14" x14ac:dyDescent="0.2">
      <c r="F202" t="s">
        <v>1376</v>
      </c>
      <c r="G202" t="s">
        <v>1377</v>
      </c>
      <c r="J202" t="s">
        <v>506</v>
      </c>
      <c r="K202" t="s">
        <v>1279</v>
      </c>
      <c r="L202" t="s">
        <v>1029</v>
      </c>
      <c r="M202" t="s">
        <v>1321</v>
      </c>
      <c r="N202" t="s">
        <v>1854</v>
      </c>
    </row>
    <row r="203" spans="6:14" x14ac:dyDescent="0.2">
      <c r="F203" t="s">
        <v>1378</v>
      </c>
      <c r="G203" t="s">
        <v>1379</v>
      </c>
      <c r="J203" t="s">
        <v>506</v>
      </c>
      <c r="K203" t="s">
        <v>1279</v>
      </c>
      <c r="L203" t="s">
        <v>1029</v>
      </c>
      <c r="M203" t="s">
        <v>1321</v>
      </c>
      <c r="N203" t="s">
        <v>1854</v>
      </c>
    </row>
    <row r="204" spans="6:14" x14ac:dyDescent="0.2">
      <c r="F204" t="s">
        <v>1380</v>
      </c>
      <c r="G204" t="s">
        <v>1381</v>
      </c>
      <c r="J204" t="s">
        <v>506</v>
      </c>
      <c r="K204" t="s">
        <v>1279</v>
      </c>
      <c r="L204" t="s">
        <v>1029</v>
      </c>
      <c r="M204" t="s">
        <v>1321</v>
      </c>
      <c r="N204" t="s">
        <v>1854</v>
      </c>
    </row>
    <row r="205" spans="6:14" x14ac:dyDescent="0.2">
      <c r="F205" t="s">
        <v>1382</v>
      </c>
      <c r="G205" t="s">
        <v>1383</v>
      </c>
      <c r="H205" t="s">
        <v>1384</v>
      </c>
      <c r="J205" t="s">
        <v>506</v>
      </c>
      <c r="K205" t="s">
        <v>1279</v>
      </c>
      <c r="L205" t="s">
        <v>1029</v>
      </c>
      <c r="M205" t="s">
        <v>1321</v>
      </c>
      <c r="N205" t="s">
        <v>1854</v>
      </c>
    </row>
    <row r="206" spans="6:14" x14ac:dyDescent="0.2">
      <c r="F206" t="s">
        <v>1385</v>
      </c>
      <c r="G206" t="s">
        <v>1386</v>
      </c>
      <c r="H206" t="s">
        <v>1387</v>
      </c>
      <c r="J206" t="s">
        <v>506</v>
      </c>
      <c r="K206" t="s">
        <v>1279</v>
      </c>
      <c r="L206" t="s">
        <v>1029</v>
      </c>
      <c r="M206" t="s">
        <v>1321</v>
      </c>
      <c r="N206" t="s">
        <v>1854</v>
      </c>
    </row>
    <row r="207" spans="6:14" x14ac:dyDescent="0.2">
      <c r="F207" t="s">
        <v>1388</v>
      </c>
      <c r="G207" t="s">
        <v>1389</v>
      </c>
      <c r="J207" t="s">
        <v>506</v>
      </c>
      <c r="K207" t="s">
        <v>1279</v>
      </c>
      <c r="L207" t="s">
        <v>1029</v>
      </c>
      <c r="M207" t="s">
        <v>1321</v>
      </c>
      <c r="N207" t="s">
        <v>1854</v>
      </c>
    </row>
    <row r="208" spans="6:14" x14ac:dyDescent="0.2">
      <c r="F208" t="s">
        <v>1390</v>
      </c>
      <c r="G208" t="s">
        <v>1391</v>
      </c>
      <c r="J208" t="s">
        <v>506</v>
      </c>
      <c r="K208" t="s">
        <v>1279</v>
      </c>
      <c r="L208" t="s">
        <v>1029</v>
      </c>
      <c r="M208" t="s">
        <v>1321</v>
      </c>
      <c r="N208" t="s">
        <v>1854</v>
      </c>
    </row>
    <row r="209" spans="6:14" x14ac:dyDescent="0.2">
      <c r="F209" t="s">
        <v>1392</v>
      </c>
      <c r="G209" t="s">
        <v>1393</v>
      </c>
      <c r="J209" t="s">
        <v>506</v>
      </c>
      <c r="K209" t="s">
        <v>1279</v>
      </c>
      <c r="L209" t="s">
        <v>1029</v>
      </c>
      <c r="M209" t="s">
        <v>1321</v>
      </c>
      <c r="N209" t="s">
        <v>1854</v>
      </c>
    </row>
    <row r="210" spans="6:14" x14ac:dyDescent="0.2">
      <c r="F210" t="s">
        <v>1394</v>
      </c>
      <c r="G210" t="s">
        <v>1395</v>
      </c>
      <c r="H210" t="s">
        <v>1396</v>
      </c>
      <c r="J210" t="s">
        <v>506</v>
      </c>
      <c r="K210" t="s">
        <v>1279</v>
      </c>
      <c r="L210" t="s">
        <v>1029</v>
      </c>
      <c r="M210" t="s">
        <v>1321</v>
      </c>
      <c r="N210" t="s">
        <v>1854</v>
      </c>
    </row>
    <row r="211" spans="6:14" x14ac:dyDescent="0.2">
      <c r="F211" t="s">
        <v>1397</v>
      </c>
      <c r="G211" t="s">
        <v>1398</v>
      </c>
      <c r="J211" t="s">
        <v>506</v>
      </c>
      <c r="K211" t="s">
        <v>1279</v>
      </c>
      <c r="L211" t="s">
        <v>1029</v>
      </c>
      <c r="M211" t="s">
        <v>1321</v>
      </c>
      <c r="N211" t="s">
        <v>1854</v>
      </c>
    </row>
    <row r="212" spans="6:14" x14ac:dyDescent="0.2">
      <c r="F212" t="s">
        <v>1399</v>
      </c>
      <c r="G212" t="s">
        <v>1400</v>
      </c>
      <c r="J212" t="s">
        <v>506</v>
      </c>
      <c r="K212" t="s">
        <v>1279</v>
      </c>
      <c r="L212" t="s">
        <v>1029</v>
      </c>
      <c r="M212" t="s">
        <v>1321</v>
      </c>
      <c r="N212" t="s">
        <v>1854</v>
      </c>
    </row>
    <row r="213" spans="6:14" x14ac:dyDescent="0.2">
      <c r="F213" t="s">
        <v>1401</v>
      </c>
      <c r="G213" t="s">
        <v>1402</v>
      </c>
      <c r="J213" t="s">
        <v>506</v>
      </c>
      <c r="K213" t="s">
        <v>1279</v>
      </c>
      <c r="L213" t="s">
        <v>1029</v>
      </c>
      <c r="M213" t="s">
        <v>1321</v>
      </c>
      <c r="N213" t="s">
        <v>1854</v>
      </c>
    </row>
    <row r="214" spans="6:14" x14ac:dyDescent="0.2">
      <c r="F214" t="s">
        <v>1403</v>
      </c>
      <c r="G214" t="s">
        <v>1404</v>
      </c>
      <c r="J214" t="s">
        <v>506</v>
      </c>
      <c r="K214" t="s">
        <v>1279</v>
      </c>
      <c r="L214" t="s">
        <v>1029</v>
      </c>
      <c r="M214" t="s">
        <v>1321</v>
      </c>
      <c r="N214" t="s">
        <v>1854</v>
      </c>
    </row>
    <row r="215" spans="6:14" x14ac:dyDescent="0.2">
      <c r="F215" t="s">
        <v>1405</v>
      </c>
      <c r="G215" t="s">
        <v>1406</v>
      </c>
      <c r="J215" t="s">
        <v>506</v>
      </c>
      <c r="K215" t="s">
        <v>1279</v>
      </c>
      <c r="L215" t="s">
        <v>1029</v>
      </c>
      <c r="M215" t="s">
        <v>1321</v>
      </c>
      <c r="N215" t="s">
        <v>1854</v>
      </c>
    </row>
    <row r="216" spans="6:14" x14ac:dyDescent="0.2">
      <c r="F216" t="s">
        <v>1407</v>
      </c>
      <c r="G216" t="s">
        <v>1408</v>
      </c>
      <c r="H216" t="s">
        <v>1409</v>
      </c>
      <c r="J216" t="s">
        <v>506</v>
      </c>
      <c r="K216" t="s">
        <v>1279</v>
      </c>
      <c r="L216" t="s">
        <v>1029</v>
      </c>
      <c r="M216" t="s">
        <v>1321</v>
      </c>
      <c r="N216" t="s">
        <v>1854</v>
      </c>
    </row>
    <row r="217" spans="6:14" x14ac:dyDescent="0.2">
      <c r="F217" t="s">
        <v>1410</v>
      </c>
      <c r="G217" t="s">
        <v>1411</v>
      </c>
      <c r="J217" t="s">
        <v>506</v>
      </c>
      <c r="K217" t="s">
        <v>1279</v>
      </c>
      <c r="L217" t="s">
        <v>1029</v>
      </c>
      <c r="M217" t="s">
        <v>1321</v>
      </c>
      <c r="N217" t="s">
        <v>1854</v>
      </c>
    </row>
    <row r="218" spans="6:14" x14ac:dyDescent="0.2">
      <c r="F218" t="s">
        <v>1412</v>
      </c>
      <c r="G218" t="s">
        <v>1413</v>
      </c>
      <c r="J218" t="s">
        <v>506</v>
      </c>
      <c r="K218" t="s">
        <v>1279</v>
      </c>
      <c r="L218" t="s">
        <v>1029</v>
      </c>
      <c r="M218" t="s">
        <v>1321</v>
      </c>
      <c r="N218" t="s">
        <v>1854</v>
      </c>
    </row>
    <row r="219" spans="6:14" x14ac:dyDescent="0.2">
      <c r="F219" t="s">
        <v>1414</v>
      </c>
      <c r="G219" t="s">
        <v>1415</v>
      </c>
      <c r="J219" t="s">
        <v>506</v>
      </c>
      <c r="K219" t="s">
        <v>1279</v>
      </c>
      <c r="L219" t="s">
        <v>1029</v>
      </c>
      <c r="M219" t="s">
        <v>1321</v>
      </c>
      <c r="N219" t="s">
        <v>1854</v>
      </c>
    </row>
    <row r="220" spans="6:14" x14ac:dyDescent="0.2">
      <c r="F220" t="s">
        <v>1416</v>
      </c>
      <c r="G220" t="s">
        <v>1417</v>
      </c>
      <c r="H220" t="s">
        <v>1418</v>
      </c>
      <c r="J220" t="s">
        <v>506</v>
      </c>
      <c r="K220" t="s">
        <v>1279</v>
      </c>
      <c r="L220" t="s">
        <v>1029</v>
      </c>
      <c r="M220" t="s">
        <v>1321</v>
      </c>
      <c r="N220" t="s">
        <v>1854</v>
      </c>
    </row>
    <row r="221" spans="6:14" x14ac:dyDescent="0.2">
      <c r="F221" t="s">
        <v>1419</v>
      </c>
      <c r="G221" t="s">
        <v>1420</v>
      </c>
      <c r="J221" t="s">
        <v>506</v>
      </c>
      <c r="K221" t="s">
        <v>1279</v>
      </c>
      <c r="L221" t="s">
        <v>1029</v>
      </c>
      <c r="M221" t="s">
        <v>1321</v>
      </c>
      <c r="N221" t="s">
        <v>1854</v>
      </c>
    </row>
    <row r="222" spans="6:14" x14ac:dyDescent="0.2">
      <c r="F222" t="s">
        <v>1421</v>
      </c>
      <c r="G222" t="s">
        <v>1422</v>
      </c>
      <c r="J222" t="s">
        <v>506</v>
      </c>
      <c r="K222" t="s">
        <v>1279</v>
      </c>
      <c r="L222" t="s">
        <v>1029</v>
      </c>
      <c r="M222" t="s">
        <v>1257</v>
      </c>
      <c r="N222" t="s">
        <v>1854</v>
      </c>
    </row>
    <row r="223" spans="6:14" x14ac:dyDescent="0.2">
      <c r="F223" t="s">
        <v>1423</v>
      </c>
      <c r="G223" t="s">
        <v>1424</v>
      </c>
      <c r="J223" t="s">
        <v>506</v>
      </c>
      <c r="K223" t="s">
        <v>1279</v>
      </c>
      <c r="L223" t="s">
        <v>1029</v>
      </c>
      <c r="M223" t="s">
        <v>1257</v>
      </c>
      <c r="N223" t="s">
        <v>1854</v>
      </c>
    </row>
    <row r="224" spans="6:14" x14ac:dyDescent="0.2">
      <c r="F224" t="s">
        <v>1425</v>
      </c>
      <c r="G224" t="s">
        <v>1426</v>
      </c>
      <c r="J224" t="s">
        <v>506</v>
      </c>
      <c r="K224" t="s">
        <v>1279</v>
      </c>
      <c r="L224" t="s">
        <v>1029</v>
      </c>
      <c r="M224" t="s">
        <v>1257</v>
      </c>
      <c r="N224" t="s">
        <v>1854</v>
      </c>
    </row>
    <row r="225" spans="6:14" x14ac:dyDescent="0.2">
      <c r="F225" t="s">
        <v>1427</v>
      </c>
      <c r="G225" t="s">
        <v>1428</v>
      </c>
      <c r="J225" t="s">
        <v>506</v>
      </c>
      <c r="K225" t="s">
        <v>1279</v>
      </c>
      <c r="L225" t="s">
        <v>1029</v>
      </c>
      <c r="M225" t="s">
        <v>1257</v>
      </c>
      <c r="N225" t="s">
        <v>1854</v>
      </c>
    </row>
    <row r="226" spans="6:14" x14ac:dyDescent="0.2">
      <c r="F226" t="s">
        <v>1429</v>
      </c>
      <c r="G226" t="s">
        <v>1430</v>
      </c>
      <c r="J226" t="s">
        <v>506</v>
      </c>
      <c r="K226" t="s">
        <v>1279</v>
      </c>
      <c r="L226" t="s">
        <v>1029</v>
      </c>
      <c r="M226" t="s">
        <v>1257</v>
      </c>
      <c r="N226" t="s">
        <v>1854</v>
      </c>
    </row>
    <row r="227" spans="6:14" x14ac:dyDescent="0.2">
      <c r="F227" t="s">
        <v>1431</v>
      </c>
      <c r="G227" t="s">
        <v>1432</v>
      </c>
      <c r="J227" t="s">
        <v>506</v>
      </c>
      <c r="K227" t="s">
        <v>1279</v>
      </c>
      <c r="L227" t="s">
        <v>1029</v>
      </c>
      <c r="M227" t="s">
        <v>1257</v>
      </c>
      <c r="N227" t="s">
        <v>1854</v>
      </c>
    </row>
    <row r="228" spans="6:14" x14ac:dyDescent="0.2">
      <c r="F228" t="s">
        <v>1433</v>
      </c>
      <c r="G228" t="s">
        <v>1434</v>
      </c>
      <c r="J228" t="s">
        <v>506</v>
      </c>
      <c r="K228" t="s">
        <v>1279</v>
      </c>
      <c r="L228" t="s">
        <v>1029</v>
      </c>
      <c r="M228" t="s">
        <v>1257</v>
      </c>
      <c r="N228" t="s">
        <v>1854</v>
      </c>
    </row>
    <row r="229" spans="6:14" x14ac:dyDescent="0.2">
      <c r="F229" t="s">
        <v>1435</v>
      </c>
      <c r="G229" t="s">
        <v>1436</v>
      </c>
      <c r="J229" t="s">
        <v>506</v>
      </c>
      <c r="K229" t="s">
        <v>1279</v>
      </c>
      <c r="L229" t="s">
        <v>1029</v>
      </c>
      <c r="M229" t="s">
        <v>1257</v>
      </c>
      <c r="N229" t="s">
        <v>1854</v>
      </c>
    </row>
    <row r="230" spans="6:14" x14ac:dyDescent="0.2">
      <c r="F230" t="s">
        <v>1437</v>
      </c>
      <c r="G230" t="s">
        <v>1438</v>
      </c>
      <c r="J230" t="s">
        <v>506</v>
      </c>
      <c r="K230" t="s">
        <v>1279</v>
      </c>
      <c r="L230" t="s">
        <v>1029</v>
      </c>
      <c r="M230" t="s">
        <v>1257</v>
      </c>
      <c r="N230" t="s">
        <v>1854</v>
      </c>
    </row>
    <row r="231" spans="6:14" x14ac:dyDescent="0.2">
      <c r="F231" t="s">
        <v>1439</v>
      </c>
      <c r="G231" t="s">
        <v>1440</v>
      </c>
      <c r="J231" t="s">
        <v>506</v>
      </c>
      <c r="K231" t="s">
        <v>1279</v>
      </c>
      <c r="L231" t="s">
        <v>1029</v>
      </c>
      <c r="M231" t="s">
        <v>1257</v>
      </c>
      <c r="N231" t="s">
        <v>1854</v>
      </c>
    </row>
    <row r="232" spans="6:14" x14ac:dyDescent="0.2">
      <c r="F232" t="s">
        <v>1441</v>
      </c>
      <c r="G232" t="s">
        <v>1442</v>
      </c>
      <c r="J232" t="s">
        <v>506</v>
      </c>
      <c r="K232" t="s">
        <v>1279</v>
      </c>
      <c r="L232" t="s">
        <v>1029</v>
      </c>
      <c r="M232" t="s">
        <v>1257</v>
      </c>
      <c r="N232" t="s">
        <v>1854</v>
      </c>
    </row>
    <row r="233" spans="6:14" x14ac:dyDescent="0.2">
      <c r="F233" t="s">
        <v>1443</v>
      </c>
      <c r="G233" t="s">
        <v>1444</v>
      </c>
      <c r="J233" t="s">
        <v>506</v>
      </c>
      <c r="K233" t="s">
        <v>1279</v>
      </c>
      <c r="L233" t="s">
        <v>1029</v>
      </c>
      <c r="M233" t="s">
        <v>1257</v>
      </c>
      <c r="N233" t="s">
        <v>1854</v>
      </c>
    </row>
    <row r="234" spans="6:14" x14ac:dyDescent="0.2">
      <c r="F234" t="s">
        <v>1445</v>
      </c>
      <c r="G234" t="s">
        <v>1446</v>
      </c>
      <c r="J234" t="s">
        <v>506</v>
      </c>
      <c r="K234" t="s">
        <v>1279</v>
      </c>
      <c r="L234" t="s">
        <v>1029</v>
      </c>
      <c r="M234" t="s">
        <v>1257</v>
      </c>
      <c r="N234" t="s">
        <v>1854</v>
      </c>
    </row>
    <row r="235" spans="6:14" x14ac:dyDescent="0.2">
      <c r="F235" t="s">
        <v>1447</v>
      </c>
      <c r="G235" t="s">
        <v>1448</v>
      </c>
      <c r="J235" t="s">
        <v>506</v>
      </c>
      <c r="K235" t="s">
        <v>1279</v>
      </c>
      <c r="L235" t="s">
        <v>1029</v>
      </c>
      <c r="M235" t="s">
        <v>1257</v>
      </c>
      <c r="N235" t="s">
        <v>1854</v>
      </c>
    </row>
    <row r="236" spans="6:14" x14ac:dyDescent="0.2">
      <c r="F236" t="s">
        <v>1449</v>
      </c>
      <c r="G236" t="s">
        <v>1450</v>
      </c>
      <c r="J236" t="s">
        <v>506</v>
      </c>
      <c r="K236" t="s">
        <v>1279</v>
      </c>
      <c r="L236" t="s">
        <v>1029</v>
      </c>
      <c r="M236" t="s">
        <v>1257</v>
      </c>
      <c r="N236" t="s">
        <v>1854</v>
      </c>
    </row>
    <row r="237" spans="6:14" x14ac:dyDescent="0.2">
      <c r="F237" t="s">
        <v>1451</v>
      </c>
      <c r="G237" t="s">
        <v>1452</v>
      </c>
      <c r="J237" t="s">
        <v>506</v>
      </c>
      <c r="K237" t="s">
        <v>1279</v>
      </c>
      <c r="L237" t="s">
        <v>1029</v>
      </c>
      <c r="M237" t="s">
        <v>1257</v>
      </c>
      <c r="N237" t="s">
        <v>1854</v>
      </c>
    </row>
    <row r="238" spans="6:14" x14ac:dyDescent="0.2">
      <c r="F238" t="s">
        <v>1453</v>
      </c>
      <c r="G238" t="s">
        <v>1454</v>
      </c>
      <c r="J238" t="s">
        <v>506</v>
      </c>
      <c r="K238" t="s">
        <v>1279</v>
      </c>
      <c r="L238" t="s">
        <v>1029</v>
      </c>
      <c r="M238" t="s">
        <v>1257</v>
      </c>
      <c r="N238" t="s">
        <v>1854</v>
      </c>
    </row>
    <row r="239" spans="6:14" x14ac:dyDescent="0.2">
      <c r="F239" t="s">
        <v>1455</v>
      </c>
      <c r="G239" t="s">
        <v>1456</v>
      </c>
      <c r="J239" t="s">
        <v>506</v>
      </c>
      <c r="K239" t="s">
        <v>1279</v>
      </c>
      <c r="L239" t="s">
        <v>1029</v>
      </c>
      <c r="M239" t="s">
        <v>1257</v>
      </c>
      <c r="N239" t="s">
        <v>1854</v>
      </c>
    </row>
    <row r="240" spans="6:14" x14ac:dyDescent="0.2">
      <c r="F240" t="s">
        <v>1457</v>
      </c>
      <c r="G240" t="s">
        <v>1458</v>
      </c>
      <c r="J240" t="s">
        <v>506</v>
      </c>
      <c r="K240" t="s">
        <v>1279</v>
      </c>
      <c r="L240" t="s">
        <v>1029</v>
      </c>
      <c r="M240" t="s">
        <v>1257</v>
      </c>
      <c r="N240" t="s">
        <v>1854</v>
      </c>
    </row>
    <row r="241" spans="6:14" x14ac:dyDescent="0.2">
      <c r="F241" t="s">
        <v>1459</v>
      </c>
      <c r="G241" t="s">
        <v>1460</v>
      </c>
      <c r="J241" t="s">
        <v>506</v>
      </c>
      <c r="K241" t="s">
        <v>1279</v>
      </c>
      <c r="L241" t="s">
        <v>1029</v>
      </c>
      <c r="M241" t="s">
        <v>1257</v>
      </c>
      <c r="N241" t="s">
        <v>1854</v>
      </c>
    </row>
    <row r="242" spans="6:14" x14ac:dyDescent="0.2">
      <c r="F242" t="s">
        <v>1461</v>
      </c>
      <c r="G242" t="s">
        <v>1462</v>
      </c>
      <c r="J242" t="s">
        <v>506</v>
      </c>
      <c r="K242" t="s">
        <v>1279</v>
      </c>
      <c r="L242" t="s">
        <v>1029</v>
      </c>
      <c r="M242" t="s">
        <v>1257</v>
      </c>
      <c r="N242" t="s">
        <v>1854</v>
      </c>
    </row>
    <row r="243" spans="6:14" x14ac:dyDescent="0.2">
      <c r="F243" t="s">
        <v>1463</v>
      </c>
      <c r="G243" t="s">
        <v>1464</v>
      </c>
      <c r="J243" t="s">
        <v>506</v>
      </c>
      <c r="K243" t="s">
        <v>1279</v>
      </c>
      <c r="L243" t="s">
        <v>1029</v>
      </c>
      <c r="M243" t="s">
        <v>1257</v>
      </c>
      <c r="N243" t="s">
        <v>1854</v>
      </c>
    </row>
    <row r="244" spans="6:14" x14ac:dyDescent="0.2">
      <c r="F244" t="s">
        <v>1465</v>
      </c>
      <c r="G244" t="s">
        <v>1466</v>
      </c>
      <c r="J244" t="s">
        <v>506</v>
      </c>
      <c r="K244" t="s">
        <v>1279</v>
      </c>
      <c r="L244" t="s">
        <v>1029</v>
      </c>
      <c r="M244" t="s">
        <v>1257</v>
      </c>
      <c r="N244" t="s">
        <v>1854</v>
      </c>
    </row>
    <row r="245" spans="6:14" x14ac:dyDescent="0.2">
      <c r="F245" t="s">
        <v>1467</v>
      </c>
      <c r="G245" t="s">
        <v>1468</v>
      </c>
      <c r="J245" t="s">
        <v>506</v>
      </c>
      <c r="K245" t="s">
        <v>1279</v>
      </c>
      <c r="L245" t="s">
        <v>1029</v>
      </c>
      <c r="M245" t="s">
        <v>1257</v>
      </c>
      <c r="N245" t="s">
        <v>1854</v>
      </c>
    </row>
    <row r="246" spans="6:14" x14ac:dyDescent="0.2">
      <c r="F246" t="s">
        <v>1469</v>
      </c>
      <c r="G246" t="s">
        <v>1470</v>
      </c>
      <c r="J246" t="s">
        <v>506</v>
      </c>
      <c r="K246" t="s">
        <v>1279</v>
      </c>
      <c r="L246" t="s">
        <v>1029</v>
      </c>
      <c r="M246" t="s">
        <v>1257</v>
      </c>
      <c r="N246" t="s">
        <v>1854</v>
      </c>
    </row>
    <row r="247" spans="6:14" x14ac:dyDescent="0.2">
      <c r="F247" t="s">
        <v>1471</v>
      </c>
      <c r="G247" t="s">
        <v>1472</v>
      </c>
      <c r="J247" t="s">
        <v>506</v>
      </c>
      <c r="K247" t="s">
        <v>1279</v>
      </c>
      <c r="L247" t="s">
        <v>1029</v>
      </c>
      <c r="M247" t="s">
        <v>1257</v>
      </c>
      <c r="N247" t="s">
        <v>1854</v>
      </c>
    </row>
    <row r="248" spans="6:14" x14ac:dyDescent="0.2">
      <c r="F248" t="s">
        <v>1473</v>
      </c>
      <c r="G248" t="s">
        <v>1474</v>
      </c>
      <c r="J248" t="s">
        <v>506</v>
      </c>
      <c r="K248" t="s">
        <v>1279</v>
      </c>
      <c r="L248" t="s">
        <v>1029</v>
      </c>
      <c r="M248" t="s">
        <v>1257</v>
      </c>
      <c r="N248" t="s">
        <v>1854</v>
      </c>
    </row>
    <row r="249" spans="6:14" x14ac:dyDescent="0.2">
      <c r="F249" t="s">
        <v>1475</v>
      </c>
      <c r="G249" t="s">
        <v>1476</v>
      </c>
      <c r="J249" t="s">
        <v>506</v>
      </c>
      <c r="K249" t="s">
        <v>1279</v>
      </c>
      <c r="L249" t="s">
        <v>1029</v>
      </c>
      <c r="M249" t="s">
        <v>1257</v>
      </c>
      <c r="N249" t="s">
        <v>1854</v>
      </c>
    </row>
    <row r="250" spans="6:14" x14ac:dyDescent="0.2">
      <c r="F250" t="s">
        <v>1477</v>
      </c>
      <c r="G250" t="s">
        <v>1478</v>
      </c>
      <c r="J250" t="s">
        <v>506</v>
      </c>
      <c r="K250" t="s">
        <v>1279</v>
      </c>
      <c r="L250" t="s">
        <v>1029</v>
      </c>
      <c r="M250" t="s">
        <v>1257</v>
      </c>
      <c r="N250" t="s">
        <v>1854</v>
      </c>
    </row>
    <row r="251" spans="6:14" x14ac:dyDescent="0.2">
      <c r="F251" t="s">
        <v>1479</v>
      </c>
      <c r="G251" t="s">
        <v>1480</v>
      </c>
      <c r="J251" t="s">
        <v>506</v>
      </c>
      <c r="K251" t="s">
        <v>1279</v>
      </c>
      <c r="L251" t="s">
        <v>1029</v>
      </c>
      <c r="M251" t="s">
        <v>1257</v>
      </c>
      <c r="N251" t="s">
        <v>1854</v>
      </c>
    </row>
    <row r="252" spans="6:14" x14ac:dyDescent="0.2">
      <c r="F252" t="s">
        <v>1481</v>
      </c>
      <c r="G252" t="s">
        <v>1482</v>
      </c>
      <c r="J252" t="s">
        <v>506</v>
      </c>
      <c r="K252" t="s">
        <v>1279</v>
      </c>
      <c r="L252" t="s">
        <v>1029</v>
      </c>
      <c r="M252" t="s">
        <v>1257</v>
      </c>
      <c r="N252" t="s">
        <v>1854</v>
      </c>
    </row>
    <row r="253" spans="6:14" x14ac:dyDescent="0.2">
      <c r="F253" t="s">
        <v>1483</v>
      </c>
      <c r="G253" t="s">
        <v>1484</v>
      </c>
      <c r="J253" t="s">
        <v>506</v>
      </c>
      <c r="K253" t="s">
        <v>1279</v>
      </c>
      <c r="L253" t="s">
        <v>1029</v>
      </c>
      <c r="M253" t="s">
        <v>1257</v>
      </c>
      <c r="N253" t="s">
        <v>1854</v>
      </c>
    </row>
    <row r="254" spans="6:14" x14ac:dyDescent="0.2">
      <c r="F254" t="s">
        <v>1485</v>
      </c>
      <c r="G254" t="s">
        <v>1486</v>
      </c>
      <c r="J254" t="s">
        <v>506</v>
      </c>
      <c r="K254" t="s">
        <v>1279</v>
      </c>
      <c r="L254" t="s">
        <v>1029</v>
      </c>
      <c r="M254" t="s">
        <v>1257</v>
      </c>
      <c r="N254" t="s">
        <v>1854</v>
      </c>
    </row>
    <row r="255" spans="6:14" x14ac:dyDescent="0.2">
      <c r="F255" t="s">
        <v>1487</v>
      </c>
      <c r="G255" t="s">
        <v>1488</v>
      </c>
      <c r="J255" t="s">
        <v>506</v>
      </c>
      <c r="K255" t="s">
        <v>1279</v>
      </c>
      <c r="L255" t="s">
        <v>1029</v>
      </c>
      <c r="M255" t="s">
        <v>1257</v>
      </c>
      <c r="N255" t="s">
        <v>1854</v>
      </c>
    </row>
    <row r="256" spans="6:14" x14ac:dyDescent="0.2">
      <c r="F256" t="s">
        <v>1489</v>
      </c>
      <c r="G256" t="s">
        <v>1490</v>
      </c>
      <c r="J256" t="s">
        <v>506</v>
      </c>
      <c r="K256" t="s">
        <v>1279</v>
      </c>
      <c r="L256" t="s">
        <v>1029</v>
      </c>
      <c r="M256" t="s">
        <v>1257</v>
      </c>
      <c r="N256" t="s">
        <v>1854</v>
      </c>
    </row>
    <row r="257" spans="6:14" x14ac:dyDescent="0.2">
      <c r="F257" t="s">
        <v>1491</v>
      </c>
      <c r="G257" t="s">
        <v>1492</v>
      </c>
      <c r="J257" t="s">
        <v>506</v>
      </c>
      <c r="K257" t="s">
        <v>1279</v>
      </c>
      <c r="L257" t="s">
        <v>1029</v>
      </c>
      <c r="M257" t="s">
        <v>1257</v>
      </c>
      <c r="N257" t="s">
        <v>1854</v>
      </c>
    </row>
    <row r="258" spans="6:14" x14ac:dyDescent="0.2">
      <c r="F258" t="s">
        <v>1493</v>
      </c>
      <c r="G258" t="s">
        <v>1494</v>
      </c>
      <c r="J258" t="s">
        <v>506</v>
      </c>
      <c r="K258" t="s">
        <v>1279</v>
      </c>
      <c r="L258" t="s">
        <v>1029</v>
      </c>
      <c r="M258" t="s">
        <v>1257</v>
      </c>
      <c r="N258" t="s">
        <v>1854</v>
      </c>
    </row>
    <row r="259" spans="6:14" x14ac:dyDescent="0.2">
      <c r="F259" t="s">
        <v>1495</v>
      </c>
      <c r="G259" t="s">
        <v>1496</v>
      </c>
      <c r="J259" t="s">
        <v>506</v>
      </c>
      <c r="K259" t="s">
        <v>1279</v>
      </c>
      <c r="L259" t="s">
        <v>1029</v>
      </c>
      <c r="M259" t="s">
        <v>1257</v>
      </c>
      <c r="N259" t="s">
        <v>1854</v>
      </c>
    </row>
    <row r="260" spans="6:14" x14ac:dyDescent="0.2">
      <c r="F260" t="s">
        <v>1497</v>
      </c>
      <c r="G260" t="s">
        <v>1498</v>
      </c>
      <c r="J260" t="s">
        <v>506</v>
      </c>
      <c r="K260" t="s">
        <v>1279</v>
      </c>
      <c r="L260" t="s">
        <v>1029</v>
      </c>
      <c r="M260" t="s">
        <v>1257</v>
      </c>
      <c r="N260" t="s">
        <v>1854</v>
      </c>
    </row>
    <row r="261" spans="6:14" x14ac:dyDescent="0.2">
      <c r="F261" t="s">
        <v>1499</v>
      </c>
      <c r="G261" t="s">
        <v>1500</v>
      </c>
      <c r="J261" t="s">
        <v>506</v>
      </c>
      <c r="K261" t="s">
        <v>1279</v>
      </c>
      <c r="L261" t="s">
        <v>1029</v>
      </c>
      <c r="M261" t="s">
        <v>1257</v>
      </c>
      <c r="N261" t="s">
        <v>1854</v>
      </c>
    </row>
    <row r="262" spans="6:14" x14ac:dyDescent="0.2">
      <c r="F262" t="s">
        <v>1501</v>
      </c>
      <c r="G262" t="s">
        <v>1402</v>
      </c>
      <c r="J262" t="s">
        <v>506</v>
      </c>
      <c r="K262" t="s">
        <v>1279</v>
      </c>
      <c r="L262" t="s">
        <v>1029</v>
      </c>
      <c r="M262" t="s">
        <v>1257</v>
      </c>
      <c r="N262" t="s">
        <v>1854</v>
      </c>
    </row>
    <row r="263" spans="6:14" x14ac:dyDescent="0.2">
      <c r="F263" t="s">
        <v>1502</v>
      </c>
      <c r="G263" t="s">
        <v>1503</v>
      </c>
      <c r="J263" t="s">
        <v>506</v>
      </c>
      <c r="K263" t="s">
        <v>1279</v>
      </c>
      <c r="L263" t="s">
        <v>1029</v>
      </c>
      <c r="M263" t="s">
        <v>1257</v>
      </c>
      <c r="N263" t="s">
        <v>1854</v>
      </c>
    </row>
    <row r="264" spans="6:14" x14ac:dyDescent="0.2">
      <c r="F264" t="s">
        <v>1504</v>
      </c>
      <c r="G264" t="s">
        <v>1505</v>
      </c>
      <c r="J264" t="s">
        <v>506</v>
      </c>
      <c r="K264" t="s">
        <v>1279</v>
      </c>
      <c r="L264" t="s">
        <v>1029</v>
      </c>
      <c r="M264" t="s">
        <v>1257</v>
      </c>
      <c r="N264" t="s">
        <v>1854</v>
      </c>
    </row>
    <row r="265" spans="6:14" x14ac:dyDescent="0.2">
      <c r="F265" t="s">
        <v>1506</v>
      </c>
      <c r="G265" t="s">
        <v>1507</v>
      </c>
      <c r="J265" t="s">
        <v>506</v>
      </c>
      <c r="K265" t="s">
        <v>1279</v>
      </c>
      <c r="L265" t="s">
        <v>1029</v>
      </c>
      <c r="M265" t="s">
        <v>1257</v>
      </c>
      <c r="N265" t="s">
        <v>1854</v>
      </c>
    </row>
    <row r="266" spans="6:14" x14ac:dyDescent="0.2">
      <c r="F266" t="s">
        <v>1508</v>
      </c>
      <c r="G266" t="s">
        <v>1509</v>
      </c>
      <c r="J266" t="s">
        <v>506</v>
      </c>
      <c r="K266" t="s">
        <v>1279</v>
      </c>
      <c r="L266" t="s">
        <v>1029</v>
      </c>
      <c r="M266" t="s">
        <v>1257</v>
      </c>
      <c r="N266" t="s">
        <v>1854</v>
      </c>
    </row>
    <row r="267" spans="6:14" x14ac:dyDescent="0.2">
      <c r="F267" t="s">
        <v>1510</v>
      </c>
      <c r="G267" t="s">
        <v>1511</v>
      </c>
      <c r="J267" t="s">
        <v>506</v>
      </c>
      <c r="K267" t="s">
        <v>1279</v>
      </c>
      <c r="L267" t="s">
        <v>1029</v>
      </c>
      <c r="M267" t="s">
        <v>1257</v>
      </c>
      <c r="N267" t="s">
        <v>1854</v>
      </c>
    </row>
    <row r="268" spans="6:14" x14ac:dyDescent="0.2">
      <c r="F268" t="s">
        <v>1512</v>
      </c>
      <c r="G268" t="s">
        <v>1513</v>
      </c>
      <c r="J268" t="s">
        <v>506</v>
      </c>
      <c r="K268" t="s">
        <v>1279</v>
      </c>
      <c r="L268" t="s">
        <v>1029</v>
      </c>
      <c r="M268" t="s">
        <v>1257</v>
      </c>
      <c r="N268" t="s">
        <v>1854</v>
      </c>
    </row>
    <row r="269" spans="6:14" x14ac:dyDescent="0.2">
      <c r="F269" t="s">
        <v>1514</v>
      </c>
      <c r="G269" t="s">
        <v>1515</v>
      </c>
      <c r="J269" t="s">
        <v>506</v>
      </c>
      <c r="K269" t="s">
        <v>1279</v>
      </c>
      <c r="L269" t="s">
        <v>1029</v>
      </c>
      <c r="M269" t="s">
        <v>1257</v>
      </c>
      <c r="N269" t="s">
        <v>1854</v>
      </c>
    </row>
    <row r="270" spans="6:14" x14ac:dyDescent="0.2">
      <c r="F270" t="s">
        <v>1516</v>
      </c>
      <c r="G270" t="s">
        <v>1517</v>
      </c>
      <c r="J270" t="s">
        <v>506</v>
      </c>
      <c r="K270" t="s">
        <v>1279</v>
      </c>
      <c r="L270" t="s">
        <v>1029</v>
      </c>
      <c r="M270" t="s">
        <v>1257</v>
      </c>
      <c r="N270" t="s">
        <v>1854</v>
      </c>
    </row>
    <row r="271" spans="6:14" x14ac:dyDescent="0.2">
      <c r="F271" t="s">
        <v>1518</v>
      </c>
      <c r="G271" t="s">
        <v>1519</v>
      </c>
      <c r="J271" t="s">
        <v>506</v>
      </c>
      <c r="K271" t="s">
        <v>1279</v>
      </c>
      <c r="L271" t="s">
        <v>1029</v>
      </c>
      <c r="M271" t="s">
        <v>1257</v>
      </c>
      <c r="N271" t="s">
        <v>1854</v>
      </c>
    </row>
    <row r="272" spans="6:14" x14ac:dyDescent="0.2">
      <c r="F272" t="s">
        <v>1520</v>
      </c>
      <c r="G272" t="s">
        <v>1521</v>
      </c>
      <c r="J272" t="s">
        <v>506</v>
      </c>
      <c r="K272" t="s">
        <v>1279</v>
      </c>
      <c r="L272" t="s">
        <v>1029</v>
      </c>
      <c r="M272" t="s">
        <v>1257</v>
      </c>
      <c r="N272" t="s">
        <v>1854</v>
      </c>
    </row>
    <row r="273" spans="6:17" x14ac:dyDescent="0.2">
      <c r="F273" t="s">
        <v>1522</v>
      </c>
      <c r="G273" t="s">
        <v>1523</v>
      </c>
      <c r="J273" t="s">
        <v>506</v>
      </c>
      <c r="K273" t="s">
        <v>1279</v>
      </c>
      <c r="L273" t="s">
        <v>1029</v>
      </c>
      <c r="M273" t="s">
        <v>1257</v>
      </c>
      <c r="N273" t="s">
        <v>1854</v>
      </c>
    </row>
    <row r="274" spans="6:17" x14ac:dyDescent="0.2">
      <c r="J274" t="s">
        <v>506</v>
      </c>
      <c r="K274" t="s">
        <v>1279</v>
      </c>
      <c r="L274" t="s">
        <v>1524</v>
      </c>
    </row>
    <row r="275" spans="6:17" x14ac:dyDescent="0.2">
      <c r="F275" t="s">
        <v>1525</v>
      </c>
      <c r="G275" t="s">
        <v>1526</v>
      </c>
      <c r="H275" t="s">
        <v>1527</v>
      </c>
      <c r="I275" t="s">
        <v>1528</v>
      </c>
      <c r="J275" t="s">
        <v>506</v>
      </c>
      <c r="K275" t="s">
        <v>1279</v>
      </c>
      <c r="L275" t="s">
        <v>1524</v>
      </c>
      <c r="N275" t="s">
        <v>1854</v>
      </c>
      <c r="O275" t="s">
        <v>1166</v>
      </c>
    </row>
    <row r="276" spans="6:17" x14ac:dyDescent="0.2">
      <c r="F276" t="s">
        <v>1529</v>
      </c>
      <c r="G276" t="s">
        <v>1530</v>
      </c>
      <c r="I276" t="s">
        <v>1531</v>
      </c>
      <c r="J276" t="s">
        <v>506</v>
      </c>
      <c r="K276" t="s">
        <v>1279</v>
      </c>
      <c r="L276" t="s">
        <v>1524</v>
      </c>
      <c r="N276" t="s">
        <v>1854</v>
      </c>
      <c r="O276" t="s">
        <v>1166</v>
      </c>
    </row>
    <row r="277" spans="6:17" x14ac:dyDescent="0.2">
      <c r="F277" t="s">
        <v>1532</v>
      </c>
      <c r="G277" t="s">
        <v>1533</v>
      </c>
      <c r="H277" t="s">
        <v>1534</v>
      </c>
      <c r="I277" t="s">
        <v>1535</v>
      </c>
      <c r="J277" t="s">
        <v>506</v>
      </c>
      <c r="K277" t="s">
        <v>1279</v>
      </c>
      <c r="L277" t="s">
        <v>1524</v>
      </c>
      <c r="N277" t="s">
        <v>1854</v>
      </c>
      <c r="O277" t="s">
        <v>1166</v>
      </c>
    </row>
    <row r="278" spans="6:17" x14ac:dyDescent="0.2">
      <c r="F278" t="s">
        <v>1536</v>
      </c>
      <c r="G278" t="s">
        <v>1537</v>
      </c>
      <c r="H278" t="s">
        <v>1538</v>
      </c>
      <c r="I278" t="s">
        <v>1539</v>
      </c>
      <c r="J278" t="s">
        <v>506</v>
      </c>
      <c r="K278" t="s">
        <v>1279</v>
      </c>
      <c r="L278" t="s">
        <v>1524</v>
      </c>
      <c r="N278" t="s">
        <v>1854</v>
      </c>
      <c r="O278" t="s">
        <v>1166</v>
      </c>
    </row>
    <row r="279" spans="6:17" x14ac:dyDescent="0.2">
      <c r="F279" t="s">
        <v>1540</v>
      </c>
      <c r="G279" t="s">
        <v>1541</v>
      </c>
      <c r="H279" t="s">
        <v>1542</v>
      </c>
      <c r="I279" t="s">
        <v>1543</v>
      </c>
      <c r="J279" t="s">
        <v>506</v>
      </c>
      <c r="K279" t="s">
        <v>1279</v>
      </c>
      <c r="L279" t="s">
        <v>1524</v>
      </c>
      <c r="N279" t="s">
        <v>1854</v>
      </c>
      <c r="O279" t="s">
        <v>1166</v>
      </c>
    </row>
    <row r="280" spans="6:17" x14ac:dyDescent="0.2">
      <c r="F280" t="s">
        <v>1550</v>
      </c>
      <c r="G280" t="s">
        <v>1551</v>
      </c>
      <c r="H280" t="s">
        <v>29</v>
      </c>
      <c r="J280" t="s">
        <v>506</v>
      </c>
      <c r="K280" t="s">
        <v>1279</v>
      </c>
      <c r="L280" t="s">
        <v>1524</v>
      </c>
      <c r="M280" t="s">
        <v>1257</v>
      </c>
      <c r="N280" t="s">
        <v>1854</v>
      </c>
    </row>
    <row r="281" spans="6:17" x14ac:dyDescent="0.2">
      <c r="F281" t="s">
        <v>1552</v>
      </c>
      <c r="G281" t="s">
        <v>1553</v>
      </c>
      <c r="H281" t="s">
        <v>29</v>
      </c>
      <c r="J281" t="s">
        <v>506</v>
      </c>
      <c r="K281" t="s">
        <v>1279</v>
      </c>
      <c r="L281" t="s">
        <v>1524</v>
      </c>
      <c r="M281" t="s">
        <v>1257</v>
      </c>
      <c r="N281" t="s">
        <v>1854</v>
      </c>
    </row>
    <row r="282" spans="6:17" x14ac:dyDescent="0.2">
      <c r="F282" t="s">
        <v>1544</v>
      </c>
      <c r="G282" t="s">
        <v>1545</v>
      </c>
      <c r="H282" t="s">
        <v>29</v>
      </c>
      <c r="J282" t="s">
        <v>506</v>
      </c>
      <c r="K282" t="s">
        <v>1279</v>
      </c>
      <c r="L282" t="s">
        <v>1524</v>
      </c>
      <c r="M282" t="s">
        <v>1546</v>
      </c>
      <c r="N282" t="s">
        <v>1854</v>
      </c>
    </row>
    <row r="283" spans="6:17" x14ac:dyDescent="0.2">
      <c r="F283" t="s">
        <v>1547</v>
      </c>
      <c r="G283" t="s">
        <v>1548</v>
      </c>
      <c r="H283" t="s">
        <v>29</v>
      </c>
      <c r="J283" t="s">
        <v>506</v>
      </c>
      <c r="K283" t="s">
        <v>1279</v>
      </c>
      <c r="L283" t="s">
        <v>1524</v>
      </c>
      <c r="M283" t="s">
        <v>1549</v>
      </c>
      <c r="N283" t="s">
        <v>1854</v>
      </c>
    </row>
    <row r="284" spans="6:17" x14ac:dyDescent="0.2">
      <c r="F284" t="s">
        <v>1620</v>
      </c>
      <c r="G284" t="s">
        <v>1621</v>
      </c>
      <c r="J284" t="s">
        <v>506</v>
      </c>
      <c r="K284" t="s">
        <v>1279</v>
      </c>
      <c r="L284" t="s">
        <v>1622</v>
      </c>
      <c r="N284" t="s">
        <v>1854</v>
      </c>
    </row>
    <row r="285" spans="6:17" x14ac:dyDescent="0.2">
      <c r="F285" t="s">
        <v>1623</v>
      </c>
      <c r="G285" t="s">
        <v>1624</v>
      </c>
      <c r="H285" t="s">
        <v>1625</v>
      </c>
      <c r="I285" t="s">
        <v>1626</v>
      </c>
      <c r="J285" t="s">
        <v>506</v>
      </c>
      <c r="K285" t="s">
        <v>1279</v>
      </c>
      <c r="L285" t="s">
        <v>1622</v>
      </c>
      <c r="M285" t="s">
        <v>1627</v>
      </c>
      <c r="N285" t="s">
        <v>1854</v>
      </c>
      <c r="O285" t="s">
        <v>1166</v>
      </c>
      <c r="Q285">
        <v>256</v>
      </c>
    </row>
    <row r="286" spans="6:17" x14ac:dyDescent="0.2">
      <c r="F286" t="s">
        <v>1628</v>
      </c>
      <c r="G286" t="s">
        <v>1629</v>
      </c>
      <c r="H286" t="s">
        <v>1630</v>
      </c>
      <c r="I286" t="s">
        <v>1631</v>
      </c>
      <c r="J286" t="s">
        <v>506</v>
      </c>
      <c r="K286" t="s">
        <v>1279</v>
      </c>
      <c r="L286" t="s">
        <v>1622</v>
      </c>
      <c r="M286" t="s">
        <v>1166</v>
      </c>
      <c r="N286" t="s">
        <v>1854</v>
      </c>
      <c r="O286" t="s">
        <v>1166</v>
      </c>
      <c r="Q286">
        <v>32</v>
      </c>
    </row>
    <row r="287" spans="6:17" x14ac:dyDescent="0.2">
      <c r="F287" t="s">
        <v>1632</v>
      </c>
      <c r="G287" t="s">
        <v>1633</v>
      </c>
      <c r="H287" t="s">
        <v>1634</v>
      </c>
      <c r="I287" t="s">
        <v>1635</v>
      </c>
      <c r="J287" t="s">
        <v>506</v>
      </c>
      <c r="K287" t="s">
        <v>1279</v>
      </c>
      <c r="L287" t="s">
        <v>1622</v>
      </c>
      <c r="M287" t="s">
        <v>1636</v>
      </c>
      <c r="N287" t="s">
        <v>1854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网址</vt:lpstr>
      <vt:lpstr>暂时不录</vt:lpstr>
      <vt:lpstr>版层分类</vt:lpstr>
      <vt:lpstr>首次要关键词</vt:lpstr>
      <vt:lpstr>重点关键词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2021-04-04T18:40:50Z</dcterms:modified>
</cp:coreProperties>
</file>