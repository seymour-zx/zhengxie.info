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AEE4D55C-B1A7-4686-B8B1-E4757F377CCF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Sheet1" sheetId="5" state="hidden" r:id="rId2"/>
    <sheet name="版层分类" sheetId="2" r:id="rId3"/>
    <sheet name="首次要关键词" sheetId="3" r:id="rId4"/>
    <sheet name="重点关键词" sheetId="4" r:id="rId5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A3" i="1" s="1"/>
  <c r="C3" i="1"/>
  <c r="D3" i="1"/>
  <c r="E3" i="1"/>
  <c r="B4" i="1"/>
  <c r="C4" i="1"/>
  <c r="D4" i="1"/>
  <c r="E4" i="1"/>
  <c r="B5" i="1"/>
  <c r="A5" i="1" s="1"/>
  <c r="C5" i="1"/>
  <c r="D5" i="1"/>
  <c r="E5" i="1"/>
  <c r="B6" i="1"/>
  <c r="A6" i="1" s="1"/>
  <c r="C6" i="1"/>
  <c r="D6" i="1"/>
  <c r="E6" i="1"/>
  <c r="B7" i="1"/>
  <c r="A7" i="1" s="1"/>
  <c r="C7" i="1"/>
  <c r="D7" i="1"/>
  <c r="E7" i="1"/>
  <c r="B8" i="1"/>
  <c r="A8" i="1" s="1"/>
  <c r="C8" i="1"/>
  <c r="D8" i="1"/>
  <c r="E8" i="1"/>
  <c r="B9" i="1"/>
  <c r="C9" i="1"/>
  <c r="D9" i="1"/>
  <c r="E9" i="1"/>
  <c r="B10" i="1"/>
  <c r="A10" i="1" s="1"/>
  <c r="C10" i="1"/>
  <c r="D10" i="1"/>
  <c r="E10" i="1"/>
  <c r="B11" i="1"/>
  <c r="A11" i="1" s="1"/>
  <c r="C11" i="1"/>
  <c r="D11" i="1"/>
  <c r="E11" i="1"/>
  <c r="E12" i="1" s="1"/>
  <c r="E13" i="1" s="1"/>
  <c r="E14" i="1" s="1"/>
  <c r="E15" i="1" s="1"/>
  <c r="B12" i="1"/>
  <c r="A12" i="1" s="1"/>
  <c r="C12" i="1"/>
  <c r="D12" i="1"/>
  <c r="B13" i="1"/>
  <c r="C13" i="1"/>
  <c r="D13" i="1"/>
  <c r="B14" i="1"/>
  <c r="C14" i="1"/>
  <c r="D14" i="1"/>
  <c r="B15" i="1"/>
  <c r="C15" i="1"/>
  <c r="D15" i="1"/>
  <c r="B16" i="1"/>
  <c r="A16" i="1" s="1"/>
  <c r="C16" i="1"/>
  <c r="D16" i="1"/>
  <c r="E16" i="1"/>
  <c r="A17" i="1"/>
  <c r="B17" i="1"/>
  <c r="C17" i="1"/>
  <c r="D17" i="1"/>
  <c r="E17" i="1"/>
  <c r="B18" i="1"/>
  <c r="C18" i="1"/>
  <c r="D18" i="1"/>
  <c r="E18" i="1"/>
  <c r="E19" i="1" s="1"/>
  <c r="E20" i="1" s="1"/>
  <c r="B19" i="1"/>
  <c r="C19" i="1"/>
  <c r="D19" i="1"/>
  <c r="B20" i="1"/>
  <c r="A20" i="1" s="1"/>
  <c r="C20" i="1"/>
  <c r="D20" i="1"/>
  <c r="B21" i="1"/>
  <c r="C21" i="1"/>
  <c r="D21" i="1"/>
  <c r="E21" i="1"/>
  <c r="E22" i="1" s="1"/>
  <c r="E23" i="1" s="1"/>
  <c r="E24" i="1" s="1"/>
  <c r="E25" i="1" s="1"/>
  <c r="E26" i="1" s="1"/>
  <c r="E27" i="1" s="1"/>
  <c r="E28" i="1" s="1"/>
  <c r="E29" i="1" s="1"/>
  <c r="E30" i="1" s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B40" i="1"/>
  <c r="A40" i="1" s="1"/>
  <c r="C40" i="1"/>
  <c r="D40" i="1"/>
  <c r="E40" i="1"/>
  <c r="B41" i="1"/>
  <c r="A41" i="1" s="1"/>
  <c r="C41" i="1"/>
  <c r="D41" i="1"/>
  <c r="E41" i="1"/>
  <c r="E42" i="1" s="1"/>
  <c r="B42" i="1"/>
  <c r="C42" i="1"/>
  <c r="D42" i="1"/>
  <c r="B43" i="1"/>
  <c r="C43" i="1"/>
  <c r="D43" i="1"/>
  <c r="E43" i="1"/>
  <c r="E44" i="1" s="1"/>
  <c r="B44" i="1"/>
  <c r="A44" i="1" s="1"/>
  <c r="C44" i="1"/>
  <c r="D44" i="1"/>
  <c r="B45" i="1"/>
  <c r="C45" i="1"/>
  <c r="A45" i="1" s="1"/>
  <c r="D45" i="1"/>
  <c r="E45" i="1"/>
  <c r="B46" i="1"/>
  <c r="A46" i="1" s="1"/>
  <c r="C46" i="1"/>
  <c r="D46" i="1"/>
  <c r="E46" i="1"/>
  <c r="B47" i="1"/>
  <c r="A47" i="1" s="1"/>
  <c r="C47" i="1"/>
  <c r="D47" i="1"/>
  <c r="E47" i="1"/>
  <c r="E48" i="1" s="1"/>
  <c r="E49" i="1" s="1"/>
  <c r="E50" i="1" s="1"/>
  <c r="E51" i="1" s="1"/>
  <c r="E52" i="1" s="1"/>
  <c r="E53" i="1" s="1"/>
  <c r="E54" i="1" s="1"/>
  <c r="B48" i="1"/>
  <c r="A48" i="1" s="1"/>
  <c r="C48" i="1"/>
  <c r="D48" i="1"/>
  <c r="B49" i="1"/>
  <c r="A49" i="1" s="1"/>
  <c r="C49" i="1"/>
  <c r="D49" i="1"/>
  <c r="B50" i="1"/>
  <c r="A50" i="1" s="1"/>
  <c r="C50" i="1"/>
  <c r="D50" i="1"/>
  <c r="B51" i="1"/>
  <c r="C51" i="1"/>
  <c r="D51" i="1"/>
  <c r="B52" i="1"/>
  <c r="A52" i="1" s="1"/>
  <c r="C52" i="1"/>
  <c r="D52" i="1"/>
  <c r="B53" i="1"/>
  <c r="A53" i="1" s="1"/>
  <c r="C53" i="1"/>
  <c r="D53" i="1"/>
  <c r="B54" i="1"/>
  <c r="C54" i="1"/>
  <c r="D54" i="1"/>
  <c r="B55" i="1"/>
  <c r="C55" i="1"/>
  <c r="D55" i="1"/>
  <c r="B56" i="1"/>
  <c r="C56" i="1"/>
  <c r="D56" i="1"/>
  <c r="B57" i="1"/>
  <c r="C57" i="1"/>
  <c r="D57" i="1"/>
  <c r="E57" i="1"/>
  <c r="B58" i="1"/>
  <c r="A58" i="1" s="1"/>
  <c r="C58" i="1"/>
  <c r="D58" i="1"/>
  <c r="E58" i="1"/>
  <c r="B59" i="1"/>
  <c r="A59" i="1" s="1"/>
  <c r="C59" i="1"/>
  <c r="D59" i="1"/>
  <c r="E59" i="1"/>
  <c r="E60" i="1" s="1"/>
  <c r="E61" i="1" s="1"/>
  <c r="E62" i="1" s="1"/>
  <c r="E63" i="1" s="1"/>
  <c r="E64" i="1" s="1"/>
  <c r="E65" i="1" s="1"/>
  <c r="E66" i="1" s="1"/>
  <c r="B60" i="1"/>
  <c r="A60" i="1" s="1"/>
  <c r="C60" i="1"/>
  <c r="D60" i="1"/>
  <c r="B61" i="1"/>
  <c r="C61" i="1"/>
  <c r="D61" i="1"/>
  <c r="B62" i="1"/>
  <c r="C62" i="1"/>
  <c r="D62" i="1"/>
  <c r="B63" i="1"/>
  <c r="C63" i="1"/>
  <c r="D63" i="1"/>
  <c r="B64" i="1"/>
  <c r="A64" i="1" s="1"/>
  <c r="C64" i="1"/>
  <c r="D64" i="1"/>
  <c r="B65" i="1"/>
  <c r="C65" i="1"/>
  <c r="D65" i="1"/>
  <c r="B66" i="1"/>
  <c r="C66" i="1"/>
  <c r="D66" i="1"/>
  <c r="B67" i="1"/>
  <c r="C67" i="1"/>
  <c r="D67" i="1"/>
  <c r="B68" i="1"/>
  <c r="C68" i="1"/>
  <c r="D68" i="1"/>
  <c r="B69" i="1"/>
  <c r="C69" i="1"/>
  <c r="D69" i="1"/>
  <c r="B70" i="1"/>
  <c r="C70" i="1"/>
  <c r="D70" i="1"/>
  <c r="B71" i="1"/>
  <c r="C71" i="1"/>
  <c r="D71" i="1"/>
  <c r="B72" i="1"/>
  <c r="C72" i="1"/>
  <c r="D72" i="1"/>
  <c r="B73" i="1"/>
  <c r="C73" i="1"/>
  <c r="D73" i="1"/>
  <c r="B74" i="1"/>
  <c r="A74" i="1" s="1"/>
  <c r="C74" i="1"/>
  <c r="D74" i="1"/>
  <c r="E74" i="1"/>
  <c r="B75" i="1"/>
  <c r="C75" i="1"/>
  <c r="D75" i="1"/>
  <c r="E75" i="1"/>
  <c r="B76" i="1"/>
  <c r="A76" i="1" s="1"/>
  <c r="C76" i="1"/>
  <c r="D76" i="1"/>
  <c r="E76" i="1"/>
  <c r="A77" i="1"/>
  <c r="B77" i="1"/>
  <c r="C77" i="1"/>
  <c r="D77" i="1"/>
  <c r="E77" i="1"/>
  <c r="E78" i="1" s="1"/>
  <c r="B78" i="1"/>
  <c r="C78" i="1"/>
  <c r="D78" i="1"/>
  <c r="B79" i="1"/>
  <c r="C79" i="1"/>
  <c r="D79" i="1"/>
  <c r="B80" i="1"/>
  <c r="C80" i="1"/>
  <c r="D80" i="1"/>
  <c r="B81" i="1"/>
  <c r="C81" i="1"/>
  <c r="D81" i="1"/>
  <c r="B82" i="1"/>
  <c r="C82" i="1"/>
  <c r="D82" i="1"/>
  <c r="B83" i="1"/>
  <c r="C83" i="1"/>
  <c r="D83" i="1"/>
  <c r="B84" i="1"/>
  <c r="C84" i="1"/>
  <c r="D84" i="1"/>
  <c r="B85" i="1"/>
  <c r="A85" i="1" s="1"/>
  <c r="C85" i="1"/>
  <c r="D85" i="1"/>
  <c r="E85" i="1"/>
  <c r="B86" i="1"/>
  <c r="C86" i="1"/>
  <c r="D86" i="1"/>
  <c r="E86" i="1"/>
  <c r="E87" i="1" s="1"/>
  <c r="E88" i="1" s="1"/>
  <c r="B87" i="1"/>
  <c r="C87" i="1"/>
  <c r="D87" i="1"/>
  <c r="B88" i="1"/>
  <c r="C88" i="1"/>
  <c r="D88" i="1"/>
  <c r="B89" i="1"/>
  <c r="C89" i="1"/>
  <c r="D89" i="1"/>
  <c r="B90" i="1"/>
  <c r="C90" i="1"/>
  <c r="D90" i="1"/>
  <c r="B91" i="1"/>
  <c r="C91" i="1"/>
  <c r="D91" i="1"/>
  <c r="B92" i="1"/>
  <c r="C92" i="1"/>
  <c r="D92" i="1"/>
  <c r="B93" i="1"/>
  <c r="C93" i="1"/>
  <c r="D93" i="1"/>
  <c r="B94" i="1"/>
  <c r="C94" i="1"/>
  <c r="D94" i="1"/>
  <c r="B95" i="1"/>
  <c r="C95" i="1"/>
  <c r="D95" i="1"/>
  <c r="B96" i="1"/>
  <c r="C96" i="1"/>
  <c r="D96" i="1"/>
  <c r="B97" i="1"/>
  <c r="C97" i="1"/>
  <c r="D97" i="1"/>
  <c r="B98" i="1"/>
  <c r="C98" i="1"/>
  <c r="D98" i="1"/>
  <c r="B99" i="1"/>
  <c r="C99" i="1"/>
  <c r="D99" i="1"/>
  <c r="B100" i="1"/>
  <c r="C100" i="1"/>
  <c r="D100" i="1"/>
  <c r="B101" i="1"/>
  <c r="C101" i="1"/>
  <c r="D101" i="1"/>
  <c r="B102" i="1"/>
  <c r="C102" i="1"/>
  <c r="D102" i="1"/>
  <c r="E102" i="1"/>
  <c r="B103" i="1"/>
  <c r="C103" i="1"/>
  <c r="D103" i="1"/>
  <c r="E103" i="1"/>
  <c r="B104" i="1"/>
  <c r="C104" i="1"/>
  <c r="D104" i="1"/>
  <c r="E104" i="1"/>
  <c r="B105" i="1"/>
  <c r="C105" i="1"/>
  <c r="D105" i="1"/>
  <c r="E105" i="1"/>
  <c r="B106" i="1"/>
  <c r="C106" i="1"/>
  <c r="D106" i="1"/>
  <c r="A106" i="1" s="1"/>
  <c r="E106" i="1"/>
  <c r="B107" i="1"/>
  <c r="C107" i="1"/>
  <c r="D107" i="1"/>
  <c r="E107" i="1"/>
  <c r="E108" i="1" s="1"/>
  <c r="B108" i="1"/>
  <c r="C108" i="1"/>
  <c r="D108" i="1"/>
  <c r="B109" i="1"/>
  <c r="C109" i="1"/>
  <c r="D109" i="1"/>
  <c r="E109" i="1"/>
  <c r="B110" i="1"/>
  <c r="C110" i="1"/>
  <c r="D110" i="1"/>
  <c r="E110" i="1"/>
  <c r="B111" i="1"/>
  <c r="C111" i="1"/>
  <c r="D111" i="1"/>
  <c r="E111" i="1"/>
  <c r="B112" i="1"/>
  <c r="C112" i="1"/>
  <c r="A112" i="1" s="1"/>
  <c r="D112" i="1"/>
  <c r="E112" i="1"/>
  <c r="B113" i="1"/>
  <c r="C113" i="1"/>
  <c r="D113" i="1"/>
  <c r="E113" i="1"/>
  <c r="B114" i="1"/>
  <c r="C114" i="1"/>
  <c r="A114" i="1" s="1"/>
  <c r="D114" i="1"/>
  <c r="E114" i="1"/>
  <c r="B115" i="1"/>
  <c r="C115" i="1"/>
  <c r="A115" i="1" s="1"/>
  <c r="D115" i="1"/>
  <c r="E115" i="1"/>
  <c r="B116" i="1"/>
  <c r="C116" i="1"/>
  <c r="D116" i="1"/>
  <c r="E116" i="1"/>
  <c r="B117" i="1"/>
  <c r="C117" i="1"/>
  <c r="D117" i="1"/>
  <c r="E117" i="1"/>
  <c r="B118" i="1"/>
  <c r="C118" i="1"/>
  <c r="D118" i="1"/>
  <c r="E118" i="1"/>
  <c r="B119" i="1"/>
  <c r="C119" i="1"/>
  <c r="D119" i="1"/>
  <c r="E119" i="1"/>
  <c r="E120" i="1" s="1"/>
  <c r="B120" i="1"/>
  <c r="C120" i="1"/>
  <c r="D120" i="1"/>
  <c r="B121" i="1"/>
  <c r="C121" i="1"/>
  <c r="D121" i="1"/>
  <c r="E121" i="1"/>
  <c r="B122" i="1"/>
  <c r="C122" i="1"/>
  <c r="D122" i="1"/>
  <c r="E122" i="1"/>
  <c r="B123" i="1"/>
  <c r="C123" i="1"/>
  <c r="D123" i="1"/>
  <c r="E123" i="1"/>
  <c r="B124" i="1"/>
  <c r="A124" i="1" s="1"/>
  <c r="C124" i="1"/>
  <c r="D124" i="1"/>
  <c r="E124" i="1"/>
  <c r="B125" i="1"/>
  <c r="A125" i="1" s="1"/>
  <c r="C125" i="1"/>
  <c r="D125" i="1"/>
  <c r="E125" i="1"/>
  <c r="B126" i="1"/>
  <c r="C126" i="1"/>
  <c r="A126" i="1" s="1"/>
  <c r="D126" i="1"/>
  <c r="E126" i="1"/>
  <c r="E127" i="1" s="1"/>
  <c r="B127" i="1"/>
  <c r="C127" i="1"/>
  <c r="D127" i="1"/>
  <c r="B128" i="1"/>
  <c r="C128" i="1"/>
  <c r="D128" i="1"/>
  <c r="E128" i="1"/>
  <c r="B129" i="1"/>
  <c r="C129" i="1"/>
  <c r="D129" i="1"/>
  <c r="E129" i="1"/>
  <c r="E130" i="1" s="1"/>
  <c r="B130" i="1"/>
  <c r="C130" i="1"/>
  <c r="D130" i="1"/>
  <c r="B131" i="1"/>
  <c r="C131" i="1"/>
  <c r="D131" i="1"/>
  <c r="E131" i="1"/>
  <c r="B132" i="1"/>
  <c r="A132" i="1" s="1"/>
  <c r="C132" i="1"/>
  <c r="D132" i="1"/>
  <c r="E132" i="1"/>
  <c r="B133" i="1"/>
  <c r="C133" i="1"/>
  <c r="D133" i="1"/>
  <c r="E133" i="1"/>
  <c r="B134" i="1"/>
  <c r="C134" i="1"/>
  <c r="D134" i="1"/>
  <c r="E134" i="1"/>
  <c r="B135" i="1"/>
  <c r="C135" i="1"/>
  <c r="D135" i="1"/>
  <c r="E135" i="1"/>
  <c r="B136" i="1"/>
  <c r="A136" i="1" s="1"/>
  <c r="C136" i="1"/>
  <c r="D136" i="1"/>
  <c r="E136" i="1"/>
  <c r="B137" i="1"/>
  <c r="A137" i="1" s="1"/>
  <c r="C137" i="1"/>
  <c r="D137" i="1"/>
  <c r="E137" i="1"/>
  <c r="B138" i="1"/>
  <c r="C138" i="1"/>
  <c r="D138" i="1"/>
  <c r="E138" i="1"/>
  <c r="E139" i="1" s="1"/>
  <c r="E140" i="1" s="1"/>
  <c r="B139" i="1"/>
  <c r="C139" i="1"/>
  <c r="D139" i="1"/>
  <c r="B140" i="1"/>
  <c r="A140" i="1" s="1"/>
  <c r="C140" i="1"/>
  <c r="D140" i="1"/>
  <c r="B141" i="1"/>
  <c r="A141" i="1" s="1"/>
  <c r="C141" i="1"/>
  <c r="D141" i="1"/>
  <c r="E141" i="1"/>
  <c r="E142" i="1" s="1"/>
  <c r="E143" i="1" s="1"/>
  <c r="B142" i="1"/>
  <c r="A142" i="1" s="1"/>
  <c r="C142" i="1"/>
  <c r="D142" i="1"/>
  <c r="B143" i="1"/>
  <c r="A143" i="1" s="1"/>
  <c r="C143" i="1"/>
  <c r="D143" i="1"/>
  <c r="B144" i="1"/>
  <c r="A144" i="1" s="1"/>
  <c r="C144" i="1"/>
  <c r="D144" i="1"/>
  <c r="E144" i="1"/>
  <c r="B145" i="1"/>
  <c r="C145" i="1"/>
  <c r="D145" i="1"/>
  <c r="E145" i="1"/>
  <c r="B146" i="1"/>
  <c r="A146" i="1" s="1"/>
  <c r="C146" i="1"/>
  <c r="D146" i="1"/>
  <c r="E146" i="1"/>
  <c r="B147" i="1"/>
  <c r="C147" i="1"/>
  <c r="D147" i="1"/>
  <c r="E147" i="1"/>
  <c r="B148" i="1"/>
  <c r="A148" i="1" s="1"/>
  <c r="C148" i="1"/>
  <c r="D148" i="1"/>
  <c r="E148" i="1"/>
  <c r="B149" i="1"/>
  <c r="A149" i="1" s="1"/>
  <c r="C149" i="1"/>
  <c r="D149" i="1"/>
  <c r="E149" i="1"/>
  <c r="B150" i="1"/>
  <c r="C150" i="1"/>
  <c r="D150" i="1"/>
  <c r="E150" i="1"/>
  <c r="E151" i="1" s="1"/>
  <c r="B151" i="1"/>
  <c r="C151" i="1"/>
  <c r="D151" i="1"/>
  <c r="B152" i="1"/>
  <c r="C152" i="1"/>
  <c r="D152" i="1"/>
  <c r="E152" i="1"/>
  <c r="B153" i="1"/>
  <c r="C153" i="1"/>
  <c r="D153" i="1"/>
  <c r="E153" i="1"/>
  <c r="E154" i="1" s="1"/>
  <c r="E155" i="1" s="1"/>
  <c r="E156" i="1" s="1"/>
  <c r="E157" i="1" s="1"/>
  <c r="B154" i="1"/>
  <c r="C154" i="1"/>
  <c r="D154" i="1"/>
  <c r="B155" i="1"/>
  <c r="C155" i="1"/>
  <c r="D155" i="1"/>
  <c r="B156" i="1"/>
  <c r="C156" i="1"/>
  <c r="D156" i="1"/>
  <c r="B157" i="1"/>
  <c r="C157" i="1"/>
  <c r="D157" i="1"/>
  <c r="B158" i="1"/>
  <c r="C158" i="1"/>
  <c r="D158" i="1"/>
  <c r="E158" i="1"/>
  <c r="B159" i="1"/>
  <c r="C159" i="1"/>
  <c r="A159" i="1" s="1"/>
  <c r="D159" i="1"/>
  <c r="E159" i="1"/>
  <c r="B160" i="1"/>
  <c r="C160" i="1"/>
  <c r="D160" i="1"/>
  <c r="E160" i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B161" i="1"/>
  <c r="C161" i="1"/>
  <c r="D161" i="1"/>
  <c r="B162" i="1"/>
  <c r="C162" i="1"/>
  <c r="A162" i="1" s="1"/>
  <c r="D162" i="1"/>
  <c r="B163" i="1"/>
  <c r="C163" i="1"/>
  <c r="D163" i="1"/>
  <c r="B164" i="1"/>
  <c r="C164" i="1"/>
  <c r="D164" i="1"/>
  <c r="B165" i="1"/>
  <c r="C165" i="1"/>
  <c r="D165" i="1"/>
  <c r="B166" i="1"/>
  <c r="C166" i="1"/>
  <c r="D166" i="1"/>
  <c r="B167" i="1"/>
  <c r="C167" i="1"/>
  <c r="D167" i="1"/>
  <c r="B168" i="1"/>
  <c r="C168" i="1"/>
  <c r="D168" i="1"/>
  <c r="B169" i="1"/>
  <c r="C169" i="1"/>
  <c r="D169" i="1"/>
  <c r="B170" i="1"/>
  <c r="C170" i="1"/>
  <c r="D170" i="1"/>
  <c r="B171" i="1"/>
  <c r="C171" i="1"/>
  <c r="D171" i="1"/>
  <c r="B172" i="1"/>
  <c r="C172" i="1"/>
  <c r="D172" i="1"/>
  <c r="B173" i="1"/>
  <c r="C173" i="1"/>
  <c r="D173" i="1"/>
  <c r="B174" i="1"/>
  <c r="C174" i="1"/>
  <c r="D174" i="1"/>
  <c r="B175" i="1"/>
  <c r="C175" i="1"/>
  <c r="D175" i="1"/>
  <c r="B176" i="1"/>
  <c r="C176" i="1"/>
  <c r="D176" i="1"/>
  <c r="B177" i="1"/>
  <c r="C177" i="1"/>
  <c r="D177" i="1"/>
  <c r="B178" i="1"/>
  <c r="C178" i="1"/>
  <c r="D178" i="1"/>
  <c r="B179" i="1"/>
  <c r="C179" i="1"/>
  <c r="D179" i="1"/>
  <c r="B180" i="1"/>
  <c r="C180" i="1"/>
  <c r="D180" i="1"/>
  <c r="B181" i="1"/>
  <c r="C181" i="1"/>
  <c r="D181" i="1"/>
  <c r="B182" i="1"/>
  <c r="C182" i="1"/>
  <c r="D182" i="1"/>
  <c r="B183" i="1"/>
  <c r="C183" i="1"/>
  <c r="D183" i="1"/>
  <c r="B184" i="1"/>
  <c r="C184" i="1"/>
  <c r="D184" i="1"/>
  <c r="B185" i="1"/>
  <c r="C185" i="1"/>
  <c r="D185" i="1"/>
  <c r="B186" i="1"/>
  <c r="C186" i="1"/>
  <c r="D186" i="1"/>
  <c r="B187" i="1"/>
  <c r="C187" i="1"/>
  <c r="D187" i="1"/>
  <c r="B188" i="1"/>
  <c r="C188" i="1"/>
  <c r="D188" i="1"/>
  <c r="B189" i="1"/>
  <c r="C189" i="1"/>
  <c r="D189" i="1"/>
  <c r="B190" i="1"/>
  <c r="A190" i="1" s="1"/>
  <c r="C190" i="1"/>
  <c r="D190" i="1"/>
  <c r="E190" i="1"/>
  <c r="B191" i="1"/>
  <c r="A191" i="1" s="1"/>
  <c r="C191" i="1"/>
  <c r="D191" i="1"/>
  <c r="E191" i="1"/>
  <c r="E192" i="1" s="1"/>
  <c r="E193" i="1" s="1"/>
  <c r="E194" i="1" s="1"/>
  <c r="E195" i="1" s="1"/>
  <c r="E196" i="1" s="1"/>
  <c r="B192" i="1"/>
  <c r="A192" i="1" s="1"/>
  <c r="C192" i="1"/>
  <c r="D192" i="1"/>
  <c r="B193" i="1"/>
  <c r="A193" i="1" s="1"/>
  <c r="C193" i="1"/>
  <c r="D193" i="1"/>
  <c r="B194" i="1"/>
  <c r="C194" i="1"/>
  <c r="D194" i="1"/>
  <c r="B195" i="1"/>
  <c r="C195" i="1"/>
  <c r="D195" i="1"/>
  <c r="A195" i="1" s="1"/>
  <c r="B196" i="1"/>
  <c r="C196" i="1"/>
  <c r="D196" i="1"/>
  <c r="B197" i="1"/>
  <c r="A197" i="1" s="1"/>
  <c r="C197" i="1"/>
  <c r="D197" i="1"/>
  <c r="E197" i="1"/>
  <c r="B198" i="1"/>
  <c r="C198" i="1"/>
  <c r="D198" i="1"/>
  <c r="E198" i="1"/>
  <c r="E199" i="1" s="1"/>
  <c r="E200" i="1" s="1"/>
  <c r="B199" i="1"/>
  <c r="C199" i="1"/>
  <c r="A199" i="1" s="1"/>
  <c r="D199" i="1"/>
  <c r="B200" i="1"/>
  <c r="A200" i="1" s="1"/>
  <c r="C200" i="1"/>
  <c r="D200" i="1"/>
  <c r="B201" i="1"/>
  <c r="A201" i="1" s="1"/>
  <c r="C201" i="1"/>
  <c r="D201" i="1"/>
  <c r="E201" i="1"/>
  <c r="E202" i="1" s="1"/>
  <c r="E203" i="1" s="1"/>
  <c r="E204" i="1" s="1"/>
  <c r="E205" i="1" s="1"/>
  <c r="E206" i="1" s="1"/>
  <c r="E207" i="1" s="1"/>
  <c r="B202" i="1"/>
  <c r="A202" i="1" s="1"/>
  <c r="C202" i="1"/>
  <c r="D202" i="1"/>
  <c r="B203" i="1"/>
  <c r="C203" i="1"/>
  <c r="D203" i="1"/>
  <c r="B204" i="1"/>
  <c r="A204" i="1" s="1"/>
  <c r="C204" i="1"/>
  <c r="D204" i="1"/>
  <c r="B205" i="1"/>
  <c r="A205" i="1" s="1"/>
  <c r="C205" i="1"/>
  <c r="D205" i="1"/>
  <c r="B206" i="1"/>
  <c r="A206" i="1" s="1"/>
  <c r="C206" i="1"/>
  <c r="D206" i="1"/>
  <c r="B207" i="1"/>
  <c r="C207" i="1"/>
  <c r="D207" i="1"/>
  <c r="B208" i="1"/>
  <c r="A208" i="1" s="1"/>
  <c r="C208" i="1"/>
  <c r="D208" i="1"/>
  <c r="E208" i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B209" i="1"/>
  <c r="C209" i="1"/>
  <c r="D209" i="1"/>
  <c r="B210" i="1"/>
  <c r="C210" i="1"/>
  <c r="D210" i="1"/>
  <c r="B211" i="1"/>
  <c r="C211" i="1"/>
  <c r="A211" i="1" s="1"/>
  <c r="D211" i="1"/>
  <c r="B212" i="1"/>
  <c r="C212" i="1"/>
  <c r="D212" i="1"/>
  <c r="B213" i="1"/>
  <c r="C213" i="1"/>
  <c r="D213" i="1"/>
  <c r="B214" i="1"/>
  <c r="C214" i="1"/>
  <c r="D214" i="1"/>
  <c r="B215" i="1"/>
  <c r="C215" i="1"/>
  <c r="D215" i="1"/>
  <c r="B216" i="1"/>
  <c r="C216" i="1"/>
  <c r="D216" i="1"/>
  <c r="B217" i="1"/>
  <c r="C217" i="1"/>
  <c r="D217" i="1"/>
  <c r="B218" i="1"/>
  <c r="C218" i="1"/>
  <c r="D218" i="1"/>
  <c r="B219" i="1"/>
  <c r="C219" i="1"/>
  <c r="D219" i="1"/>
  <c r="E219" i="1"/>
  <c r="B220" i="1"/>
  <c r="C220" i="1"/>
  <c r="D220" i="1"/>
  <c r="E220" i="1"/>
  <c r="E221" i="1" s="1"/>
  <c r="E222" i="1" s="1"/>
  <c r="E223" i="1" s="1"/>
  <c r="E224" i="1" s="1"/>
  <c r="B221" i="1"/>
  <c r="C221" i="1"/>
  <c r="D221" i="1"/>
  <c r="B222" i="1"/>
  <c r="C222" i="1"/>
  <c r="D222" i="1"/>
  <c r="B223" i="1"/>
  <c r="C223" i="1"/>
  <c r="A223" i="1" s="1"/>
  <c r="D223" i="1"/>
  <c r="B224" i="1"/>
  <c r="C224" i="1"/>
  <c r="D224" i="1"/>
  <c r="B225" i="1"/>
  <c r="C225" i="1"/>
  <c r="D225" i="1"/>
  <c r="E225" i="1"/>
  <c r="B226" i="1"/>
  <c r="C226" i="1"/>
  <c r="D226" i="1"/>
  <c r="E226" i="1"/>
  <c r="B227" i="1"/>
  <c r="C227" i="1"/>
  <c r="D227" i="1"/>
  <c r="E227" i="1"/>
  <c r="B228" i="1"/>
  <c r="A228" i="1" s="1"/>
  <c r="C228" i="1"/>
  <c r="D228" i="1"/>
  <c r="E228" i="1"/>
  <c r="B229" i="1"/>
  <c r="A229" i="1" s="1"/>
  <c r="C229" i="1"/>
  <c r="D229" i="1"/>
  <c r="E229" i="1"/>
  <c r="B230" i="1"/>
  <c r="C230" i="1"/>
  <c r="D230" i="1"/>
  <c r="E230" i="1"/>
  <c r="E231" i="1" s="1"/>
  <c r="E232" i="1" s="1"/>
  <c r="B231" i="1"/>
  <c r="C231" i="1"/>
  <c r="D231" i="1"/>
  <c r="A231" i="1" s="1"/>
  <c r="B232" i="1"/>
  <c r="C232" i="1"/>
  <c r="D232" i="1"/>
  <c r="B233" i="1"/>
  <c r="C233" i="1"/>
  <c r="D233" i="1"/>
  <c r="B234" i="1"/>
  <c r="C234" i="1"/>
  <c r="D234" i="1"/>
  <c r="E234" i="1"/>
  <c r="E235" i="1" s="1"/>
  <c r="B235" i="1"/>
  <c r="C235" i="1"/>
  <c r="D235" i="1"/>
  <c r="B236" i="1"/>
  <c r="A236" i="1" s="1"/>
  <c r="C236" i="1"/>
  <c r="D236" i="1"/>
  <c r="E236" i="1"/>
  <c r="B237" i="1"/>
  <c r="A237" i="1" s="1"/>
  <c r="C237" i="1"/>
  <c r="D237" i="1"/>
  <c r="E237" i="1"/>
  <c r="E238" i="1" s="1"/>
  <c r="E239" i="1" s="1"/>
  <c r="E240" i="1" s="1"/>
  <c r="E241" i="1" s="1"/>
  <c r="E242" i="1" s="1"/>
  <c r="E243" i="1" s="1"/>
  <c r="B238" i="1"/>
  <c r="C238" i="1"/>
  <c r="D238" i="1"/>
  <c r="B239" i="1"/>
  <c r="A239" i="1" s="1"/>
  <c r="C239" i="1"/>
  <c r="D239" i="1"/>
  <c r="B240" i="1"/>
  <c r="A240" i="1" s="1"/>
  <c r="C240" i="1"/>
  <c r="D240" i="1"/>
  <c r="B241" i="1"/>
  <c r="C241" i="1"/>
  <c r="D241" i="1"/>
  <c r="B242" i="1"/>
  <c r="C242" i="1"/>
  <c r="D242" i="1"/>
  <c r="B243" i="1"/>
  <c r="C243" i="1"/>
  <c r="D243" i="1"/>
  <c r="B244" i="1"/>
  <c r="A244" i="1" s="1"/>
  <c r="C244" i="1"/>
  <c r="D244" i="1"/>
  <c r="E244" i="1"/>
  <c r="A245" i="1"/>
  <c r="B245" i="1"/>
  <c r="C245" i="1"/>
  <c r="D245" i="1"/>
  <c r="E245" i="1"/>
  <c r="B246" i="1"/>
  <c r="C246" i="1"/>
  <c r="D246" i="1"/>
  <c r="E246" i="1"/>
  <c r="E247" i="1" s="1"/>
  <c r="E248" i="1" s="1"/>
  <c r="B247" i="1"/>
  <c r="C247" i="1"/>
  <c r="D247" i="1"/>
  <c r="B248" i="1"/>
  <c r="A248" i="1" s="1"/>
  <c r="C248" i="1"/>
  <c r="D248" i="1"/>
  <c r="B249" i="1"/>
  <c r="C249" i="1"/>
  <c r="D249" i="1"/>
  <c r="E249" i="1"/>
  <c r="E250" i="1" s="1"/>
  <c r="E251" i="1" s="1"/>
  <c r="E252" i="1" s="1"/>
  <c r="E253" i="1" s="1"/>
  <c r="B250" i="1"/>
  <c r="A250" i="1" s="1"/>
  <c r="C250" i="1"/>
  <c r="D250" i="1"/>
  <c r="B251" i="1"/>
  <c r="C251" i="1"/>
  <c r="D251" i="1"/>
  <c r="B252" i="1"/>
  <c r="A252" i="1" s="1"/>
  <c r="C252" i="1"/>
  <c r="D252" i="1"/>
  <c r="B253" i="1"/>
  <c r="A253" i="1" s="1"/>
  <c r="C253" i="1"/>
  <c r="D253" i="1"/>
  <c r="B254" i="1"/>
  <c r="A254" i="1" s="1"/>
  <c r="C254" i="1"/>
  <c r="D254" i="1"/>
  <c r="E254" i="1"/>
  <c r="B255" i="1"/>
  <c r="C255" i="1"/>
  <c r="D255" i="1"/>
  <c r="E255" i="1"/>
  <c r="B256" i="1"/>
  <c r="C256" i="1"/>
  <c r="A256" i="1" s="1"/>
  <c r="D256" i="1"/>
  <c r="E256" i="1"/>
  <c r="B257" i="1"/>
  <c r="A257" i="1" s="1"/>
  <c r="C257" i="1"/>
  <c r="D257" i="1"/>
  <c r="E257" i="1"/>
  <c r="B258" i="1"/>
  <c r="C258" i="1"/>
  <c r="D258" i="1"/>
  <c r="E258" i="1"/>
  <c r="E259" i="1" s="1"/>
  <c r="E260" i="1" s="1"/>
  <c r="B259" i="1"/>
  <c r="C259" i="1"/>
  <c r="D259" i="1"/>
  <c r="B260" i="1"/>
  <c r="C260" i="1"/>
  <c r="D260" i="1"/>
  <c r="B261" i="1"/>
  <c r="C261" i="1"/>
  <c r="D261" i="1"/>
  <c r="E261" i="1"/>
  <c r="B262" i="1"/>
  <c r="C262" i="1"/>
  <c r="D262" i="1"/>
  <c r="E262" i="1"/>
  <c r="B263" i="1"/>
  <c r="A263" i="1" s="1"/>
  <c r="C263" i="1"/>
  <c r="D263" i="1"/>
  <c r="E263" i="1"/>
  <c r="E264" i="1" s="1"/>
  <c r="E265" i="1" s="1"/>
  <c r="B264" i="1"/>
  <c r="C264" i="1"/>
  <c r="D264" i="1"/>
  <c r="B265" i="1"/>
  <c r="A265" i="1" s="1"/>
  <c r="C265" i="1"/>
  <c r="D265" i="1"/>
  <c r="B266" i="1"/>
  <c r="A266" i="1" s="1"/>
  <c r="C266" i="1"/>
  <c r="D266" i="1"/>
  <c r="E266" i="1"/>
  <c r="B267" i="1"/>
  <c r="C267" i="1"/>
  <c r="D267" i="1"/>
  <c r="E267" i="1"/>
  <c r="B268" i="1"/>
  <c r="A268" i="1" s="1"/>
  <c r="C268" i="1"/>
  <c r="D268" i="1"/>
  <c r="E268" i="1"/>
  <c r="B269" i="1"/>
  <c r="C269" i="1"/>
  <c r="D269" i="1"/>
  <c r="E269" i="1"/>
  <c r="B270" i="1"/>
  <c r="C270" i="1"/>
  <c r="D270" i="1"/>
  <c r="E270" i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B271" i="1"/>
  <c r="C271" i="1"/>
  <c r="D271" i="1"/>
  <c r="B272" i="1"/>
  <c r="C272" i="1"/>
  <c r="D272" i="1"/>
  <c r="B273" i="1"/>
  <c r="C273" i="1"/>
  <c r="D273" i="1"/>
  <c r="B274" i="1"/>
  <c r="C274" i="1"/>
  <c r="D274" i="1"/>
  <c r="B275" i="1"/>
  <c r="C275" i="1"/>
  <c r="D275" i="1"/>
  <c r="B276" i="1"/>
  <c r="C276" i="1"/>
  <c r="D276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B284" i="1"/>
  <c r="C284" i="1"/>
  <c r="D284" i="1"/>
  <c r="B285" i="1"/>
  <c r="C285" i="1"/>
  <c r="D285" i="1"/>
  <c r="B286" i="1"/>
  <c r="C286" i="1"/>
  <c r="D286" i="1"/>
  <c r="B287" i="1"/>
  <c r="C287" i="1"/>
  <c r="D287" i="1"/>
  <c r="B288" i="1"/>
  <c r="C288" i="1"/>
  <c r="D288" i="1"/>
  <c r="B289" i="1"/>
  <c r="C289" i="1"/>
  <c r="D289" i="1"/>
  <c r="B290" i="1"/>
  <c r="C290" i="1"/>
  <c r="D290" i="1"/>
  <c r="B291" i="1"/>
  <c r="C291" i="1"/>
  <c r="D291" i="1"/>
  <c r="B292" i="1"/>
  <c r="C292" i="1"/>
  <c r="D292" i="1"/>
  <c r="B293" i="1"/>
  <c r="C293" i="1"/>
  <c r="D293" i="1"/>
  <c r="B294" i="1"/>
  <c r="C294" i="1"/>
  <c r="D294" i="1"/>
  <c r="B295" i="1"/>
  <c r="C295" i="1"/>
  <c r="D295" i="1"/>
  <c r="B296" i="1"/>
  <c r="C296" i="1"/>
  <c r="D296" i="1"/>
  <c r="B297" i="1"/>
  <c r="C297" i="1"/>
  <c r="D297" i="1"/>
  <c r="B298" i="1"/>
  <c r="C298" i="1"/>
  <c r="D298" i="1"/>
  <c r="E298" i="1"/>
  <c r="B299" i="1"/>
  <c r="C299" i="1"/>
  <c r="D299" i="1"/>
  <c r="E299" i="1"/>
  <c r="E300" i="1" s="1"/>
  <c r="E301" i="1" s="1"/>
  <c r="E302" i="1" s="1"/>
  <c r="E303" i="1" s="1"/>
  <c r="E304" i="1" s="1"/>
  <c r="B300" i="1"/>
  <c r="C300" i="1"/>
  <c r="D300" i="1"/>
  <c r="B301" i="1"/>
  <c r="C301" i="1"/>
  <c r="D301" i="1"/>
  <c r="B302" i="1"/>
  <c r="C302" i="1"/>
  <c r="D302" i="1"/>
  <c r="B303" i="1"/>
  <c r="C303" i="1"/>
  <c r="D303" i="1"/>
  <c r="B304" i="1"/>
  <c r="C304" i="1"/>
  <c r="D304" i="1"/>
  <c r="B305" i="1"/>
  <c r="C305" i="1"/>
  <c r="D305" i="1"/>
  <c r="B306" i="1"/>
  <c r="C306" i="1"/>
  <c r="D306" i="1"/>
  <c r="B307" i="1"/>
  <c r="C307" i="1"/>
  <c r="D307" i="1"/>
  <c r="B308" i="1"/>
  <c r="C308" i="1"/>
  <c r="D308" i="1"/>
  <c r="B309" i="1"/>
  <c r="C309" i="1"/>
  <c r="D309" i="1"/>
  <c r="B310" i="1"/>
  <c r="C310" i="1"/>
  <c r="D310" i="1"/>
  <c r="B311" i="1"/>
  <c r="C311" i="1"/>
  <c r="D311" i="1"/>
  <c r="B312" i="1"/>
  <c r="C312" i="1"/>
  <c r="D312" i="1"/>
  <c r="B313" i="1"/>
  <c r="C313" i="1"/>
  <c r="D313" i="1"/>
  <c r="E313" i="1"/>
  <c r="B314" i="1"/>
  <c r="C314" i="1"/>
  <c r="D314" i="1"/>
  <c r="E314" i="1"/>
  <c r="E315" i="1" s="1"/>
  <c r="E316" i="1" s="1"/>
  <c r="B315" i="1"/>
  <c r="C315" i="1"/>
  <c r="D315" i="1"/>
  <c r="B316" i="1"/>
  <c r="C316" i="1"/>
  <c r="D316" i="1"/>
  <c r="B317" i="1"/>
  <c r="C317" i="1"/>
  <c r="D317" i="1"/>
  <c r="B318" i="1"/>
  <c r="C318" i="1"/>
  <c r="D318" i="1"/>
  <c r="B319" i="1"/>
  <c r="C319" i="1"/>
  <c r="D319" i="1"/>
  <c r="E319" i="1"/>
  <c r="B320" i="1"/>
  <c r="C320" i="1"/>
  <c r="D320" i="1"/>
  <c r="E320" i="1"/>
  <c r="B321" i="1"/>
  <c r="C321" i="1"/>
  <c r="D321" i="1"/>
  <c r="E321" i="1"/>
  <c r="E322" i="1" s="1"/>
  <c r="E323" i="1" s="1"/>
  <c r="E324" i="1" s="1"/>
  <c r="E325" i="1" s="1"/>
  <c r="E326" i="1" s="1"/>
  <c r="E327" i="1" s="1"/>
  <c r="B322" i="1"/>
  <c r="C322" i="1"/>
  <c r="D322" i="1"/>
  <c r="B323" i="1"/>
  <c r="C323" i="1"/>
  <c r="D323" i="1"/>
  <c r="B324" i="1"/>
  <c r="C324" i="1"/>
  <c r="D324" i="1"/>
  <c r="B325" i="1"/>
  <c r="C325" i="1"/>
  <c r="D325" i="1"/>
  <c r="B326" i="1"/>
  <c r="C326" i="1"/>
  <c r="D326" i="1"/>
  <c r="B327" i="1"/>
  <c r="C327" i="1"/>
  <c r="D327" i="1"/>
  <c r="B328" i="1"/>
  <c r="C328" i="1"/>
  <c r="D328" i="1"/>
  <c r="E328" i="1"/>
  <c r="B329" i="1"/>
  <c r="C329" i="1"/>
  <c r="D329" i="1"/>
  <c r="E329" i="1"/>
  <c r="B330" i="1"/>
  <c r="C330" i="1"/>
  <c r="A330" i="1" s="1"/>
  <c r="D330" i="1"/>
  <c r="E330" i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B331" i="1"/>
  <c r="C331" i="1"/>
  <c r="D331" i="1"/>
  <c r="B332" i="1"/>
  <c r="C332" i="1"/>
  <c r="D332" i="1"/>
  <c r="B333" i="1"/>
  <c r="C333" i="1"/>
  <c r="D333" i="1"/>
  <c r="B334" i="1"/>
  <c r="C334" i="1"/>
  <c r="D334" i="1"/>
  <c r="B335" i="1"/>
  <c r="C335" i="1"/>
  <c r="D335" i="1"/>
  <c r="B336" i="1"/>
  <c r="C336" i="1"/>
  <c r="D336" i="1"/>
  <c r="B337" i="1"/>
  <c r="C337" i="1"/>
  <c r="D337" i="1"/>
  <c r="B338" i="1"/>
  <c r="C338" i="1"/>
  <c r="D338" i="1"/>
  <c r="B339" i="1"/>
  <c r="C339" i="1"/>
  <c r="D339" i="1"/>
  <c r="B340" i="1"/>
  <c r="C340" i="1"/>
  <c r="D340" i="1"/>
  <c r="B341" i="1"/>
  <c r="C341" i="1"/>
  <c r="D341" i="1"/>
  <c r="B342" i="1"/>
  <c r="C342" i="1"/>
  <c r="D342" i="1"/>
  <c r="B343" i="1"/>
  <c r="C343" i="1"/>
  <c r="D343" i="1"/>
  <c r="B344" i="1"/>
  <c r="C344" i="1"/>
  <c r="D344" i="1"/>
  <c r="B345" i="1"/>
  <c r="C345" i="1"/>
  <c r="D345" i="1"/>
  <c r="B346" i="1"/>
  <c r="C346" i="1"/>
  <c r="D346" i="1"/>
  <c r="B347" i="1"/>
  <c r="C347" i="1"/>
  <c r="D347" i="1"/>
  <c r="B348" i="1"/>
  <c r="C348" i="1"/>
  <c r="D348" i="1"/>
  <c r="E348" i="1"/>
  <c r="B349" i="1"/>
  <c r="C349" i="1"/>
  <c r="D349" i="1"/>
  <c r="E349" i="1"/>
  <c r="B350" i="1"/>
  <c r="C350" i="1"/>
  <c r="D350" i="1"/>
  <c r="E350" i="1"/>
  <c r="B351" i="1"/>
  <c r="C351" i="1"/>
  <c r="D351" i="1"/>
  <c r="A351" i="1" s="1"/>
  <c r="E351" i="1"/>
  <c r="B352" i="1"/>
  <c r="A352" i="1" s="1"/>
  <c r="C352" i="1"/>
  <c r="D352" i="1"/>
  <c r="E352" i="1"/>
  <c r="B353" i="1"/>
  <c r="A353" i="1" s="1"/>
  <c r="C353" i="1"/>
  <c r="D353" i="1"/>
  <c r="E353" i="1"/>
  <c r="B354" i="1"/>
  <c r="C354" i="1"/>
  <c r="A354" i="1" s="1"/>
  <c r="D354" i="1"/>
  <c r="E354" i="1"/>
  <c r="B355" i="1"/>
  <c r="C355" i="1"/>
  <c r="D355" i="1"/>
  <c r="E355" i="1"/>
  <c r="B356" i="1"/>
  <c r="C356" i="1"/>
  <c r="D356" i="1"/>
  <c r="E356" i="1"/>
  <c r="B357" i="1"/>
  <c r="C357" i="1"/>
  <c r="D357" i="1"/>
  <c r="E357" i="1"/>
  <c r="B358" i="1"/>
  <c r="A358" i="1" s="1"/>
  <c r="C358" i="1"/>
  <c r="D358" i="1"/>
  <c r="E358" i="1"/>
  <c r="B359" i="1"/>
  <c r="C359" i="1"/>
  <c r="D359" i="1"/>
  <c r="E359" i="1"/>
  <c r="B360" i="1"/>
  <c r="C360" i="1"/>
  <c r="D360" i="1"/>
  <c r="E360" i="1"/>
  <c r="B361" i="1"/>
  <c r="A361" i="1" s="1"/>
  <c r="C361" i="1"/>
  <c r="D361" i="1"/>
  <c r="E361" i="1"/>
  <c r="B362" i="1"/>
  <c r="C362" i="1"/>
  <c r="D362" i="1"/>
  <c r="E362" i="1"/>
  <c r="B363" i="1"/>
  <c r="C363" i="1"/>
  <c r="D363" i="1"/>
  <c r="E363" i="1"/>
  <c r="A364" i="1"/>
  <c r="B364" i="1"/>
  <c r="C364" i="1"/>
  <c r="D364" i="1"/>
  <c r="E364" i="1"/>
  <c r="B365" i="1"/>
  <c r="C365" i="1"/>
  <c r="D365" i="1"/>
  <c r="E365" i="1"/>
  <c r="B366" i="1"/>
  <c r="C366" i="1"/>
  <c r="D366" i="1"/>
  <c r="E366" i="1"/>
  <c r="B367" i="1"/>
  <c r="C367" i="1"/>
  <c r="D367" i="1"/>
  <c r="E367" i="1"/>
  <c r="B368" i="1"/>
  <c r="C368" i="1"/>
  <c r="D368" i="1"/>
  <c r="E368" i="1"/>
  <c r="B369" i="1"/>
  <c r="C369" i="1"/>
  <c r="D369" i="1"/>
  <c r="E369" i="1"/>
  <c r="B370" i="1"/>
  <c r="A370" i="1" s="1"/>
  <c r="C370" i="1"/>
  <c r="D370" i="1"/>
  <c r="E370" i="1"/>
  <c r="B371" i="1"/>
  <c r="C371" i="1"/>
  <c r="D371" i="1"/>
  <c r="E371" i="1"/>
  <c r="B372" i="1"/>
  <c r="C372" i="1"/>
  <c r="D372" i="1"/>
  <c r="E372" i="1"/>
  <c r="B373" i="1"/>
  <c r="A373" i="1" s="1"/>
  <c r="C373" i="1"/>
  <c r="D373" i="1"/>
  <c r="E373" i="1"/>
  <c r="B374" i="1"/>
  <c r="C374" i="1"/>
  <c r="D374" i="1"/>
  <c r="E374" i="1"/>
  <c r="B375" i="1"/>
  <c r="C375" i="1"/>
  <c r="D375" i="1"/>
  <c r="A375" i="1" s="1"/>
  <c r="E375" i="1"/>
  <c r="A376" i="1"/>
  <c r="B376" i="1"/>
  <c r="C376" i="1"/>
  <c r="D376" i="1"/>
  <c r="E376" i="1"/>
  <c r="B377" i="1"/>
  <c r="A377" i="1" s="1"/>
  <c r="C377" i="1"/>
  <c r="D377" i="1"/>
  <c r="E377" i="1"/>
  <c r="B378" i="1"/>
  <c r="C378" i="1"/>
  <c r="D378" i="1"/>
  <c r="E378" i="1"/>
  <c r="B379" i="1"/>
  <c r="C379" i="1"/>
  <c r="D379" i="1"/>
  <c r="E379" i="1"/>
  <c r="B380" i="1"/>
  <c r="C380" i="1"/>
  <c r="D380" i="1"/>
  <c r="E380" i="1"/>
  <c r="B381" i="1"/>
  <c r="C381" i="1"/>
  <c r="D381" i="1"/>
  <c r="E381" i="1"/>
  <c r="B382" i="1"/>
  <c r="C382" i="1"/>
  <c r="D382" i="1"/>
  <c r="E382" i="1"/>
  <c r="B383" i="1"/>
  <c r="C383" i="1"/>
  <c r="D383" i="1"/>
  <c r="E383" i="1"/>
  <c r="B384" i="1"/>
  <c r="C384" i="1"/>
  <c r="D384" i="1"/>
  <c r="E384" i="1"/>
  <c r="B385" i="1"/>
  <c r="C385" i="1"/>
  <c r="D385" i="1"/>
  <c r="E385" i="1"/>
  <c r="B386" i="1"/>
  <c r="C386" i="1"/>
  <c r="D386" i="1"/>
  <c r="E386" i="1"/>
  <c r="B387" i="1"/>
  <c r="A387" i="1" s="1"/>
  <c r="C387" i="1"/>
  <c r="D387" i="1"/>
  <c r="E387" i="1"/>
  <c r="B388" i="1"/>
  <c r="C388" i="1"/>
  <c r="D388" i="1"/>
  <c r="E388" i="1"/>
  <c r="B389" i="1"/>
  <c r="A389" i="1" s="1"/>
  <c r="C389" i="1"/>
  <c r="D389" i="1"/>
  <c r="E389" i="1"/>
  <c r="B390" i="1"/>
  <c r="C390" i="1"/>
  <c r="D390" i="1"/>
  <c r="E390" i="1"/>
  <c r="B391" i="1"/>
  <c r="C391" i="1"/>
  <c r="D391" i="1"/>
  <c r="E391" i="1"/>
  <c r="B392" i="1"/>
  <c r="C392" i="1"/>
  <c r="D392" i="1"/>
  <c r="E392" i="1"/>
  <c r="B393" i="1"/>
  <c r="C393" i="1"/>
  <c r="D393" i="1"/>
  <c r="E393" i="1"/>
  <c r="B394" i="1"/>
  <c r="C394" i="1"/>
  <c r="D394" i="1"/>
  <c r="E394" i="1"/>
  <c r="B395" i="1"/>
  <c r="C395" i="1"/>
  <c r="D395" i="1"/>
  <c r="E395" i="1"/>
  <c r="B396" i="1"/>
  <c r="A396" i="1" s="1"/>
  <c r="C396" i="1"/>
  <c r="D396" i="1"/>
  <c r="E396" i="1"/>
  <c r="B397" i="1"/>
  <c r="C397" i="1"/>
  <c r="D397" i="1"/>
  <c r="E397" i="1"/>
  <c r="B398" i="1"/>
  <c r="C398" i="1"/>
  <c r="D398" i="1"/>
  <c r="E398" i="1"/>
  <c r="A399" i="1"/>
  <c r="B399" i="1"/>
  <c r="C399" i="1"/>
  <c r="D399" i="1"/>
  <c r="E399" i="1"/>
  <c r="B400" i="1"/>
  <c r="C400" i="1"/>
  <c r="D400" i="1"/>
  <c r="E400" i="1"/>
  <c r="B401" i="1"/>
  <c r="C401" i="1"/>
  <c r="D401" i="1"/>
  <c r="E401" i="1"/>
  <c r="B402" i="1"/>
  <c r="C402" i="1"/>
  <c r="D402" i="1"/>
  <c r="E402" i="1"/>
  <c r="B403" i="1"/>
  <c r="C403" i="1"/>
  <c r="A403" i="1" s="1"/>
  <c r="D403" i="1"/>
  <c r="E403" i="1"/>
  <c r="B404" i="1"/>
  <c r="C404" i="1"/>
  <c r="D404" i="1"/>
  <c r="E404" i="1"/>
  <c r="B405" i="1"/>
  <c r="C405" i="1"/>
  <c r="D405" i="1"/>
  <c r="E405" i="1"/>
  <c r="B406" i="1"/>
  <c r="A406" i="1" s="1"/>
  <c r="C406" i="1"/>
  <c r="D406" i="1"/>
  <c r="E406" i="1"/>
  <c r="B407" i="1"/>
  <c r="C407" i="1"/>
  <c r="D407" i="1"/>
  <c r="E407" i="1"/>
  <c r="B408" i="1"/>
  <c r="C408" i="1"/>
  <c r="D408" i="1"/>
  <c r="E408" i="1"/>
  <c r="B409" i="1"/>
  <c r="C409" i="1"/>
  <c r="D409" i="1"/>
  <c r="E409" i="1"/>
  <c r="B410" i="1"/>
  <c r="C410" i="1"/>
  <c r="D410" i="1"/>
  <c r="E410" i="1"/>
  <c r="B411" i="1"/>
  <c r="A411" i="1" s="1"/>
  <c r="C411" i="1"/>
  <c r="D411" i="1"/>
  <c r="E411" i="1"/>
  <c r="B412" i="1"/>
  <c r="C412" i="1"/>
  <c r="D412" i="1"/>
  <c r="E412" i="1"/>
  <c r="B413" i="1"/>
  <c r="C413" i="1"/>
  <c r="D413" i="1"/>
  <c r="E413" i="1"/>
  <c r="B414" i="1"/>
  <c r="C414" i="1"/>
  <c r="D414" i="1"/>
  <c r="E414" i="1"/>
  <c r="B415" i="1"/>
  <c r="C415" i="1"/>
  <c r="A415" i="1" s="1"/>
  <c r="D415" i="1"/>
  <c r="E415" i="1"/>
  <c r="B416" i="1"/>
  <c r="C416" i="1"/>
  <c r="D416" i="1"/>
  <c r="E416" i="1"/>
  <c r="B417" i="1"/>
  <c r="C417" i="1"/>
  <c r="D417" i="1"/>
  <c r="E417" i="1"/>
  <c r="E418" i="1" s="1"/>
  <c r="E419" i="1" s="1"/>
  <c r="E420" i="1" s="1"/>
  <c r="E421" i="1" s="1"/>
  <c r="E422" i="1" s="1"/>
  <c r="E423" i="1" s="1"/>
  <c r="B418" i="1"/>
  <c r="C418" i="1"/>
  <c r="D418" i="1"/>
  <c r="B419" i="1"/>
  <c r="C419" i="1"/>
  <c r="D419" i="1"/>
  <c r="B420" i="1"/>
  <c r="C420" i="1"/>
  <c r="D420" i="1"/>
  <c r="B421" i="1"/>
  <c r="C421" i="1"/>
  <c r="D421" i="1"/>
  <c r="B422" i="1"/>
  <c r="C422" i="1"/>
  <c r="D422" i="1"/>
  <c r="B423" i="1"/>
  <c r="C423" i="1"/>
  <c r="D423" i="1"/>
  <c r="B424" i="1"/>
  <c r="C424" i="1"/>
  <c r="D424" i="1"/>
  <c r="B425" i="1"/>
  <c r="C425" i="1"/>
  <c r="D425" i="1"/>
  <c r="B426" i="1"/>
  <c r="C426" i="1"/>
  <c r="D426" i="1"/>
  <c r="B427" i="1"/>
  <c r="C427" i="1"/>
  <c r="D427" i="1"/>
  <c r="B428" i="1"/>
  <c r="C428" i="1"/>
  <c r="D428" i="1"/>
  <c r="B429" i="1"/>
  <c r="C429" i="1"/>
  <c r="D429" i="1"/>
  <c r="B430" i="1"/>
  <c r="C430" i="1"/>
  <c r="D430" i="1"/>
  <c r="B431" i="1"/>
  <c r="C431" i="1"/>
  <c r="D431" i="1"/>
  <c r="B432" i="1"/>
  <c r="C432" i="1"/>
  <c r="D432" i="1"/>
  <c r="E432" i="1"/>
  <c r="B433" i="1"/>
  <c r="A433" i="1" s="1"/>
  <c r="C433" i="1"/>
  <c r="D433" i="1"/>
  <c r="E433" i="1"/>
  <c r="B434" i="1"/>
  <c r="C434" i="1"/>
  <c r="D434" i="1"/>
  <c r="E434" i="1"/>
  <c r="E435" i="1" s="1"/>
  <c r="B435" i="1"/>
  <c r="C435" i="1"/>
  <c r="D435" i="1"/>
  <c r="B436" i="1"/>
  <c r="C436" i="1"/>
  <c r="D436" i="1"/>
  <c r="B437" i="1"/>
  <c r="C437" i="1"/>
  <c r="D437" i="1"/>
  <c r="B438" i="1"/>
  <c r="C438" i="1"/>
  <c r="D438" i="1"/>
  <c r="B439" i="1"/>
  <c r="C439" i="1"/>
  <c r="D439" i="1"/>
  <c r="B440" i="1"/>
  <c r="A440" i="1" s="1"/>
  <c r="C440" i="1"/>
  <c r="D440" i="1"/>
  <c r="E440" i="1"/>
  <c r="B441" i="1"/>
  <c r="C441" i="1"/>
  <c r="D441" i="1"/>
  <c r="E441" i="1"/>
  <c r="E442" i="1" s="1"/>
  <c r="E443" i="1" s="1"/>
  <c r="E444" i="1" s="1"/>
  <c r="E445" i="1" s="1"/>
  <c r="E446" i="1" s="1"/>
  <c r="E447" i="1" s="1"/>
  <c r="B442" i="1"/>
  <c r="C442" i="1"/>
  <c r="D442" i="1"/>
  <c r="B443" i="1"/>
  <c r="C443" i="1"/>
  <c r="D443" i="1"/>
  <c r="B444" i="1"/>
  <c r="C444" i="1"/>
  <c r="D444" i="1"/>
  <c r="B445" i="1"/>
  <c r="C445" i="1"/>
  <c r="D445" i="1"/>
  <c r="B446" i="1"/>
  <c r="C446" i="1"/>
  <c r="D446" i="1"/>
  <c r="B447" i="1"/>
  <c r="C447" i="1"/>
  <c r="D447" i="1"/>
  <c r="B448" i="1"/>
  <c r="A448" i="1" s="1"/>
  <c r="C448" i="1"/>
  <c r="D448" i="1"/>
  <c r="E448" i="1"/>
  <c r="B449" i="1"/>
  <c r="A449" i="1" s="1"/>
  <c r="C449" i="1"/>
  <c r="D449" i="1"/>
  <c r="E449" i="1"/>
  <c r="B450" i="1"/>
  <c r="C450" i="1"/>
  <c r="D450" i="1"/>
  <c r="E450" i="1"/>
  <c r="B451" i="1"/>
  <c r="C451" i="1"/>
  <c r="D451" i="1"/>
  <c r="E451" i="1"/>
  <c r="B452" i="1"/>
  <c r="C452" i="1"/>
  <c r="D452" i="1"/>
  <c r="E452" i="1"/>
  <c r="B453" i="1"/>
  <c r="C453" i="1"/>
  <c r="D453" i="1"/>
  <c r="E453" i="1"/>
  <c r="E454" i="1" s="1"/>
  <c r="E455" i="1" s="1"/>
  <c r="E456" i="1" s="1"/>
  <c r="B454" i="1"/>
  <c r="C454" i="1"/>
  <c r="D454" i="1"/>
  <c r="B455" i="1"/>
  <c r="C455" i="1"/>
  <c r="D455" i="1"/>
  <c r="B456" i="1"/>
  <c r="C456" i="1"/>
  <c r="D456" i="1"/>
  <c r="B457" i="1"/>
  <c r="C457" i="1"/>
  <c r="D457" i="1"/>
  <c r="E457" i="1"/>
  <c r="B458" i="1"/>
  <c r="C458" i="1"/>
  <c r="D458" i="1"/>
  <c r="E458" i="1"/>
  <c r="E459" i="1" s="1"/>
  <c r="B459" i="1"/>
  <c r="C459" i="1"/>
  <c r="D459" i="1"/>
  <c r="B460" i="1"/>
  <c r="C460" i="1"/>
  <c r="D460" i="1"/>
  <c r="B461" i="1"/>
  <c r="C461" i="1"/>
  <c r="D461" i="1"/>
  <c r="E461" i="1"/>
  <c r="B462" i="1"/>
  <c r="C462" i="1"/>
  <c r="D462" i="1"/>
  <c r="E462" i="1"/>
  <c r="E463" i="1" s="1"/>
  <c r="E464" i="1" s="1"/>
  <c r="B463" i="1"/>
  <c r="C463" i="1"/>
  <c r="D463" i="1"/>
  <c r="B464" i="1"/>
  <c r="C464" i="1"/>
  <c r="D464" i="1"/>
  <c r="B465" i="1"/>
  <c r="C465" i="1"/>
  <c r="D465" i="1"/>
  <c r="E465" i="1"/>
  <c r="E466" i="1" s="1"/>
  <c r="E467" i="1" s="1"/>
  <c r="E468" i="1" s="1"/>
  <c r="E469" i="1" s="1"/>
  <c r="E470" i="1" s="1"/>
  <c r="E471" i="1" s="1"/>
  <c r="B466" i="1"/>
  <c r="C466" i="1"/>
  <c r="D466" i="1"/>
  <c r="B467" i="1"/>
  <c r="C467" i="1"/>
  <c r="D467" i="1"/>
  <c r="B468" i="1"/>
  <c r="C468" i="1"/>
  <c r="D468" i="1"/>
  <c r="B469" i="1"/>
  <c r="C469" i="1"/>
  <c r="D469" i="1"/>
  <c r="B470" i="1"/>
  <c r="C470" i="1"/>
  <c r="D470" i="1"/>
  <c r="B471" i="1"/>
  <c r="C471" i="1"/>
  <c r="D471" i="1"/>
  <c r="B472" i="1"/>
  <c r="C472" i="1"/>
  <c r="D472" i="1"/>
  <c r="B473" i="1"/>
  <c r="C473" i="1"/>
  <c r="D473" i="1"/>
  <c r="B474" i="1"/>
  <c r="C474" i="1"/>
  <c r="D474" i="1"/>
  <c r="B475" i="1"/>
  <c r="C475" i="1"/>
  <c r="D475" i="1"/>
  <c r="B476" i="1"/>
  <c r="C476" i="1"/>
  <c r="D476" i="1"/>
  <c r="B477" i="1"/>
  <c r="C477" i="1"/>
  <c r="D477" i="1"/>
  <c r="B478" i="1"/>
  <c r="C478" i="1"/>
  <c r="D478" i="1"/>
  <c r="B479" i="1"/>
  <c r="C479" i="1"/>
  <c r="D479" i="1"/>
  <c r="B480" i="1"/>
  <c r="C480" i="1"/>
  <c r="D480" i="1"/>
  <c r="B481" i="1"/>
  <c r="C481" i="1"/>
  <c r="D481" i="1"/>
  <c r="B482" i="1"/>
  <c r="C482" i="1"/>
  <c r="D482" i="1"/>
  <c r="B483" i="1"/>
  <c r="C483" i="1"/>
  <c r="D483" i="1"/>
  <c r="B484" i="1"/>
  <c r="C484" i="1"/>
  <c r="D484" i="1"/>
  <c r="B485" i="1"/>
  <c r="C485" i="1"/>
  <c r="D485" i="1"/>
  <c r="B486" i="1"/>
  <c r="C486" i="1"/>
  <c r="D486" i="1"/>
  <c r="B487" i="1"/>
  <c r="C487" i="1"/>
  <c r="D487" i="1"/>
  <c r="B488" i="1"/>
  <c r="C488" i="1"/>
  <c r="D488" i="1"/>
  <c r="B489" i="1"/>
  <c r="C489" i="1"/>
  <c r="D489" i="1"/>
  <c r="B490" i="1"/>
  <c r="C490" i="1"/>
  <c r="D490" i="1"/>
  <c r="B491" i="1"/>
  <c r="C491" i="1"/>
  <c r="D491" i="1"/>
  <c r="B492" i="1"/>
  <c r="C492" i="1"/>
  <c r="D492" i="1"/>
  <c r="B493" i="1"/>
  <c r="C493" i="1"/>
  <c r="D493" i="1"/>
  <c r="B494" i="1"/>
  <c r="C494" i="1"/>
  <c r="D494" i="1"/>
  <c r="B495" i="1"/>
  <c r="C495" i="1"/>
  <c r="D495" i="1"/>
  <c r="B496" i="1"/>
  <c r="C496" i="1"/>
  <c r="D496" i="1"/>
  <c r="B497" i="1"/>
  <c r="C497" i="1"/>
  <c r="D497" i="1"/>
  <c r="B498" i="1"/>
  <c r="C498" i="1"/>
  <c r="D498" i="1"/>
  <c r="B499" i="1"/>
  <c r="C499" i="1"/>
  <c r="D499" i="1"/>
  <c r="B500" i="1"/>
  <c r="C500" i="1"/>
  <c r="D500" i="1"/>
  <c r="B501" i="1"/>
  <c r="C501" i="1"/>
  <c r="D501" i="1"/>
  <c r="B502" i="1"/>
  <c r="C502" i="1"/>
  <c r="D502" i="1"/>
  <c r="B503" i="1"/>
  <c r="C503" i="1"/>
  <c r="D503" i="1"/>
  <c r="B504" i="1"/>
  <c r="C504" i="1"/>
  <c r="D504" i="1"/>
  <c r="E504" i="1"/>
  <c r="B505" i="1"/>
  <c r="C505" i="1"/>
  <c r="D505" i="1"/>
  <c r="E505" i="1"/>
  <c r="B506" i="1"/>
  <c r="C506" i="1"/>
  <c r="D506" i="1"/>
  <c r="E506" i="1"/>
  <c r="E507" i="1" s="1"/>
  <c r="E508" i="1" s="1"/>
  <c r="B507" i="1"/>
  <c r="C507" i="1"/>
  <c r="D507" i="1"/>
  <c r="B508" i="1"/>
  <c r="C508" i="1"/>
  <c r="D508" i="1"/>
  <c r="B509" i="1"/>
  <c r="C509" i="1"/>
  <c r="D509" i="1"/>
  <c r="B510" i="1"/>
  <c r="C510" i="1"/>
  <c r="D510" i="1"/>
  <c r="B511" i="1"/>
  <c r="C511" i="1"/>
  <c r="D511" i="1"/>
  <c r="B512" i="1"/>
  <c r="C512" i="1"/>
  <c r="D512" i="1"/>
  <c r="B513" i="1"/>
  <c r="C513" i="1"/>
  <c r="D513" i="1"/>
  <c r="B514" i="1"/>
  <c r="C514" i="1"/>
  <c r="D514" i="1"/>
  <c r="B515" i="1"/>
  <c r="C515" i="1"/>
  <c r="D515" i="1"/>
  <c r="B516" i="1"/>
  <c r="C516" i="1"/>
  <c r="D516" i="1"/>
  <c r="B517" i="1"/>
  <c r="C517" i="1"/>
  <c r="D517" i="1"/>
  <c r="B518" i="1"/>
  <c r="C518" i="1"/>
  <c r="D518" i="1"/>
  <c r="B519" i="1"/>
  <c r="C519" i="1"/>
  <c r="D519" i="1"/>
  <c r="B520" i="1"/>
  <c r="C520" i="1"/>
  <c r="D520" i="1"/>
  <c r="B521" i="1"/>
  <c r="C521" i="1"/>
  <c r="D521" i="1"/>
  <c r="B522" i="1"/>
  <c r="C522" i="1"/>
  <c r="D522" i="1"/>
  <c r="B523" i="1"/>
  <c r="C523" i="1"/>
  <c r="D523" i="1"/>
  <c r="B524" i="1"/>
  <c r="C524" i="1"/>
  <c r="D524" i="1"/>
  <c r="B525" i="1"/>
  <c r="C525" i="1"/>
  <c r="D525" i="1"/>
  <c r="B526" i="1"/>
  <c r="C526" i="1"/>
  <c r="D526" i="1"/>
  <c r="B527" i="1"/>
  <c r="C527" i="1"/>
  <c r="D527" i="1"/>
  <c r="B528" i="1"/>
  <c r="C528" i="1"/>
  <c r="D528" i="1"/>
  <c r="B529" i="1"/>
  <c r="C529" i="1"/>
  <c r="D529" i="1"/>
  <c r="B530" i="1"/>
  <c r="C530" i="1"/>
  <c r="D530" i="1"/>
  <c r="B531" i="1"/>
  <c r="C531" i="1"/>
  <c r="D531" i="1"/>
  <c r="B532" i="1"/>
  <c r="C532" i="1"/>
  <c r="D532" i="1"/>
  <c r="B533" i="1"/>
  <c r="C533" i="1"/>
  <c r="D533" i="1"/>
  <c r="B534" i="1"/>
  <c r="C534" i="1"/>
  <c r="D534" i="1"/>
  <c r="B535" i="1"/>
  <c r="C535" i="1"/>
  <c r="D535" i="1"/>
  <c r="B536" i="1"/>
  <c r="C536" i="1"/>
  <c r="D536" i="1"/>
  <c r="B537" i="1"/>
  <c r="C537" i="1"/>
  <c r="D537" i="1"/>
  <c r="B538" i="1"/>
  <c r="C538" i="1"/>
  <c r="D538" i="1"/>
  <c r="B539" i="1"/>
  <c r="C539" i="1"/>
  <c r="D539" i="1"/>
  <c r="B540" i="1"/>
  <c r="C540" i="1"/>
  <c r="D540" i="1"/>
  <c r="B541" i="1"/>
  <c r="C541" i="1"/>
  <c r="D541" i="1"/>
  <c r="B542" i="1"/>
  <c r="C542" i="1"/>
  <c r="D542" i="1"/>
  <c r="B543" i="1"/>
  <c r="C543" i="1"/>
  <c r="D543" i="1"/>
  <c r="B544" i="1"/>
  <c r="C544" i="1"/>
  <c r="D544" i="1"/>
  <c r="B545" i="1"/>
  <c r="C545" i="1"/>
  <c r="D545" i="1"/>
  <c r="B546" i="1"/>
  <c r="C546" i="1"/>
  <c r="D546" i="1"/>
  <c r="B547" i="1"/>
  <c r="C547" i="1"/>
  <c r="D547" i="1"/>
  <c r="B548" i="1"/>
  <c r="C548" i="1"/>
  <c r="D548" i="1"/>
  <c r="B549" i="1"/>
  <c r="C549" i="1"/>
  <c r="D549" i="1"/>
  <c r="B550" i="1"/>
  <c r="C550" i="1"/>
  <c r="D550" i="1"/>
  <c r="B551" i="1"/>
  <c r="C551" i="1"/>
  <c r="D551" i="1"/>
  <c r="B552" i="1"/>
  <c r="C552" i="1"/>
  <c r="D552" i="1"/>
  <c r="B553" i="1"/>
  <c r="C553" i="1"/>
  <c r="D553" i="1"/>
  <c r="B554" i="1"/>
  <c r="C554" i="1"/>
  <c r="D554" i="1"/>
  <c r="B555" i="1"/>
  <c r="C555" i="1"/>
  <c r="D555" i="1"/>
  <c r="B556" i="1"/>
  <c r="C556" i="1"/>
  <c r="D556" i="1"/>
  <c r="E556" i="1"/>
  <c r="E557" i="1" s="1"/>
  <c r="E558" i="1" s="1"/>
  <c r="E559" i="1" s="1"/>
  <c r="E560" i="1" s="1"/>
  <c r="E561" i="1" s="1"/>
  <c r="B557" i="1"/>
  <c r="C557" i="1"/>
  <c r="A557" i="1" s="1"/>
  <c r="D557" i="1"/>
  <c r="B558" i="1"/>
  <c r="C558" i="1"/>
  <c r="D558" i="1"/>
  <c r="B559" i="1"/>
  <c r="C559" i="1"/>
  <c r="D559" i="1"/>
  <c r="B560" i="1"/>
  <c r="C560" i="1"/>
  <c r="D560" i="1"/>
  <c r="B561" i="1"/>
  <c r="C561" i="1"/>
  <c r="D561" i="1"/>
  <c r="B562" i="1"/>
  <c r="C562" i="1"/>
  <c r="D562" i="1"/>
  <c r="E562" i="1"/>
  <c r="E563" i="1" s="1"/>
  <c r="B563" i="1"/>
  <c r="C563" i="1"/>
  <c r="D563" i="1"/>
  <c r="B564" i="1"/>
  <c r="C564" i="1"/>
  <c r="D564" i="1"/>
  <c r="E564" i="1"/>
  <c r="B565" i="1"/>
  <c r="C565" i="1"/>
  <c r="D565" i="1"/>
  <c r="E565" i="1"/>
  <c r="B566" i="1"/>
  <c r="C566" i="1"/>
  <c r="D566" i="1"/>
  <c r="E566" i="1"/>
  <c r="B567" i="1"/>
  <c r="C567" i="1"/>
  <c r="D567" i="1"/>
  <c r="E567" i="1"/>
  <c r="B568" i="1"/>
  <c r="C568" i="1"/>
  <c r="D568" i="1"/>
  <c r="E568" i="1"/>
  <c r="B569" i="1"/>
  <c r="C569" i="1"/>
  <c r="D569" i="1"/>
  <c r="E569" i="1"/>
  <c r="B35" i="3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04" i="4"/>
  <c r="C12" i="3"/>
  <c r="B4" i="2"/>
  <c r="B5" i="2"/>
  <c r="A384" i="1" l="1"/>
  <c r="A303" i="1"/>
  <c r="A269" i="1"/>
  <c r="A196" i="1"/>
  <c r="A51" i="1"/>
  <c r="A18" i="1"/>
  <c r="A567" i="1"/>
  <c r="A505" i="1"/>
  <c r="A29" i="1"/>
  <c r="A469" i="1"/>
  <c r="A413" i="1"/>
  <c r="A407" i="1"/>
  <c r="A404" i="1"/>
  <c r="A401" i="1"/>
  <c r="A329" i="1"/>
  <c r="A262" i="1"/>
  <c r="A160" i="1"/>
  <c r="A374" i="1"/>
  <c r="A258" i="1"/>
  <c r="A163" i="1"/>
  <c r="A566" i="1"/>
  <c r="A556" i="1"/>
  <c r="A365" i="1"/>
  <c r="A234" i="1"/>
  <c r="A569" i="1"/>
  <c r="A412" i="1"/>
  <c r="A400" i="1"/>
  <c r="A328" i="1"/>
  <c r="A227" i="1"/>
  <c r="A220" i="1"/>
  <c r="A111" i="1"/>
  <c r="A108" i="1"/>
  <c r="A57" i="1"/>
  <c r="A4" i="1"/>
  <c r="A461" i="1"/>
  <c r="A388" i="1"/>
  <c r="A298" i="1"/>
  <c r="A270" i="1"/>
  <c r="A27" i="1"/>
  <c r="A219" i="1"/>
  <c r="A151" i="1"/>
  <c r="A138" i="1"/>
  <c r="A506" i="1"/>
  <c r="A450" i="1"/>
  <c r="A402" i="1"/>
  <c r="A110" i="1"/>
  <c r="A326" i="1"/>
  <c r="A222" i="1"/>
  <c r="A161" i="1"/>
  <c r="A113" i="1"/>
  <c r="A26" i="1"/>
  <c r="A22" i="1"/>
  <c r="A463" i="1"/>
  <c r="A395" i="1"/>
  <c r="A392" i="1"/>
  <c r="A366" i="1"/>
  <c r="A320" i="1"/>
  <c r="A313" i="1"/>
  <c r="A301" i="1"/>
  <c r="A267" i="1"/>
  <c r="A164" i="1"/>
  <c r="A145" i="1"/>
  <c r="A25" i="1"/>
  <c r="A15" i="1"/>
  <c r="A470" i="1"/>
  <c r="A453" i="1"/>
  <c r="A421" i="1"/>
  <c r="A414" i="1"/>
  <c r="A409" i="1"/>
  <c r="A386" i="1"/>
  <c r="A372" i="1"/>
  <c r="A369" i="1"/>
  <c r="A363" i="1"/>
  <c r="A349" i="1"/>
  <c r="A247" i="1"/>
  <c r="A224" i="1"/>
  <c r="A198" i="1"/>
  <c r="A150" i="1"/>
  <c r="A135" i="1"/>
  <c r="A129" i="1"/>
  <c r="A123" i="1"/>
  <c r="A120" i="1"/>
  <c r="A102" i="1"/>
  <c r="A21" i="1"/>
  <c r="A391" i="1"/>
  <c r="A383" i="1"/>
  <c r="A380" i="1"/>
  <c r="A360" i="1"/>
  <c r="A357" i="1"/>
  <c r="A319" i="1"/>
  <c r="A300" i="1"/>
  <c r="A147" i="1"/>
  <c r="A28" i="1"/>
  <c r="A24" i="1"/>
  <c r="A394" i="1"/>
  <c r="A75" i="1"/>
  <c r="A462" i="1"/>
  <c r="A432" i="1"/>
  <c r="A420" i="1"/>
  <c r="A397" i="1"/>
  <c r="A452" i="1"/>
  <c r="A408" i="1"/>
  <c r="A405" i="1"/>
  <c r="A371" i="1"/>
  <c r="A368" i="1"/>
  <c r="A362" i="1"/>
  <c r="A348" i="1"/>
  <c r="A332" i="1"/>
  <c r="A246" i="1"/>
  <c r="A156" i="1"/>
  <c r="A128" i="1"/>
  <c r="A119" i="1"/>
  <c r="A116" i="1"/>
  <c r="A63" i="1"/>
  <c r="A564" i="1"/>
  <c r="A458" i="1"/>
  <c r="A455" i="1"/>
  <c r="A447" i="1"/>
  <c r="A434" i="1"/>
  <c r="A416" i="1"/>
  <c r="A379" i="1"/>
  <c r="A314" i="1"/>
  <c r="A226" i="1"/>
  <c r="A131" i="1"/>
  <c r="A107" i="1"/>
  <c r="A104" i="1"/>
  <c r="A42" i="1"/>
  <c r="A23" i="1"/>
  <c r="A13" i="1"/>
  <c r="A419" i="1"/>
  <c r="A410" i="1"/>
  <c r="A390" i="1"/>
  <c r="A385" i="1"/>
  <c r="A382" i="1"/>
  <c r="A359" i="1"/>
  <c r="A356" i="1"/>
  <c r="A350" i="1"/>
  <c r="A331" i="1"/>
  <c r="A302" i="1"/>
  <c r="A299" i="1"/>
  <c r="A207" i="1"/>
  <c r="A152" i="1"/>
  <c r="A139" i="1"/>
  <c r="A127" i="1"/>
  <c r="A451" i="1"/>
  <c r="A422" i="1"/>
  <c r="A367" i="1"/>
  <c r="A568" i="1"/>
  <c r="A562" i="1"/>
  <c r="A504" i="1"/>
  <c r="A118" i="1"/>
  <c r="A109" i="1"/>
  <c r="A103" i="1"/>
  <c r="A464" i="1"/>
  <c r="A457" i="1"/>
  <c r="A418" i="1"/>
  <c r="A398" i="1"/>
  <c r="A378" i="1"/>
  <c r="A355" i="1"/>
  <c r="A324" i="1"/>
  <c r="A255" i="1"/>
  <c r="A225" i="1"/>
  <c r="A133" i="1"/>
  <c r="A121" i="1"/>
  <c r="A87" i="1"/>
  <c r="E173" i="1"/>
  <c r="A172" i="1"/>
  <c r="E281" i="1"/>
  <c r="A280" i="1"/>
  <c r="E341" i="1"/>
  <c r="A340" i="1"/>
  <c r="A459" i="1"/>
  <c r="E460" i="1"/>
  <c r="A460" i="1" s="1"/>
  <c r="A442" i="1"/>
  <c r="A417" i="1"/>
  <c r="A327" i="1"/>
  <c r="A260" i="1"/>
  <c r="A230" i="1"/>
  <c r="A217" i="1"/>
  <c r="A134" i="1"/>
  <c r="A122" i="1"/>
  <c r="A86" i="1"/>
  <c r="A65" i="1"/>
  <c r="A61" i="1"/>
  <c r="A276" i="1"/>
  <c r="A213" i="1"/>
  <c r="A563" i="1"/>
  <c r="A560" i="1"/>
  <c r="A465" i="1"/>
  <c r="A337" i="1"/>
  <c r="A323" i="1"/>
  <c r="A279" i="1"/>
  <c r="A272" i="1"/>
  <c r="A259" i="1"/>
  <c r="A243" i="1"/>
  <c r="A209" i="1"/>
  <c r="A169" i="1"/>
  <c r="A155" i="1"/>
  <c r="A43" i="1"/>
  <c r="A216" i="1"/>
  <c r="A165" i="1"/>
  <c r="A130" i="1"/>
  <c r="E79" i="1"/>
  <c r="E80" i="1" s="1"/>
  <c r="E81" i="1" s="1"/>
  <c r="E82" i="1" s="1"/>
  <c r="E83" i="1" s="1"/>
  <c r="E84" i="1" s="1"/>
  <c r="A78" i="1"/>
  <c r="A445" i="1"/>
  <c r="A468" i="1"/>
  <c r="A454" i="1"/>
  <c r="A441" i="1"/>
  <c r="A315" i="1"/>
  <c r="A275" i="1"/>
  <c r="A271" i="1"/>
  <c r="A212" i="1"/>
  <c r="A71" i="1"/>
  <c r="A67" i="1"/>
  <c r="E67" i="1"/>
  <c r="E68" i="1" s="1"/>
  <c r="E69" i="1" s="1"/>
  <c r="E70" i="1" s="1"/>
  <c r="E71" i="1" s="1"/>
  <c r="E72" i="1" s="1"/>
  <c r="E73" i="1" s="1"/>
  <c r="A66" i="1"/>
  <c r="A14" i="1"/>
  <c r="A336" i="1"/>
  <c r="A322" i="1"/>
  <c r="A249" i="1"/>
  <c r="A235" i="1"/>
  <c r="A194" i="1"/>
  <c r="A168" i="1"/>
  <c r="A158" i="1"/>
  <c r="A154" i="1"/>
  <c r="A81" i="1"/>
  <c r="A444" i="1"/>
  <c r="A393" i="1"/>
  <c r="A215" i="1"/>
  <c r="A339" i="1"/>
  <c r="A565" i="1"/>
  <c r="A558" i="1"/>
  <c r="A467" i="1"/>
  <c r="E317" i="1"/>
  <c r="A316" i="1"/>
  <c r="A278" i="1"/>
  <c r="A274" i="1"/>
  <c r="A242" i="1"/>
  <c r="A238" i="1"/>
  <c r="A171" i="1"/>
  <c r="A117" i="1"/>
  <c r="A84" i="1"/>
  <c r="A70" i="1"/>
  <c r="A335" i="1"/>
  <c r="A325" i="1"/>
  <c r="E305" i="1"/>
  <c r="A304" i="1"/>
  <c r="A167" i="1"/>
  <c r="A157" i="1"/>
  <c r="A105" i="1"/>
  <c r="A80" i="1"/>
  <c r="A55" i="1"/>
  <c r="E55" i="1"/>
  <c r="E56" i="1" s="1"/>
  <c r="A56" i="1" s="1"/>
  <c r="A54" i="1"/>
  <c r="A19" i="1"/>
  <c r="A435" i="1"/>
  <c r="E436" i="1"/>
  <c r="A333" i="1"/>
  <c r="A507" i="1"/>
  <c r="A443" i="1"/>
  <c r="A423" i="1"/>
  <c r="E424" i="1"/>
  <c r="A381" i="1"/>
  <c r="A338" i="1"/>
  <c r="A321" i="1"/>
  <c r="A264" i="1"/>
  <c r="A261" i="1"/>
  <c r="E233" i="1"/>
  <c r="A233" i="1" s="1"/>
  <c r="A232" i="1"/>
  <c r="A221" i="1"/>
  <c r="A218" i="1"/>
  <c r="A214" i="1"/>
  <c r="A210" i="1"/>
  <c r="A153" i="1"/>
  <c r="E89" i="1"/>
  <c r="A88" i="1"/>
  <c r="A62" i="1"/>
  <c r="A561" i="1"/>
  <c r="A466" i="1"/>
  <c r="A456" i="1"/>
  <c r="A446" i="1"/>
  <c r="A277" i="1"/>
  <c r="A251" i="1"/>
  <c r="A241" i="1"/>
  <c r="A203" i="1"/>
  <c r="A83" i="1"/>
  <c r="A79" i="1"/>
  <c r="A73" i="1"/>
  <c r="A9" i="1"/>
  <c r="A559" i="1"/>
  <c r="E509" i="1"/>
  <c r="A508" i="1"/>
  <c r="A471" i="1"/>
  <c r="E472" i="1"/>
  <c r="A334" i="1"/>
  <c r="A273" i="1"/>
  <c r="A170" i="1"/>
  <c r="A166" i="1"/>
  <c r="A69" i="1"/>
  <c r="E31" i="1"/>
  <c r="E32" i="1" s="1"/>
  <c r="E33" i="1" s="1"/>
  <c r="E34" i="1" s="1"/>
  <c r="E35" i="1" s="1"/>
  <c r="E36" i="1" s="1"/>
  <c r="E37" i="1" s="1"/>
  <c r="E38" i="1" s="1"/>
  <c r="E39" i="1" s="1"/>
  <c r="A39" i="1" s="1"/>
  <c r="A30" i="1"/>
  <c r="C14" i="3"/>
  <c r="C13" i="3"/>
  <c r="B6" i="2"/>
  <c r="B3" i="2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C32" i="5"/>
  <c r="E31" i="5"/>
  <c r="D31" i="5"/>
  <c r="E30" i="5"/>
  <c r="D30" i="5"/>
  <c r="C30" i="5"/>
  <c r="E29" i="5"/>
  <c r="D29" i="5"/>
  <c r="E28" i="5"/>
  <c r="D28" i="5"/>
  <c r="C28" i="5"/>
  <c r="E27" i="5"/>
  <c r="D27" i="5"/>
  <c r="E26" i="5"/>
  <c r="D26" i="5"/>
  <c r="C26" i="5"/>
  <c r="E25" i="5"/>
  <c r="D25" i="5"/>
  <c r="C25" i="5"/>
  <c r="E24" i="5"/>
  <c r="D24" i="5"/>
  <c r="C24" i="5"/>
  <c r="E23" i="5"/>
  <c r="D23" i="5"/>
  <c r="C23" i="5"/>
  <c r="E22" i="5"/>
  <c r="D22" i="5"/>
  <c r="C22" i="5"/>
  <c r="E21" i="5"/>
  <c r="D21" i="5"/>
  <c r="C21" i="5"/>
  <c r="E20" i="5"/>
  <c r="D20" i="5"/>
  <c r="C20" i="5"/>
  <c r="E19" i="5"/>
  <c r="D19" i="5"/>
  <c r="C19" i="5"/>
  <c r="E18" i="5"/>
  <c r="D18" i="5"/>
  <c r="C18" i="5"/>
  <c r="E17" i="5"/>
  <c r="D17" i="5"/>
  <c r="C17" i="5"/>
  <c r="E16" i="5"/>
  <c r="D16" i="5"/>
  <c r="C16" i="5"/>
  <c r="E15" i="5"/>
  <c r="D15" i="5"/>
  <c r="C15" i="5"/>
  <c r="E14" i="5"/>
  <c r="D14" i="5"/>
  <c r="C14" i="5"/>
  <c r="E13" i="5"/>
  <c r="D13" i="5"/>
  <c r="C13" i="5"/>
  <c r="B13" i="5"/>
  <c r="E12" i="5"/>
  <c r="D12" i="5"/>
  <c r="C12" i="5"/>
  <c r="B12" i="5"/>
  <c r="E11" i="5"/>
  <c r="D11" i="5"/>
  <c r="C11" i="5"/>
  <c r="E10" i="5"/>
  <c r="D10" i="5"/>
  <c r="C10" i="5"/>
  <c r="B10" i="5"/>
  <c r="E9" i="5"/>
  <c r="D9" i="5"/>
  <c r="E8" i="5"/>
  <c r="D8" i="5"/>
  <c r="E7" i="5"/>
  <c r="D7" i="5"/>
  <c r="E6" i="5"/>
  <c r="D6" i="5"/>
  <c r="E5" i="5"/>
  <c r="D5" i="5"/>
  <c r="E4" i="5"/>
  <c r="D4" i="5"/>
  <c r="C4" i="5"/>
  <c r="E3" i="5"/>
  <c r="D3" i="5"/>
  <c r="E2" i="5"/>
  <c r="D2" i="5"/>
  <c r="C2" i="5"/>
  <c r="E1" i="5"/>
  <c r="D1" i="5"/>
  <c r="C1" i="5"/>
  <c r="B1" i="5"/>
  <c r="A1" i="5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39" i="4"/>
  <c r="B34" i="3"/>
  <c r="B2" i="2"/>
  <c r="B5" i="5" s="1"/>
  <c r="E2" i="1"/>
  <c r="B38" i="4"/>
  <c r="B37" i="4"/>
  <c r="B36" i="4"/>
  <c r="D2" i="1"/>
  <c r="C2" i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" i="3"/>
  <c r="B4" i="3"/>
  <c r="B5" i="3"/>
  <c r="B6" i="3"/>
  <c r="C37" i="5" s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2" i="3"/>
  <c r="B8" i="2"/>
  <c r="B9" i="2"/>
  <c r="B7" i="2"/>
  <c r="B10" i="2"/>
  <c r="A82" i="1" l="1"/>
  <c r="A34" i="1"/>
  <c r="A35" i="1"/>
  <c r="A36" i="1"/>
  <c r="A38" i="1"/>
  <c r="A32" i="1"/>
  <c r="E473" i="1"/>
  <c r="A472" i="1"/>
  <c r="E425" i="1"/>
  <c r="A424" i="1"/>
  <c r="A68" i="1"/>
  <c r="A33" i="1"/>
  <c r="A37" i="1"/>
  <c r="E90" i="1"/>
  <c r="A89" i="1"/>
  <c r="E318" i="1"/>
  <c r="A318" i="1" s="1"/>
  <c r="A317" i="1"/>
  <c r="E342" i="1"/>
  <c r="A341" i="1"/>
  <c r="E510" i="1"/>
  <c r="A509" i="1"/>
  <c r="E437" i="1"/>
  <c r="A436" i="1"/>
  <c r="A31" i="1"/>
  <c r="E282" i="1"/>
  <c r="A281" i="1"/>
  <c r="E306" i="1"/>
  <c r="A305" i="1"/>
  <c r="A72" i="1"/>
  <c r="E174" i="1"/>
  <c r="A173" i="1"/>
  <c r="C36" i="5"/>
  <c r="C29" i="5"/>
  <c r="C33" i="5"/>
  <c r="C34" i="5"/>
  <c r="C38" i="5"/>
  <c r="C27" i="5"/>
  <c r="C31" i="5"/>
  <c r="C35" i="5"/>
  <c r="C3" i="5"/>
  <c r="B11" i="5"/>
  <c r="B14" i="5"/>
  <c r="B7" i="5"/>
  <c r="B16" i="5"/>
  <c r="B21" i="5"/>
  <c r="B9" i="5"/>
  <c r="B2" i="5"/>
  <c r="B22" i="5"/>
  <c r="B25" i="5"/>
  <c r="B28" i="5"/>
  <c r="B31" i="5"/>
  <c r="B34" i="5"/>
  <c r="B6" i="5"/>
  <c r="B19" i="5"/>
  <c r="B3" i="5"/>
  <c r="B17" i="5"/>
  <c r="B20" i="5"/>
  <c r="B23" i="5"/>
  <c r="B26" i="5"/>
  <c r="B29" i="5"/>
  <c r="B32" i="5"/>
  <c r="B35" i="5"/>
  <c r="B4" i="5"/>
  <c r="B24" i="5"/>
  <c r="B33" i="5"/>
  <c r="B15" i="5"/>
  <c r="B30" i="5"/>
  <c r="B18" i="5"/>
  <c r="B27" i="5"/>
  <c r="B36" i="5"/>
  <c r="B8" i="5"/>
  <c r="C7" i="5"/>
  <c r="C5" i="5"/>
  <c r="C8" i="5"/>
  <c r="C6" i="5"/>
  <c r="C9" i="5"/>
  <c r="B37" i="5"/>
  <c r="B38" i="5"/>
  <c r="A71" i="4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39" i="4"/>
  <c r="A40" i="4" s="1"/>
  <c r="A41" i="4" s="1"/>
  <c r="A42" i="4" s="1"/>
  <c r="A43" i="4" s="1"/>
  <c r="A44" i="4" s="1"/>
  <c r="A45" i="4" s="1"/>
  <c r="A46" i="4" s="1"/>
  <c r="A47" i="4" s="1"/>
  <c r="A3" i="5"/>
  <c r="B2" i="1"/>
  <c r="A2" i="5" s="1"/>
  <c r="E426" i="1" l="1"/>
  <c r="A425" i="1"/>
  <c r="E511" i="1"/>
  <c r="A510" i="1"/>
  <c r="E474" i="1"/>
  <c r="A473" i="1"/>
  <c r="E175" i="1"/>
  <c r="A174" i="1"/>
  <c r="E343" i="1"/>
  <c r="A342" i="1"/>
  <c r="E307" i="1"/>
  <c r="A306" i="1"/>
  <c r="E438" i="1"/>
  <c r="A437" i="1"/>
  <c r="E91" i="1"/>
  <c r="A90" i="1"/>
  <c r="E283" i="1"/>
  <c r="A282" i="1"/>
  <c r="A5" i="5"/>
  <c r="A105" i="4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8" i="5"/>
  <c r="A10" i="5"/>
  <c r="A4" i="5"/>
  <c r="A7" i="5"/>
  <c r="A6" i="5"/>
  <c r="A9" i="5"/>
  <c r="A56" i="4"/>
  <c r="A57" i="4" s="1"/>
  <c r="A58" i="4" s="1"/>
  <c r="A59" i="4" s="1"/>
  <c r="A60" i="4" s="1"/>
  <c r="A61" i="4" s="1"/>
  <c r="A62" i="4" s="1"/>
  <c r="A63" i="4" s="1"/>
  <c r="A48" i="4"/>
  <c r="A49" i="4" s="1"/>
  <c r="A50" i="4" s="1"/>
  <c r="A51" i="4" s="1"/>
  <c r="A52" i="4" s="1"/>
  <c r="A53" i="4" s="1"/>
  <c r="A54" i="4" s="1"/>
  <c r="A55" i="4" s="1"/>
  <c r="A64" i="4"/>
  <c r="A65" i="4" s="1"/>
  <c r="A66" i="4" s="1"/>
  <c r="A67" i="4" s="1"/>
  <c r="A68" i="4" s="1"/>
  <c r="A69" i="4" s="1"/>
  <c r="A70" i="4" s="1"/>
  <c r="E308" i="1" l="1"/>
  <c r="A307" i="1"/>
  <c r="E427" i="1"/>
  <c r="A426" i="1"/>
  <c r="E344" i="1"/>
  <c r="A343" i="1"/>
  <c r="E439" i="1"/>
  <c r="A439" i="1" s="1"/>
  <c r="A438" i="1"/>
  <c r="E176" i="1"/>
  <c r="A175" i="1"/>
  <c r="E284" i="1"/>
  <c r="A283" i="1"/>
  <c r="E475" i="1"/>
  <c r="A474" i="1"/>
  <c r="E92" i="1"/>
  <c r="A91" i="1"/>
  <c r="E512" i="1"/>
  <c r="A511" i="1"/>
  <c r="A120" i="4"/>
  <c r="A121" i="4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2" i="1"/>
  <c r="E285" i="1" l="1"/>
  <c r="A284" i="1"/>
  <c r="E177" i="1"/>
  <c r="A176" i="1"/>
  <c r="E476" i="1"/>
  <c r="A475" i="1"/>
  <c r="E513" i="1"/>
  <c r="A512" i="1"/>
  <c r="E345" i="1"/>
  <c r="A344" i="1"/>
  <c r="E93" i="1"/>
  <c r="A92" i="1"/>
  <c r="E428" i="1"/>
  <c r="A427" i="1"/>
  <c r="E309" i="1"/>
  <c r="A308" i="1"/>
  <c r="A11" i="5"/>
  <c r="E346" i="1" l="1"/>
  <c r="A345" i="1"/>
  <c r="E514" i="1"/>
  <c r="A513" i="1"/>
  <c r="E477" i="1"/>
  <c r="A476" i="1"/>
  <c r="E178" i="1"/>
  <c r="A177" i="1"/>
  <c r="E94" i="1"/>
  <c r="A93" i="1"/>
  <c r="E310" i="1"/>
  <c r="A309" i="1"/>
  <c r="E429" i="1"/>
  <c r="A428" i="1"/>
  <c r="E286" i="1"/>
  <c r="A285" i="1"/>
  <c r="A12" i="5"/>
  <c r="A14" i="5"/>
  <c r="E95" i="1" l="1"/>
  <c r="A94" i="1"/>
  <c r="E179" i="1"/>
  <c r="A178" i="1"/>
  <c r="E478" i="1"/>
  <c r="A477" i="1"/>
  <c r="E311" i="1"/>
  <c r="A310" i="1"/>
  <c r="E287" i="1"/>
  <c r="A286" i="1"/>
  <c r="E515" i="1"/>
  <c r="A514" i="1"/>
  <c r="E430" i="1"/>
  <c r="A429" i="1"/>
  <c r="E347" i="1"/>
  <c r="A347" i="1" s="1"/>
  <c r="A346" i="1"/>
  <c r="A13" i="5"/>
  <c r="E288" i="1" l="1"/>
  <c r="A287" i="1"/>
  <c r="E312" i="1"/>
  <c r="A312" i="1" s="1"/>
  <c r="A311" i="1"/>
  <c r="E479" i="1"/>
  <c r="A478" i="1"/>
  <c r="E516" i="1"/>
  <c r="A515" i="1"/>
  <c r="E180" i="1"/>
  <c r="A179" i="1"/>
  <c r="E431" i="1"/>
  <c r="A431" i="1" s="1"/>
  <c r="A430" i="1"/>
  <c r="E96" i="1"/>
  <c r="A95" i="1"/>
  <c r="A15" i="5"/>
  <c r="E517" i="1" l="1"/>
  <c r="A516" i="1"/>
  <c r="E480" i="1"/>
  <c r="A479" i="1"/>
  <c r="E181" i="1"/>
  <c r="A180" i="1"/>
  <c r="E97" i="1"/>
  <c r="A96" i="1"/>
  <c r="E289" i="1"/>
  <c r="A288" i="1"/>
  <c r="A16" i="5"/>
  <c r="E290" i="1" l="1"/>
  <c r="A289" i="1"/>
  <c r="E98" i="1"/>
  <c r="A97" i="1"/>
  <c r="E182" i="1"/>
  <c r="A181" i="1"/>
  <c r="E481" i="1"/>
  <c r="A480" i="1"/>
  <c r="E518" i="1"/>
  <c r="A517" i="1"/>
  <c r="A22" i="5"/>
  <c r="E519" i="1" l="1"/>
  <c r="A518" i="1"/>
  <c r="E99" i="1"/>
  <c r="A98" i="1"/>
  <c r="E482" i="1"/>
  <c r="A481" i="1"/>
  <c r="E183" i="1"/>
  <c r="A182" i="1"/>
  <c r="E291" i="1"/>
  <c r="A290" i="1"/>
  <c r="A23" i="5"/>
  <c r="E292" i="1" l="1"/>
  <c r="A291" i="1"/>
  <c r="E184" i="1"/>
  <c r="A183" i="1"/>
  <c r="E100" i="1"/>
  <c r="A99" i="1"/>
  <c r="E483" i="1"/>
  <c r="A482" i="1"/>
  <c r="A519" i="1"/>
  <c r="E520" i="1"/>
  <c r="A24" i="5"/>
  <c r="E521" i="1" l="1"/>
  <c r="A520" i="1"/>
  <c r="A483" i="1"/>
  <c r="E484" i="1"/>
  <c r="E185" i="1"/>
  <c r="A184" i="1"/>
  <c r="E101" i="1"/>
  <c r="A101" i="1" s="1"/>
  <c r="A100" i="1"/>
  <c r="E293" i="1"/>
  <c r="A292" i="1"/>
  <c r="A25" i="5"/>
  <c r="E294" i="1" l="1"/>
  <c r="A293" i="1"/>
  <c r="E186" i="1"/>
  <c r="A185" i="1"/>
  <c r="E485" i="1"/>
  <c r="A484" i="1"/>
  <c r="E522" i="1"/>
  <c r="A521" i="1"/>
  <c r="A26" i="5"/>
  <c r="E523" i="1" l="1"/>
  <c r="A522" i="1"/>
  <c r="E486" i="1"/>
  <c r="A485" i="1"/>
  <c r="E295" i="1"/>
  <c r="A294" i="1"/>
  <c r="E187" i="1"/>
  <c r="A186" i="1"/>
  <c r="A27" i="5"/>
  <c r="A19" i="5"/>
  <c r="E188" i="1" l="1"/>
  <c r="A187" i="1"/>
  <c r="E296" i="1"/>
  <c r="A295" i="1"/>
  <c r="E487" i="1"/>
  <c r="A486" i="1"/>
  <c r="E524" i="1"/>
  <c r="A523" i="1"/>
  <c r="A28" i="5"/>
  <c r="E525" i="1" l="1"/>
  <c r="A524" i="1"/>
  <c r="E488" i="1"/>
  <c r="A487" i="1"/>
  <c r="E297" i="1"/>
  <c r="A297" i="1" s="1"/>
  <c r="A296" i="1"/>
  <c r="E189" i="1"/>
  <c r="A189" i="1" s="1"/>
  <c r="A188" i="1"/>
  <c r="A17" i="5"/>
  <c r="A18" i="5"/>
  <c r="A29" i="5"/>
  <c r="E489" i="1" l="1"/>
  <c r="A488" i="1"/>
  <c r="E526" i="1"/>
  <c r="A525" i="1"/>
  <c r="A20" i="5"/>
  <c r="A21" i="5"/>
  <c r="E490" i="1" l="1"/>
  <c r="A489" i="1"/>
  <c r="E527" i="1"/>
  <c r="A526" i="1"/>
  <c r="A30" i="5"/>
  <c r="E491" i="1" l="1"/>
  <c r="A490" i="1"/>
  <c r="E528" i="1"/>
  <c r="A527" i="1"/>
  <c r="A31" i="5"/>
  <c r="E529" i="1" l="1"/>
  <c r="A528" i="1"/>
  <c r="E492" i="1"/>
  <c r="A491" i="1"/>
  <c r="A32" i="5"/>
  <c r="E493" i="1" l="1"/>
  <c r="A492" i="1"/>
  <c r="E530" i="1"/>
  <c r="A529" i="1"/>
  <c r="A33" i="5"/>
  <c r="E531" i="1" l="1"/>
  <c r="A530" i="1"/>
  <c r="E494" i="1"/>
  <c r="A493" i="1"/>
  <c r="A34" i="5"/>
  <c r="E495" i="1" l="1"/>
  <c r="A494" i="1"/>
  <c r="A531" i="1"/>
  <c r="E532" i="1"/>
  <c r="A35" i="5"/>
  <c r="E533" i="1" l="1"/>
  <c r="A532" i="1"/>
  <c r="A495" i="1"/>
  <c r="E496" i="1"/>
  <c r="A36" i="5"/>
  <c r="E497" i="1" l="1"/>
  <c r="A496" i="1"/>
  <c r="E534" i="1"/>
  <c r="A533" i="1"/>
  <c r="A37" i="5"/>
  <c r="E535" i="1" l="1"/>
  <c r="A534" i="1"/>
  <c r="E498" i="1"/>
  <c r="A497" i="1"/>
  <c r="A38" i="5"/>
  <c r="E499" i="1" l="1"/>
  <c r="A498" i="1"/>
  <c r="E536" i="1"/>
  <c r="A535" i="1"/>
  <c r="E537" i="1" l="1"/>
  <c r="A536" i="1"/>
  <c r="E500" i="1"/>
  <c r="A499" i="1"/>
  <c r="E501" i="1" l="1"/>
  <c r="A500" i="1"/>
  <c r="E538" i="1"/>
  <c r="A537" i="1"/>
  <c r="E539" i="1" l="1"/>
  <c r="A538" i="1"/>
  <c r="E502" i="1"/>
  <c r="A501" i="1"/>
  <c r="E503" i="1" l="1"/>
  <c r="A503" i="1" s="1"/>
  <c r="A502" i="1"/>
  <c r="E540" i="1"/>
  <c r="A539" i="1"/>
  <c r="E541" i="1" l="1"/>
  <c r="A540" i="1"/>
  <c r="E542" i="1" l="1"/>
  <c r="A541" i="1"/>
  <c r="E543" i="1" l="1"/>
  <c r="A542" i="1"/>
  <c r="E544" i="1" l="1"/>
  <c r="A543" i="1"/>
  <c r="E545" i="1" l="1"/>
  <c r="A544" i="1"/>
  <c r="E546" i="1" l="1"/>
  <c r="A545" i="1"/>
  <c r="E547" i="1" l="1"/>
  <c r="A546" i="1"/>
  <c r="E548" i="1" l="1"/>
  <c r="A547" i="1"/>
  <c r="E549" i="1" l="1"/>
  <c r="A548" i="1"/>
  <c r="E550" i="1" l="1"/>
  <c r="A549" i="1"/>
  <c r="E551" i="1" l="1"/>
  <c r="A550" i="1"/>
  <c r="E552" i="1" l="1"/>
  <c r="A551" i="1"/>
  <c r="E553" i="1" l="1"/>
  <c r="A552" i="1"/>
  <c r="E554" i="1" l="1"/>
  <c r="A553" i="1"/>
  <c r="E555" i="1" l="1"/>
  <c r="A555" i="1" s="1"/>
  <c r="A554" i="1"/>
</calcChain>
</file>

<file path=xl/sharedStrings.xml><?xml version="1.0" encoding="utf-8"?>
<sst xmlns="http://schemas.openxmlformats.org/spreadsheetml/2006/main" count="4494" uniqueCount="1807">
  <si>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</si>
  <si>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</si>
  <si>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</si>
  <si>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</si>
  <si>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</si>
  <si>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</si>
  <si>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</si>
  <si>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</si>
  <si>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</si>
  <si>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</si>
  <si>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</si>
  <si>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</si>
  <si>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</si>
  <si>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</si>
  <si>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</si>
  <si>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</si>
  <si>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</si>
  <si>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</si>
  <si>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</si>
  <si>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</si>
  <si>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</si>
  <si>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中华人民共和国中央人民政府</t>
  </si>
  <si>
    <t>http://www.gov.cn/govweb/xhtml/favicon.ico</t>
  </si>
  <si>
    <t>党政机关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</si>
  <si>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</si>
  <si>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</si>
  <si>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</si>
  <si>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</si>
  <si>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</si>
  <si>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</si>
  <si>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</si>
  <si>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</si>
  <si>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</si>
  <si>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</si>
  <si>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</si>
  <si>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</si>
  <si>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</si>
  <si>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</si>
  <si>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</si>
  <si>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</si>
  <si>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</si>
  <si>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</si>
  <si>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</si>
  <si>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</si>
  <si>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</si>
  <si>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</si>
  <si>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</si>
  <si>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</si>
  <si>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</si>
  <si>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</si>
  <si>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</si>
  <si>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</si>
  <si>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</si>
  <si>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</si>
  <si>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</si>
  <si>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</si>
  <si>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</si>
  <si>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</si>
  <si>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</si>
  <si>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</si>
  <si>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</si>
  <si>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</si>
  <si>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</si>
  <si>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</si>
  <si>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</si>
  <si>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</si>
  <si>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</si>
  <si>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</si>
  <si>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</si>
  <si>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</si>
  <si>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</si>
  <si>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</si>
  <si>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</si>
  <si>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</si>
  <si>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</si>
  <si>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</si>
  <si>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</si>
  <si>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</si>
  <si>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</si>
  <si>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</si>
  <si>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</si>
  <si>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</si>
  <si>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</si>
  <si>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</si>
  <si>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</si>
  <si>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</si>
  <si>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</si>
  <si>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</si>
  <si>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</si>
  <si>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</si>
  <si>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</si>
  <si>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</si>
  <si>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</si>
  <si>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</si>
  <si>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</si>
  <si>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</si>
  <si>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</si>
  <si>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</si>
  <si>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</si>
  <si>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</si>
  <si>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</si>
  <si>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</si>
  <si>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</si>
  <si>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</si>
  <si>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</si>
  <si>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</si>
  <si>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</si>
  <si>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</si>
  <si>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</si>
  <si>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</si>
  <si>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</si>
  <si>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</si>
  <si>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</si>
  <si>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</si>
  <si>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</si>
  <si>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</si>
  <si>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国务院国有资产监督管理委员会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</si>
  <si>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</si>
  <si>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</si>
  <si>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</si>
  <si>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</si>
  <si>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</si>
  <si>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</si>
  <si>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</si>
  <si>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</si>
  <si>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</si>
  <si>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</si>
  <si>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</si>
  <si>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</si>
  <si>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</si>
  <si>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</si>
  <si>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</si>
  <si>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</si>
  <si>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</si>
  <si>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</si>
  <si>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</si>
  <si>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</si>
  <si>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</si>
  <si>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</si>
  <si>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</si>
  <si>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</si>
  <si>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</si>
  <si>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</si>
  <si>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</si>
  <si>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</si>
  <si>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</si>
  <si>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</si>
  <si>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</si>
  <si>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</si>
  <si>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</si>
  <si>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</si>
  <si>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</si>
  <si>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</si>
  <si>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</si>
  <si>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</si>
  <si>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</si>
  <si>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</si>
  <si>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</si>
  <si>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</si>
  <si>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</si>
  <si>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</si>
  <si>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</si>
  <si>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</si>
  <si>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</si>
  <si>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</si>
  <si>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</si>
  <si>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</si>
  <si>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</si>
  <si>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</si>
  <si>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</si>
  <si>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</si>
  <si>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</si>
  <si>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</si>
  <si>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</si>
  <si>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</si>
  <si>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</si>
  <si>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</si>
  <si>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</si>
  <si>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</si>
  <si>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</si>
  <si>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</si>
  <si>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</si>
  <si>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</si>
  <si>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</si>
  <si>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</si>
  <si>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</si>
  <si>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</si>
  <si>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</si>
  <si>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</si>
  <si>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</si>
  <si>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</si>
  <si>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</si>
  <si>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</si>
  <si>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</si>
  <si>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</si>
  <si>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</si>
  <si>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</si>
  <si>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</si>
  <si>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</si>
  <si>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</si>
  <si>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</si>
  <si>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</si>
  <si>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</si>
  <si>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</si>
  <si>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</si>
  <si>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</si>
  <si>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</si>
  <si>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</si>
  <si>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</si>
  <si>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</si>
  <si>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</si>
  <si>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</si>
  <si>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</si>
  <si>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</si>
  <si>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</si>
  <si>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</si>
  <si>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</si>
  <si>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</si>
  <si>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</si>
  <si>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</si>
  <si>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</si>
  <si>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</si>
  <si>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</si>
  <si>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</si>
  <si>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</si>
  <si>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</si>
  <si>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</si>
  <si>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</si>
  <si>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</si>
  <si>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</si>
  <si>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</si>
  <si>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</si>
  <si>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</si>
  <si>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</si>
  <si>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</si>
  <si>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</si>
  <si>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</si>
  <si>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</si>
  <si>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</si>
  <si>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</si>
  <si>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</si>
  <si>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</si>
  <si>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</si>
  <si>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</si>
  <si>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</si>
  <si>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</si>
  <si>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</si>
  <si>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</si>
  <si>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</si>
  <si>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</si>
  <si>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</si>
  <si>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</si>
  <si>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</si>
  <si>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</si>
  <si>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</si>
  <si>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</si>
  <si>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</si>
  <si>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</si>
  <si>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</si>
  <si>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</si>
  <si>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</si>
  <si>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</si>
  <si>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</si>
  <si>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</si>
  <si>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</si>
  <si>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</si>
  <si>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</si>
  <si>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</si>
  <si>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中央人民政府驻香港特别行政区联络办公室</t>
  </si>
  <si>
    <t>http://www.locpg.hk/favicon.ico</t>
  </si>
  <si>
    <t>派出机构</t>
  </si>
  <si>
    <t>澳门中联办</t>
  </si>
  <si>
    <t>http://www.zlb.gov.cn/</t>
  </si>
  <si>
    <t>中央人民政府驻澳门特别行政区联络办公室</t>
  </si>
  <si>
    <t>中央驻港国家安全公署</t>
  </si>
  <si>
    <t>中央人民政府驻香港特别行政区维护国家安全公署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</si>
  <si>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</si>
  <si>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</si>
  <si>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</si>
  <si>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</si>
  <si>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</si>
  <si>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</si>
  <si>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</si>
  <si>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</si>
  <si>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</si>
  <si>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</si>
  <si>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</si>
  <si>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</si>
  <si>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</si>
  <si>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</si>
  <si>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</si>
  <si>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</si>
  <si>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</si>
  <si>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</si>
  <si>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</si>
  <si>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</si>
  <si>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</si>
  <si>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</si>
  <si>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</si>
  <si>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</si>
  <si>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</si>
  <si>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</si>
  <si>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</si>
  <si>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</si>
  <si>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</si>
  <si>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</si>
  <si>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</si>
  <si>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</si>
  <si>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</si>
  <si>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</si>
  <si>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</si>
  <si>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</si>
  <si>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</si>
  <si>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</si>
  <si>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</si>
  <si>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</si>
  <si>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</si>
  <si>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</si>
  <si>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</si>
  <si>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</si>
  <si>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</si>
  <si>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</si>
  <si>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</si>
  <si>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</si>
  <si>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</si>
  <si>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</si>
  <si>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</si>
  <si>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</si>
  <si>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</si>
  <si>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</si>
  <si>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</si>
  <si>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</si>
  <si>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</si>
  <si>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</si>
  <si>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</si>
  <si>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</si>
  <si>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</si>
  <si>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</si>
  <si>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</si>
  <si>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</si>
  <si>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</si>
  <si>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</si>
  <si>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</si>
  <si>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</si>
  <si>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</si>
  <si>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</si>
  <si>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</si>
  <si>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</si>
  <si>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</si>
  <si>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</si>
  <si>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</si>
  <si>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</si>
  <si>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</si>
  <si>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</si>
  <si>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</si>
  <si>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</si>
  <si>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</si>
  <si>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</si>
  <si>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</si>
  <si>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</si>
  <si>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</si>
  <si>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</si>
  <si>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</si>
  <si>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</si>
  <si>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</si>
  <si>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</si>
  <si>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</si>
  <si>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</si>
  <si>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</si>
  <si>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</si>
  <si>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</si>
  <si>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</si>
  <si>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</si>
  <si>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</si>
  <si>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</si>
  <si>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</si>
  <si>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</si>
  <si>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</si>
  <si>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</si>
  <si>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</si>
  <si>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</si>
  <si>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</si>
  <si>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</si>
  <si>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</si>
  <si>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</si>
  <si>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</si>
  <si>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</si>
  <si>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</si>
  <si>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</si>
  <si>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</si>
  <si>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</si>
  <si>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</si>
  <si>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</si>
  <si>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</si>
  <si>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</si>
  <si>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</si>
  <si>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</si>
  <si>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</si>
  <si>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</si>
  <si>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</si>
  <si>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</si>
  <si>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</si>
  <si>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</si>
  <si>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</si>
  <si>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</si>
  <si>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</si>
  <si>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</si>
  <si>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</si>
  <si>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</si>
  <si>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</si>
  <si>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</si>
  <si>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</si>
  <si>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</si>
  <si>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</si>
  <si>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</si>
  <si>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</si>
  <si>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</si>
  <si>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</si>
  <si>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</si>
  <si>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</si>
  <si>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</si>
  <si>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</si>
  <si>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</si>
  <si>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</si>
  <si>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</si>
  <si>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</si>
  <si>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</si>
  <si>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</si>
  <si>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</si>
  <si>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</si>
  <si>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</si>
  <si>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</si>
  <si>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</si>
  <si>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</si>
  <si>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</si>
  <si>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</si>
  <si>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</si>
  <si>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</si>
  <si>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</si>
  <si>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</si>
  <si>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</si>
  <si>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</si>
  <si>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</si>
  <si>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</si>
  <si>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</si>
  <si>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</si>
  <si>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</si>
  <si>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</si>
  <si>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</si>
  <si>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</si>
  <si>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</si>
  <si>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</si>
  <si>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</si>
  <si>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</si>
  <si>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</si>
  <si>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</si>
  <si>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</si>
  <si>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</si>
  <si>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</si>
  <si>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</si>
  <si>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</si>
  <si>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</si>
  <si>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</si>
  <si>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</si>
  <si>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</si>
  <si>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</si>
  <si>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</si>
  <si>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</si>
  <si>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</si>
  <si>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</si>
  <si>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</si>
  <si>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</si>
  <si>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</si>
  <si>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</si>
  <si>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</si>
  <si>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</si>
  <si>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</si>
  <si>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</si>
  <si>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</si>
  <si>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</si>
  <si>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</si>
  <si>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</si>
  <si>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</si>
  <si>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</si>
  <si>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</si>
  <si>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</si>
  <si>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</si>
  <si>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</si>
  <si>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</si>
  <si>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</si>
  <si>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</si>
  <si>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</si>
  <si>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</si>
  <si>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</si>
  <si>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</si>
  <si>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</si>
  <si>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</si>
  <si>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</si>
  <si>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</si>
  <si>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</si>
  <si>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</si>
  <si>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</si>
  <si>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</si>
  <si>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</si>
  <si>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</si>
  <si>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</si>
  <si>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</si>
  <si>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备案</t>
  </si>
  <si>
    <t>经营</t>
  </si>
  <si>
    <t>人民网</t>
  </si>
  <si>
    <t>http://www.people.com.cn/</t>
  </si>
  <si>
    <t>http://www.people.com.cn/favicon.ico</t>
  </si>
  <si>
    <t>中国网</t>
  </si>
  <si>
    <t>http://www.china.com.cn/index.shtml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</si>
  <si>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</si>
  <si>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</si>
  <si>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</si>
  <si>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</si>
  <si>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</si>
  <si>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</si>
  <si>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</si>
  <si>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</si>
  <si>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</si>
  <si>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</si>
  <si>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</si>
  <si>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</si>
  <si>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</si>
  <si>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</si>
  <si>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</si>
  <si>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</si>
  <si>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</si>
  <si>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</si>
  <si>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</si>
  <si>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</si>
  <si>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</si>
  <si>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</si>
  <si>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</si>
  <si>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</si>
  <si>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</si>
  <si>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</si>
  <si>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</si>
  <si>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</si>
  <si>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</si>
  <si>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</si>
  <si>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</si>
  <si>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</si>
  <si>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</si>
  <si>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</si>
  <si>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</si>
  <si>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</si>
  <si>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</si>
  <si>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</si>
  <si>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</si>
  <si>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</si>
  <si>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</si>
  <si>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</si>
  <si>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</si>
  <si>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</si>
  <si>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</si>
  <si>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</si>
  <si>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</si>
  <si>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</si>
  <si>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</si>
  <si>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</si>
  <si>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</si>
  <si>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</si>
  <si>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</si>
  <si>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</si>
  <si>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</si>
  <si>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</si>
  <si>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</si>
  <si>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</si>
  <si>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</si>
  <si>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</si>
  <si>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</si>
  <si>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</si>
  <si>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</si>
  <si>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</si>
  <si>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</si>
  <si>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</si>
  <si>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</si>
  <si>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</si>
  <si>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</si>
  <si>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</si>
  <si>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</si>
  <si>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</si>
  <si>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</si>
  <si>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</si>
  <si>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</si>
  <si>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</si>
  <si>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</si>
  <si>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</si>
  <si>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</si>
  <si>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</si>
  <si>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</si>
  <si>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</si>
  <si>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</si>
  <si>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</si>
  <si>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</si>
  <si>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</si>
  <si>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</si>
  <si>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</si>
  <si>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</si>
  <si>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</si>
  <si>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</si>
  <si>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</si>
  <si>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</si>
  <si>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</si>
  <si>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</si>
  <si>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</si>
  <si>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</si>
  <si>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</si>
  <si>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</si>
  <si>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</si>
  <si>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</si>
  <si>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</si>
  <si>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</si>
  <si>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</si>
  <si>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</si>
  <si>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YY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</si>
  <si>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</si>
  <si>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</si>
  <si>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</si>
  <si>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</si>
  <si>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</si>
  <si>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</si>
  <si>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</si>
  <si>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</si>
  <si>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搜狗直播</t>
  </si>
  <si>
    <t>http://show.sogou.com/</t>
  </si>
  <si>
    <t>战旗TV</t>
  </si>
  <si>
    <t>https://www.zhanqi.tv/</t>
  </si>
  <si>
    <t>龙珠直播</t>
  </si>
  <si>
    <t>http://longzhu.com/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</si>
  <si>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</si>
  <si>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</si>
  <si>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</si>
  <si>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</si>
  <si>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</si>
  <si>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</si>
  <si>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</si>
  <si>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</si>
  <si>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</si>
  <si>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</si>
  <si>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</si>
  <si>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</si>
  <si>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</si>
  <si>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</si>
  <si>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</si>
  <si>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</si>
  <si>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</si>
  <si>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</si>
  <si>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</si>
  <si>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</si>
  <si>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</si>
  <si>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</si>
  <si>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</si>
  <si>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</si>
  <si>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</si>
  <si>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</si>
  <si>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</si>
  <si>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</si>
  <si>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</si>
  <si>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</si>
  <si>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</si>
  <si>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</si>
  <si>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</si>
  <si>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</si>
  <si>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</si>
  <si>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</si>
  <si>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</si>
  <si>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</si>
  <si>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</si>
  <si>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</si>
  <si>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</si>
  <si>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</si>
  <si>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</si>
  <si>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</si>
  <si>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</si>
  <si>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</si>
  <si>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</si>
  <si>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</si>
  <si>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</si>
  <si>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</si>
  <si>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</si>
  <si>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</si>
  <si>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</si>
  <si>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</si>
  <si>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</si>
  <si>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</si>
  <si>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</si>
  <si>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</si>
  <si>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</si>
  <si>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</si>
  <si>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</si>
  <si>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</si>
  <si>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</si>
  <si>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</si>
  <si>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</si>
  <si>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</si>
  <si>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</si>
  <si>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</si>
  <si>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</si>
  <si>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</si>
  <si>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</si>
  <si>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</si>
  <si>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</si>
  <si>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</si>
  <si>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</si>
  <si>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</si>
  <si>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</si>
  <si>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</si>
  <si>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</si>
  <si>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</si>
  <si>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</si>
  <si>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</si>
  <si>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</si>
  <si>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</si>
  <si>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</si>
  <si>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</si>
  <si>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</si>
  <si>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</si>
  <si>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</si>
  <si>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</si>
  <si>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</si>
  <si>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</si>
  <si>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</si>
  <si>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</si>
  <si>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</si>
  <si>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</si>
  <si>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</si>
  <si>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</si>
  <si>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</si>
  <si>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</si>
  <si>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</si>
  <si>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</si>
  <si>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</si>
  <si>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</si>
  <si>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</si>
  <si>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</si>
  <si>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</si>
  <si>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</si>
  <si>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</si>
  <si>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</si>
  <si>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</si>
  <si>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</si>
  <si>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</si>
  <si>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</si>
  <si>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</si>
  <si>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</si>
  <si>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</si>
  <si>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</si>
  <si>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</si>
  <si>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</si>
  <si>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</si>
  <si>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</si>
  <si>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</si>
  <si>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</si>
  <si>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</si>
  <si>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</si>
  <si>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</si>
  <si>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</si>
  <si>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</si>
  <si>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</si>
  <si>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</si>
  <si>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</si>
  <si>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</si>
  <si>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</si>
  <si>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</si>
  <si>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</si>
  <si>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</si>
  <si>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</si>
  <si>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</si>
  <si>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</si>
  <si>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</si>
  <si>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</si>
  <si>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</si>
  <si>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</si>
  <si>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</si>
  <si>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</si>
  <si>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</si>
  <si>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</si>
  <si>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</si>
  <si>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</si>
  <si>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</si>
  <si>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</si>
  <si>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</si>
  <si>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</si>
  <si>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</si>
  <si>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</si>
  <si>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</si>
  <si>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</si>
  <si>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</si>
  <si>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</si>
  <si>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</si>
  <si>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</si>
  <si>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</si>
  <si>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</si>
  <si>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</si>
  <si>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</si>
  <si>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</si>
  <si>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</si>
  <si>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</si>
  <si>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</si>
  <si>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</si>
  <si>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</si>
  <si>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</si>
  <si>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</si>
  <si>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</si>
  <si>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</si>
  <si>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</si>
  <si>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</si>
  <si>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</si>
  <si>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</si>
  <si>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</si>
  <si>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</si>
  <si>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</si>
  <si>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</si>
  <si>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</si>
  <si>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</si>
  <si>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</si>
  <si>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</si>
  <si>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</si>
  <si>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</si>
  <si>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</si>
  <si>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</si>
  <si>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</si>
  <si>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</si>
  <si>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</si>
  <si>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</si>
  <si>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</si>
  <si>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</si>
  <si>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</si>
  <si>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</si>
  <si>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</si>
  <si>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</si>
  <si>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</si>
  <si>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</si>
  <si>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</si>
  <si>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</si>
  <si>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</si>
  <si>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</si>
  <si>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</si>
  <si>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</si>
  <si>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</si>
  <si>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</si>
  <si>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</si>
  <si>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</si>
  <si>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</si>
  <si>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</si>
  <si>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</si>
  <si>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</si>
  <si>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</si>
  <si>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</si>
  <si>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</si>
  <si>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</si>
  <si>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</si>
  <si>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</si>
  <si>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</si>
  <si>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</si>
  <si>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</si>
  <si>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</si>
  <si>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</si>
  <si>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</si>
  <si>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</si>
  <si>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</si>
  <si>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</si>
  <si>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</si>
  <si>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</si>
  <si>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</si>
  <si>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</si>
  <si>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</si>
  <si>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</si>
  <si>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</si>
  <si>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</si>
  <si>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</si>
  <si>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</si>
  <si>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</si>
  <si>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</si>
  <si>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</si>
  <si>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</si>
  <si>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</si>
  <si>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</si>
  <si>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</si>
  <si>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</si>
  <si>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</si>
  <si>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</si>
  <si>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</si>
  <si>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</si>
  <si>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</si>
  <si>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</si>
  <si>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</si>
  <si>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</si>
  <si>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</si>
  <si>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</si>
  <si>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</si>
  <si>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</si>
  <si>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</si>
  <si>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</si>
  <si>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</si>
  <si>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</si>
  <si>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</si>
  <si>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</si>
  <si>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</si>
  <si>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</si>
  <si>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</si>
  <si>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</si>
  <si>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</si>
  <si>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</si>
  <si>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</si>
  <si>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</si>
  <si>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</si>
  <si>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</si>
  <si>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</si>
  <si>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</si>
  <si>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</si>
  <si>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</si>
  <si>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</si>
  <si>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</si>
  <si>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</si>
  <si>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</si>
  <si>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</si>
  <si>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</si>
  <si>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</si>
  <si>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</si>
  <si>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</si>
  <si>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</si>
  <si>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</si>
  <si>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</si>
  <si>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</si>
  <si>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</si>
  <si>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</si>
  <si>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</si>
  <si>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</si>
  <si>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</si>
  <si>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</si>
  <si>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</si>
  <si>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</si>
  <si>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</si>
  <si>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</si>
  <si>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</si>
  <si>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</si>
  <si>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</si>
  <si>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</si>
  <si>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</si>
  <si>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</si>
  <si>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</si>
  <si>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</si>
  <si>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</si>
  <si>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</si>
  <si>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</si>
  <si>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</si>
  <si>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</si>
  <si>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</si>
  <si>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</si>
  <si>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</si>
  <si>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</si>
  <si>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</si>
  <si>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</si>
  <si>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</si>
  <si>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</si>
  <si>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</si>
  <si>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</si>
  <si>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</si>
  <si>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</si>
  <si>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</si>
  <si>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</si>
  <si>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</si>
  <si>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</si>
  <si>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</si>
  <si>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</si>
  <si>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</si>
  <si>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</si>
  <si>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</si>
  <si>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</si>
  <si>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</si>
  <si>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</si>
  <si>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</si>
  <si>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</si>
  <si>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</si>
  <si>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</si>
  <si>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</si>
  <si>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</si>
  <si>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</si>
  <si>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</si>
  <si>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</si>
  <si>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</si>
  <si>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</si>
  <si>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</si>
  <si>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</si>
  <si>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</si>
  <si>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</si>
  <si>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</si>
  <si>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</si>
  <si>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</si>
  <si>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</si>
  <si>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</si>
  <si>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</si>
  <si>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</si>
  <si>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</si>
  <si>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</si>
  <si>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</si>
  <si>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</si>
  <si>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</si>
  <si>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</si>
  <si>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</si>
  <si>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</si>
  <si>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</si>
  <si>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</si>
  <si>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</si>
  <si>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</si>
  <si>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</si>
  <si>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</si>
  <si>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</si>
  <si>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</si>
  <si>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</si>
  <si>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</si>
  <si>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</si>
  <si>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</si>
  <si>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</si>
  <si>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</si>
  <si>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</si>
  <si>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</si>
  <si>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</si>
  <si>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</si>
  <si>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</si>
  <si>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</si>
  <si>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</si>
  <si>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</si>
  <si>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</si>
  <si>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</si>
  <si>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</si>
  <si>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</si>
  <si>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</si>
  <si>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</si>
  <si>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</si>
  <si>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</si>
  <si>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</si>
  <si>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</si>
  <si>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</si>
  <si>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</si>
  <si>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</si>
  <si>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</si>
  <si>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</si>
  <si>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</si>
  <si>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</si>
  <si>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</si>
  <si>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</si>
  <si>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</si>
  <si>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</si>
  <si>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</si>
  <si>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</si>
  <si>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</si>
  <si>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</si>
  <si>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</si>
  <si>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</si>
  <si>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</si>
  <si>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</si>
  <si>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</si>
  <si>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</si>
  <si>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</si>
  <si>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</si>
  <si>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</si>
  <si>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</si>
  <si>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</si>
  <si>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</si>
  <si>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</si>
  <si>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</si>
  <si>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</si>
  <si>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</si>
  <si>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</si>
  <si>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</si>
  <si>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</si>
  <si>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</si>
  <si>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</si>
  <si>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</si>
  <si>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</si>
  <si>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</si>
  <si>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</si>
  <si>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</si>
  <si>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</si>
  <si>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</si>
  <si>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</si>
  <si>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</si>
  <si>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</si>
  <si>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</si>
  <si>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</si>
  <si>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</si>
  <si>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</si>
  <si>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</si>
  <si>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</si>
  <si>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</si>
  <si>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</si>
  <si>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</si>
  <si>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</si>
  <si>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</si>
  <si>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</si>
  <si>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</si>
  <si>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</si>
  <si>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</si>
  <si>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</si>
  <si>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</si>
  <si>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</si>
  <si>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</si>
  <si>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</si>
  <si>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</si>
  <si>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</si>
  <si>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</si>
  <si>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</si>
  <si>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</si>
  <si>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</si>
  <si>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</si>
  <si>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</si>
  <si>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</si>
  <si>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</si>
  <si>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</si>
  <si>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</si>
  <si>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</si>
  <si>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</si>
  <si>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</si>
  <si>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</si>
  <si>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</si>
  <si>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</si>
  <si>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</si>
  <si>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</si>
  <si>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</si>
  <si>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</si>
  <si>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</si>
  <si>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</si>
  <si>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</si>
  <si>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</si>
  <si>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</si>
  <si>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</si>
  <si>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</si>
  <si>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</si>
  <si>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</si>
  <si>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</si>
  <si>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</si>
  <si>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</si>
  <si>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</si>
  <si>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</si>
  <si>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</si>
  <si>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</si>
  <si>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</si>
  <si>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</si>
  <si>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</si>
  <si>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</si>
  <si>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</si>
  <si>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</si>
  <si>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</si>
  <si>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</si>
  <si>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</si>
  <si>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</si>
  <si>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</si>
  <si>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</si>
  <si>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</si>
  <si>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</si>
  <si>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</si>
  <si>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</si>
  <si>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</si>
  <si>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</si>
  <si>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</si>
  <si>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</si>
  <si>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</si>
  <si>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</si>
  <si>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</si>
  <si>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</si>
  <si>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</si>
  <si>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</si>
  <si>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</si>
  <si>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</si>
  <si>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</si>
  <si>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</si>
  <si>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</si>
  <si>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</si>
  <si>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</si>
  <si>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</si>
  <si>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</si>
  <si>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</si>
  <si>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</si>
  <si>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</si>
  <si>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</si>
  <si>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</si>
  <si>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</si>
  <si>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</si>
  <si>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</si>
  <si>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</si>
  <si>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</si>
  <si>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</si>
  <si>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</si>
  <si>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</si>
  <si>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</si>
  <si>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</si>
  <si>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</si>
  <si>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</si>
  <si>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</si>
  <si>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</si>
  <si>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</si>
  <si>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</si>
  <si>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</si>
  <si>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</si>
  <si>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</si>
  <si>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</si>
  <si>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</si>
  <si>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</si>
  <si>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</si>
  <si>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</si>
  <si>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</si>
  <si>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</si>
  <si>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</si>
  <si>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</si>
  <si>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</si>
  <si>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</si>
  <si>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</si>
  <si>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</si>
  <si>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</si>
  <si>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</si>
  <si>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</si>
  <si>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</si>
  <si>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</si>
  <si>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</si>
  <si>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</si>
  <si>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</si>
  <si>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</si>
  <si>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</si>
  <si>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</si>
  <si>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</si>
  <si>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</si>
  <si>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</si>
  <si>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</si>
  <si>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</si>
  <si>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</si>
  <si>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</si>
  <si>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</si>
  <si>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</si>
  <si>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</si>
  <si>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</si>
  <si>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</si>
  <si>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</si>
  <si>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</si>
  <si>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</si>
  <si>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</si>
  <si>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</si>
  <si>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</si>
  <si>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</si>
  <si>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</si>
  <si>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</si>
  <si>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</si>
  <si>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</si>
  <si>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</si>
  <si>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</si>
  <si>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</si>
  <si>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</si>
  <si>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</si>
  <si>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</si>
  <si>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</si>
  <si>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</si>
  <si>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</si>
  <si>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</si>
  <si>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</si>
  <si>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</si>
  <si>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</si>
  <si>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</si>
  <si>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</si>
  <si>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</si>
  <si>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</si>
  <si>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</si>
  <si>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</si>
  <si>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</si>
  <si>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</si>
  <si>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</si>
  <si>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</si>
  <si>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</si>
  <si>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</si>
  <si>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</si>
  <si>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</si>
  <si>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</si>
  <si>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</si>
  <si>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</si>
  <si>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</si>
  <si>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</si>
  <si>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</si>
  <si>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</si>
  <si>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</si>
  <si>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</si>
  <si>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</si>
  <si>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</si>
  <si>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</si>
  <si>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</si>
  <si>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</si>
  <si>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</si>
  <si>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</si>
  <si>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</si>
  <si>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</si>
  <si>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</si>
  <si>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</si>
  <si>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</si>
  <si>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</si>
  <si>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</si>
  <si>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</si>
  <si>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</si>
  <si>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</si>
  <si>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</si>
  <si>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</si>
  <si>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</si>
  <si>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</si>
  <si>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</si>
  <si>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</si>
  <si>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</si>
  <si>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</si>
  <si>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</si>
  <si>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</si>
  <si>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</si>
  <si>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</si>
  <si>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</si>
  <si>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</si>
  <si>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</si>
  <si>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</si>
  <si>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</si>
  <si>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</si>
  <si>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</si>
  <si>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</si>
  <si>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</si>
  <si>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</si>
  <si>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</si>
  <si>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</si>
  <si>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</si>
  <si>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</si>
  <si>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</si>
  <si>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</si>
  <si>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</si>
  <si>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</si>
  <si>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</si>
  <si>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</si>
  <si>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</si>
  <si>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</si>
  <si>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</si>
  <si>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</si>
  <si>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</si>
  <si>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</si>
  <si>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</si>
  <si>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</si>
  <si>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</si>
  <si>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</si>
  <si>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</si>
  <si>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</si>
  <si>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</si>
  <si>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</si>
  <si>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</si>
  <si>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</si>
  <si>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</si>
  <si>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</si>
  <si>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</si>
  <si>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</si>
  <si>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</si>
  <si>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</si>
  <si>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</si>
  <si>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</si>
  <si>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</si>
  <si>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</si>
  <si>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</si>
  <si>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</si>
  <si>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</si>
  <si>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</si>
  <si>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</si>
  <si>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</si>
  <si>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</si>
  <si>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</si>
  <si>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</si>
  <si>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</si>
  <si>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</si>
  <si>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</si>
  <si>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</si>
  <si>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</si>
  <si>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</si>
  <si>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</si>
  <si>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</si>
  <si>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</si>
  <si>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</si>
  <si>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</si>
  <si>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</si>
  <si>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</si>
  <si>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</si>
  <si>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</si>
  <si>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</si>
  <si>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</si>
  <si>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</si>
  <si>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</si>
  <si>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</si>
  <si>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</si>
  <si>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</si>
  <si>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</si>
  <si>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</si>
  <si>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</si>
  <si>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</si>
  <si>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</si>
  <si>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</si>
  <si>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</si>
  <si>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</si>
  <si>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</si>
  <si>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</si>
  <si>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</si>
  <si>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</si>
  <si>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</si>
  <si>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</si>
  <si>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</si>
  <si>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</si>
  <si>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</si>
  <si>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</si>
  <si>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</si>
  <si>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</si>
  <si>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</si>
  <si>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</si>
  <si>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</si>
  <si>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</si>
  <si>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</si>
  <si>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</si>
  <si>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</si>
  <si>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</si>
  <si>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</si>
  <si>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</si>
  <si>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</si>
  <si>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</si>
  <si>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</si>
  <si>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</si>
  <si>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</si>
  <si>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</si>
  <si>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</si>
  <si>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</si>
  <si>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</si>
  <si>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</si>
  <si>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</si>
  <si>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</si>
  <si>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</si>
  <si>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</si>
  <si>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</si>
  <si>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</si>
  <si>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</si>
  <si>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</si>
  <si>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</si>
  <si>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</si>
  <si>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</si>
  <si>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</si>
  <si>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</si>
  <si>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</si>
  <si>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</si>
  <si>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</si>
  <si>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</si>
  <si>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</si>
  <si>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</si>
  <si>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</si>
  <si>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</si>
  <si>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</si>
  <si>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</si>
  <si>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</si>
  <si>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</si>
  <si>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</si>
  <si>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</si>
  <si>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</si>
  <si>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</si>
  <si>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</si>
  <si>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</si>
  <si>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</si>
  <si>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</si>
  <si>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</si>
  <si>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</si>
  <si>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</si>
  <si>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</si>
  <si>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</si>
  <si>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</si>
  <si>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</si>
  <si>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</si>
  <si>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</si>
  <si>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</si>
  <si>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</si>
  <si>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</si>
  <si>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</si>
  <si>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</si>
  <si>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</si>
  <si>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</si>
  <si>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</si>
  <si>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</si>
  <si>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</si>
  <si>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</si>
  <si>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</si>
  <si>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</si>
  <si>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</si>
  <si>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</si>
  <si>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</si>
  <si>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</si>
  <si>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</si>
  <si>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</si>
  <si>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</si>
  <si>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</si>
  <si>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</si>
  <si>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</si>
  <si>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</si>
  <si>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</si>
  <si>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</si>
  <si>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</si>
  <si>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</si>
  <si>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</si>
  <si>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</si>
  <si>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</si>
  <si>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</si>
  <si>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</si>
  <si>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</si>
  <si>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</si>
  <si>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</si>
  <si>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</si>
  <si>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</si>
  <si>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</si>
  <si>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</si>
  <si>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</si>
  <si>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</si>
  <si>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</si>
  <si>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</si>
  <si>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</si>
  <si>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</si>
  <si>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</si>
  <si>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</si>
  <si>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</si>
  <si>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</si>
  <si>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</si>
  <si>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</si>
  <si>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</si>
  <si>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</si>
  <si>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</si>
  <si>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</si>
  <si>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</si>
  <si>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</si>
  <si>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</si>
  <si>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</si>
  <si>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</si>
  <si>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</si>
  <si>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</si>
  <si>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</si>
  <si>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</si>
  <si>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</si>
  <si>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</si>
  <si>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</si>
  <si>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</si>
  <si>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</si>
  <si>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</si>
  <si>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</si>
  <si>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</si>
  <si>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</si>
  <si>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</si>
  <si>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</si>
  <si>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</si>
  <si>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</si>
  <si>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</si>
  <si>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</si>
  <si>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</si>
  <si>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</si>
  <si>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</si>
  <si>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</si>
  <si>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</si>
  <si>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</si>
  <si>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</si>
  <si>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</si>
  <si>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</si>
  <si>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</si>
  <si>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</si>
  <si>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</si>
  <si>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</si>
  <si>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</si>
  <si>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</si>
  <si>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</si>
  <si>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</si>
  <si>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</si>
  <si>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98导航</t>
  </si>
  <si>
    <t>http://98dh.cc/</t>
  </si>
  <si>
    <t>http://98dh.cc/images/favicon.ico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</si>
  <si>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</si>
  <si>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</si>
  <si>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</si>
  <si>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</si>
  <si>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</si>
  <si>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</si>
  <si>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龙喵网</t>
  </si>
  <si>
    <t>https://ailongmiao.com/</t>
  </si>
  <si>
    <t>https://media.ailongmiao.com/favicon.ico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</si>
  <si>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</si>
  <si>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</si>
  <si>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</si>
  <si>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</si>
  <si>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</si>
  <si>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</si>
  <si>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</si>
  <si>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</si>
  <si>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</si>
  <si>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</si>
  <si>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</si>
  <si>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</si>
  <si>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</si>
  <si>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</si>
  <si>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</si>
  <si>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</si>
  <si>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</si>
  <si>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</si>
  <si>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</si>
  <si>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</si>
  <si>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</si>
  <si>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</si>
  <si>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</si>
  <si>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</si>
  <si>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</si>
  <si>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</si>
  <si>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</si>
  <si>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</si>
  <si>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</si>
  <si>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</si>
  <si>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</si>
  <si>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</si>
  <si>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</si>
  <si>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</si>
  <si>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</si>
  <si>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</si>
  <si>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</si>
  <si>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</si>
  <si>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</si>
  <si>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</si>
  <si>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</si>
  <si>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</si>
  <si>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</si>
  <si>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</si>
  <si>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</si>
  <si>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</si>
  <si>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</si>
  <si>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</si>
  <si>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</si>
  <si>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</si>
  <si>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</si>
  <si>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</si>
  <si>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</si>
  <si>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</si>
  <si>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</si>
  <si>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</si>
  <si>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</si>
  <si>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</si>
  <si>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</si>
  <si>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</si>
  <si>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</si>
  <si>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</si>
  <si>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</si>
  <si>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</si>
  <si>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</si>
  <si>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</si>
  <si>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</si>
  <si>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</si>
  <si>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</si>
  <si>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</si>
  <si>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</si>
  <si>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</si>
  <si>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</si>
  <si>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</si>
  <si>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</si>
  <si>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</si>
  <si>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</si>
  <si>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</si>
  <si>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</si>
  <si>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</si>
  <si>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</si>
  <si>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</si>
  <si>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</si>
  <si>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</si>
  <si>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</si>
  <si>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</si>
  <si>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</si>
  <si>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</si>
  <si>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</si>
  <si>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</si>
  <si>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</si>
  <si>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</si>
  <si>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</si>
  <si>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</si>
  <si>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</si>
  <si>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</si>
  <si>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</si>
  <si>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</si>
  <si>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</si>
  <si>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</si>
  <si>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</si>
  <si>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</si>
  <si>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</si>
  <si>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</si>
  <si>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</si>
  <si>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</si>
  <si>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</si>
  <si>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</si>
  <si>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</si>
  <si>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</si>
  <si>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</si>
  <si>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</si>
  <si>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</si>
  <si>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</si>
  <si>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</si>
  <si>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</si>
  <si>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</si>
  <si>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</si>
  <si>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</si>
  <si>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</si>
  <si>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</si>
  <si>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</si>
  <si>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</si>
  <si>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</si>
  <si>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</si>
  <si>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</si>
  <si>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初录未归挡</t>
    <phoneticPr fontId="1" type="noConversion"/>
  </si>
  <si>
    <t>初录未归挡1</t>
    <phoneticPr fontId="1" type="noConversion"/>
  </si>
  <si>
    <t>上网首访</t>
  </si>
  <si>
    <t>上网首访</t>
    <phoneticPr fontId="1" type="noConversion"/>
  </si>
  <si>
    <t>党委</t>
    <phoneticPr fontId="1" type="noConversion"/>
  </si>
  <si>
    <t>http://www.xzdw.gov.cn/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</si>
  <si>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</si>
  <si>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</si>
  <si>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</si>
  <si>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</si>
  <si>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</si>
  <si>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</si>
  <si>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</si>
  <si>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</si>
  <si>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</si>
  <si>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</si>
  <si>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</si>
  <si>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</si>
  <si>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</si>
  <si>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</si>
  <si>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</si>
  <si>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http://cd.xzdw.gov.cn/</t>
    <phoneticPr fontId="1" type="noConversion"/>
  </si>
  <si>
    <t>http://sn.xzdw.gov.cn/</t>
    <phoneticPr fontId="1" type="noConversion"/>
  </si>
  <si>
    <t>http://rikaze.xzdw.gov.cn/</t>
    <phoneticPr fontId="1" type="noConversion"/>
  </si>
  <si>
    <t>http://lz.xzdw.gov.cn/</t>
    <phoneticPr fontId="1" type="noConversion"/>
  </si>
  <si>
    <t>http://nq.xzdw.gov.cn/</t>
    <phoneticPr fontId="1" type="noConversion"/>
  </si>
  <si>
    <t>http://ali.xzdw.gov.cn/</t>
    <phoneticPr fontId="1" type="noConversion"/>
  </si>
  <si>
    <t>西藏自治区党委</t>
    <phoneticPr fontId="1" type="noConversion"/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</si>
  <si>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</si>
  <si>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</si>
  <si>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</si>
  <si>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</si>
  <si>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</si>
  <si>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</si>
  <si>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</si>
  <si>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</si>
  <si>
    <t>想看什么</t>
    <phoneticPr fontId="1" type="noConversion"/>
  </si>
  <si>
    <t>大金融</t>
  </si>
  <si>
    <t>大金融</t>
    <phoneticPr fontId="1" type="noConversion"/>
  </si>
  <si>
    <t>银行</t>
  </si>
  <si>
    <t>银行</t>
    <phoneticPr fontId="1" type="noConversion"/>
  </si>
  <si>
    <t>保险</t>
  </si>
  <si>
    <t>保险</t>
    <phoneticPr fontId="1" type="noConversion"/>
  </si>
  <si>
    <t>证券</t>
  </si>
  <si>
    <t>证券</t>
    <phoneticPr fontId="1" type="noConversion"/>
  </si>
  <si>
    <t>基金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</si>
  <si>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</si>
  <si>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</si>
  <si>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</si>
  <si>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精品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</si>
  <si>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</si>
  <si>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</si>
  <si>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</si>
  <si>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</si>
  <si>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行业</t>
  </si>
  <si>
    <t>行业</t>
    <phoneticPr fontId="1" type="noConversion"/>
  </si>
  <si>
    <t>专业</t>
  </si>
  <si>
    <t>专业</t>
    <phoneticPr fontId="1" type="noConversion"/>
  </si>
  <si>
    <t>其他</t>
    <phoneticPr fontId="1" type="noConversion"/>
  </si>
  <si>
    <t>斗图界的Google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</si>
  <si>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</si>
  <si>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</si>
  <si>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</si>
  <si>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</si>
  <si>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</si>
  <si>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网络电视</t>
    <phoneticPr fontId="1" type="noConversion"/>
  </si>
  <si>
    <t>电商</t>
    <phoneticPr fontId="1" type="noConversion"/>
  </si>
  <si>
    <t>腾讯</t>
  </si>
  <si>
    <t>腾讯</t>
    <phoneticPr fontId="1" type="noConversion"/>
  </si>
  <si>
    <t>阿里</t>
  </si>
  <si>
    <t>阿里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</si>
  <si>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</si>
  <si>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</si>
  <si>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</si>
  <si>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</si>
  <si>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</si>
  <si>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</si>
  <si>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</si>
  <si>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</si>
  <si>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台湾大学</t>
    <phoneticPr fontId="1" type="noConversion"/>
  </si>
  <si>
    <t>台湾历史数位图书馆研究工具集</t>
    <phoneticPr fontId="1" type="noConversion"/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</si>
  <si>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</si>
  <si>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</si>
  <si>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</si>
  <si>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</si>
  <si>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</si>
  <si>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</si>
  <si>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</si>
  <si>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</si>
  <si>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英国剑桥大学</t>
    <phoneticPr fontId="1" type="noConversion"/>
  </si>
  <si>
    <t>公開取用電子書</t>
    <phoneticPr fontId="1" type="noConversion"/>
  </si>
  <si>
    <t>东亚图书馆</t>
    <phoneticPr fontId="1" type="noConversion"/>
  </si>
  <si>
    <t>数据库索引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</si>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</sst>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S569" totalsRowShown="0">
  <autoFilter ref="A1:S569" xr:uid="{02FB28E5-E947-430B-A2CC-8AC67DB18EEB}"/>
  <sortState xmlns:xlrd2="http://schemas.microsoft.com/office/spreadsheetml/2017/richdata2" ref="A2:S569">
    <sortCondition ref="A2:A569"/>
  </sortState>
  <tableColumns count="19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2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1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0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0" totalsRowShown="0">
  <autoFilter ref="A1:AB10" xr:uid="{DE9627F4-932C-4564-8101-F3D191EFBF50}"/>
  <sortState xmlns:xlrd2="http://schemas.microsoft.com/office/spreadsheetml/2017/richdata2" ref="A2:AB10">
    <sortCondition ref="A2:A10"/>
  </sortState>
  <tableColumns count="28">
    <tableColumn id="1" xr3:uid="{91B9E26A-18E6-462B-B908-F6E81CBA5881}" name="序号"/>
    <tableColumn id="2" xr3:uid="{CBAA4A93-E50A-42F6-BE70-22072AB43978}" name="个数" dataDxfId="5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50" totalsRowShown="0">
  <autoFilter ref="A1:W150" xr:uid="{F4291724-2FF5-4F7A-9186-BAAE9183D55E}"/>
  <tableColumns count="23">
    <tableColumn id="1" xr3:uid="{215B382A-77AC-4E7B-BE95-D22C5D3CF8D7}" name="序号" dataDxfId="4">
      <calculatedColumnFormula>A1+1</calculatedColumnFormula>
    </tableColumn>
    <tableColumn id="2" xr3:uid="{15858224-BB5F-4D48-9AC2-02443EA53CC1}" name="个数" dataDxfId="3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sn.xzdw.gov.cn/" TargetMode="External"/><Relationship Id="rId7" Type="http://schemas.openxmlformats.org/officeDocument/2006/relationships/hyperlink" Target="http://ali.xzdw.gov.cn/" TargetMode="External"/><Relationship Id="rId2" Type="http://schemas.openxmlformats.org/officeDocument/2006/relationships/hyperlink" Target="http://cd.xzdw.gov.cn/" TargetMode="External"/><Relationship Id="rId1" Type="http://schemas.openxmlformats.org/officeDocument/2006/relationships/hyperlink" Target="http://www.xzdw.gov.cn/" TargetMode="External"/><Relationship Id="rId6" Type="http://schemas.openxmlformats.org/officeDocument/2006/relationships/hyperlink" Target="http://nq.xzdw.gov.cn/" TargetMode="External"/><Relationship Id="rId5" Type="http://schemas.openxmlformats.org/officeDocument/2006/relationships/hyperlink" Target="http://lz.xzdw.gov.cn/" TargetMode="External"/><Relationship Id="rId4" Type="http://schemas.openxmlformats.org/officeDocument/2006/relationships/hyperlink" Target="http://rikaze.xzdw.gov.c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/>
  <dimension ref="A1:S569"/>
  <sheetViews>
    <sheetView tabSelected="1" topLeftCell="A28" workbookViewId="0">
      <selection activeCell="A28" sqref="A1:XFD1048576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7.25" bestFit="1" customWidth="1"/>
    <col min="6" max="6" width="29.75" customWidth="1"/>
    <col min="7" max="7" width="7.875" customWidth="1"/>
    <col min="8" max="8" width="9.125" customWidth="1"/>
    <col min="9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7" width="10.25" customWidth="1"/>
    <col min="18" max="18" width="12.875" customWidth="1"/>
    <col min="19" max="19" width="16.62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>
        <f ca="1">MATCH(表_网址[[#This Row],[版层分类]],序列_版层分类,0)*1000+MATCH(表_网址[[#This Row],[首要关键词]],序列_首要关键词,0)</f>
        <v>1001</v>
      </c>
      <c r="C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543</v>
      </c>
      <c r="G2" t="s">
        <v>544</v>
      </c>
      <c r="H2" t="s">
        <v>29</v>
      </c>
      <c r="I2" t="s">
        <v>545</v>
      </c>
      <c r="J2" t="s">
        <v>1711</v>
      </c>
      <c r="K2" t="s">
        <v>546</v>
      </c>
      <c r="N2">
        <v>999</v>
      </c>
      <c r="O2">
        <v>999</v>
      </c>
      <c r="Q2">
        <v>64</v>
      </c>
      <c r="R2" t="s">
        <v>507</v>
      </c>
      <c r="S2" t="s">
        <v>508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>
        <f ca="1">MATCH(表_网址[[#This Row],[版层分类]],序列_版层分类,0)*1000+MATCH(表_网址[[#This Row],[首要关键词]],序列_首要关键词,0)</f>
        <v>1001</v>
      </c>
      <c r="C3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547</v>
      </c>
      <c r="G3" t="s">
        <v>548</v>
      </c>
      <c r="H3" t="s">
        <v>29</v>
      </c>
      <c r="I3" t="s">
        <v>549</v>
      </c>
      <c r="J3" t="s">
        <v>1711</v>
      </c>
      <c r="K3" t="s">
        <v>546</v>
      </c>
      <c r="L3" t="s">
        <v>1761</v>
      </c>
      <c r="N3">
        <v>999</v>
      </c>
      <c r="O3">
        <v>999</v>
      </c>
      <c r="Q3">
        <v>32</v>
      </c>
    </row>
    <row r="4" spans="1:19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>
        <f ca="1">MATCH(表_网址[[#This Row],[版层分类]],序列_版层分类,0)*1000+MATCH(表_网址[[#This Row],[首要关键词]],序列_首要关键词,0)</f>
        <v>1001</v>
      </c>
      <c r="C4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>
        <f>IF(AND(表_网址[[#This Row],[首要关键词]]=K3,表_网址[[#This Row],[次要关键词]]=L3,表_网址[[#This Row],[重点关键词]]=M3),E3+1,IF(表_网址[[#This Row],[重点关键词]]="",100,101))</f>
        <v>101</v>
      </c>
      <c r="F4" t="s">
        <v>550</v>
      </c>
      <c r="G4" t="s">
        <v>551</v>
      </c>
      <c r="H4" t="s">
        <v>29</v>
      </c>
      <c r="I4" t="s">
        <v>552</v>
      </c>
      <c r="J4" t="s">
        <v>1711</v>
      </c>
      <c r="K4" t="s">
        <v>546</v>
      </c>
      <c r="L4" t="s">
        <v>1761</v>
      </c>
      <c r="N4">
        <v>999</v>
      </c>
      <c r="O4">
        <v>999</v>
      </c>
      <c r="Q4">
        <v>32</v>
      </c>
      <c r="R4" t="s">
        <v>507</v>
      </c>
      <c r="S4" t="s">
        <v>508</v>
      </c>
    </row>
    <row r="5" spans="1:19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>
        <f ca="1">MATCH(表_网址[[#This Row],[版层分类]],序列_版层分类,0)*1000+MATCH(表_网址[[#This Row],[首要关键词]],序列_首要关键词,0)</f>
        <v>1001</v>
      </c>
      <c r="C5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>
        <f>IF(AND(表_网址[[#This Row],[首要关键词]]=K4,表_网址[[#This Row],[次要关键词]]=L4,表_网址[[#This Row],[重点关键词]]=M4),E4+1,IF(表_网址[[#This Row],[重点关键词]]="",100,101))</f>
        <v>100</v>
      </c>
      <c r="F5" t="s">
        <v>553</v>
      </c>
      <c r="G5" t="s">
        <v>554</v>
      </c>
      <c r="H5" t="s">
        <v>1768</v>
      </c>
      <c r="I5" t="s">
        <v>555</v>
      </c>
      <c r="J5" t="s">
        <v>1711</v>
      </c>
      <c r="K5" t="s">
        <v>546</v>
      </c>
      <c r="L5" t="s">
        <v>556</v>
      </c>
      <c r="N5">
        <v>999</v>
      </c>
      <c r="O5">
        <v>999</v>
      </c>
      <c r="Q5">
        <v>16</v>
      </c>
    </row>
    <row r="6" spans="1:19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>
        <f ca="1">MATCH(表_网址[[#This Row],[版层分类]],序列_版层分类,0)*1000+MATCH(表_网址[[#This Row],[首要关键词]],序列_首要关键词,0)</f>
        <v>1001</v>
      </c>
      <c r="C6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>
        <f>IF(AND(表_网址[[#This Row],[首要关键词]]=K5,表_网址[[#This Row],[次要关键词]]=L5,表_网址[[#This Row],[重点关键词]]=M5),E5+1,IF(表_网址[[#This Row],[重点关键词]]="",100,101))</f>
        <v>100</v>
      </c>
      <c r="F6" t="s">
        <v>557</v>
      </c>
      <c r="G6" t="s">
        <v>558</v>
      </c>
      <c r="H6" t="s">
        <v>29</v>
      </c>
      <c r="I6" t="s">
        <v>559</v>
      </c>
      <c r="J6" t="s">
        <v>1711</v>
      </c>
      <c r="K6" t="s">
        <v>546</v>
      </c>
      <c r="L6" t="s">
        <v>560</v>
      </c>
      <c r="N6">
        <v>999</v>
      </c>
      <c r="O6">
        <v>999</v>
      </c>
      <c r="Q6">
        <v>20</v>
      </c>
    </row>
    <row r="7" spans="1:19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>
        <f ca="1">MATCH(表_网址[[#This Row],[版层分类]],序列_版层分类,0)*1000+MATCH(表_网址[[#This Row],[首要关键词]],序列_首要关键词,0)</f>
        <v>1001</v>
      </c>
      <c r="C7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>
        <f>IF(AND(表_网址[[#This Row],[首要关键词]]=K6,表_网址[[#This Row],[次要关键词]]=L6,表_网址[[#This Row],[重点关键词]]=M6),E6+1,IF(表_网址[[#This Row],[重点关键词]]="",100,101))</f>
        <v>100</v>
      </c>
      <c r="F7" t="s">
        <v>561</v>
      </c>
      <c r="G7" t="s">
        <v>562</v>
      </c>
      <c r="H7" t="s">
        <v>29</v>
      </c>
      <c r="I7" t="s">
        <v>563</v>
      </c>
      <c r="J7" t="s">
        <v>1711</v>
      </c>
      <c r="K7" t="s">
        <v>546</v>
      </c>
      <c r="L7" t="s">
        <v>564</v>
      </c>
      <c r="N7">
        <v>999</v>
      </c>
      <c r="O7">
        <v>999</v>
      </c>
      <c r="Q7">
        <v>32</v>
      </c>
    </row>
    <row r="8" spans="1:19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>
        <f ca="1">MATCH(表_网址[[#This Row],[版层分类]],序列_版层分类,0)*1000+MATCH(表_网址[[#This Row],[首要关键词]],序列_首要关键词,0)</f>
        <v>1001</v>
      </c>
      <c r="C8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565</v>
      </c>
      <c r="G8" t="s">
        <v>566</v>
      </c>
      <c r="H8" t="s">
        <v>567</v>
      </c>
      <c r="I8" t="s">
        <v>568</v>
      </c>
      <c r="J8" t="s">
        <v>1711</v>
      </c>
      <c r="K8" t="s">
        <v>546</v>
      </c>
      <c r="L8" t="s">
        <v>569</v>
      </c>
      <c r="N8">
        <v>999</v>
      </c>
      <c r="O8">
        <v>999</v>
      </c>
    </row>
    <row r="9" spans="1:19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>
        <f ca="1">MATCH(表_网址[[#This Row],[版层分类]],序列_版层分类,0)*1000+MATCH(表_网址[[#This Row],[首要关键词]],序列_首要关键词,0)</f>
        <v>1001</v>
      </c>
      <c r="C9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570</v>
      </c>
      <c r="G9" t="s">
        <v>571</v>
      </c>
      <c r="I9" t="s">
        <v>572</v>
      </c>
      <c r="J9" t="s">
        <v>1711</v>
      </c>
      <c r="K9" t="s">
        <v>546</v>
      </c>
      <c r="L9" t="s">
        <v>573</v>
      </c>
      <c r="N9">
        <v>999</v>
      </c>
      <c r="O9">
        <v>999</v>
      </c>
      <c r="R9" t="s">
        <v>507</v>
      </c>
    </row>
    <row r="10" spans="1:19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>
        <f ca="1">MATCH(表_网址[[#This Row],[版层分类]],序列_版层分类,0)*1000+MATCH(表_网址[[#This Row],[首要关键词]],序列_首要关键词,0)</f>
        <v>1002</v>
      </c>
      <c r="C10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574</v>
      </c>
      <c r="G10" t="s">
        <v>575</v>
      </c>
      <c r="H10" t="s">
        <v>29</v>
      </c>
      <c r="I10" t="s">
        <v>576</v>
      </c>
      <c r="J10" t="s">
        <v>1711</v>
      </c>
      <c r="K10" t="s">
        <v>577</v>
      </c>
      <c r="N10">
        <v>999</v>
      </c>
      <c r="O10">
        <v>999</v>
      </c>
      <c r="Q10">
        <v>256</v>
      </c>
    </row>
    <row r="11" spans="1:19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>
        <f ca="1">MATCH(表_网址[[#This Row],[版层分类]],序列_版层分类,0)*1000+MATCH(表_网址[[#This Row],[首要关键词]],序列_首要关键词,0)</f>
        <v>1002</v>
      </c>
      <c r="C11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584</v>
      </c>
      <c r="G11" t="s">
        <v>585</v>
      </c>
      <c r="H11" t="s">
        <v>29</v>
      </c>
      <c r="I11" t="s">
        <v>586</v>
      </c>
      <c r="J11" t="s">
        <v>1711</v>
      </c>
      <c r="K11" t="s">
        <v>577</v>
      </c>
      <c r="L11" t="s">
        <v>1759</v>
      </c>
      <c r="N11">
        <v>999</v>
      </c>
      <c r="O11">
        <v>999</v>
      </c>
      <c r="Q11">
        <v>16</v>
      </c>
      <c r="R11" t="s">
        <v>507</v>
      </c>
      <c r="S11" t="s">
        <v>508</v>
      </c>
    </row>
    <row r="12" spans="1:19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>
        <f ca="1">MATCH(表_网址[[#This Row],[版层分类]],序列_版层分类,0)*1000+MATCH(表_网址[[#This Row],[首要关键词]],序列_首要关键词,0)</f>
        <v>1002</v>
      </c>
      <c r="C1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>
        <f>IF(AND(表_网址[[#This Row],[首要关键词]]=K11,表_网址[[#This Row],[次要关键词]]=L11,表_网址[[#This Row],[重点关键词]]=M11),E11+1,IF(表_网址[[#This Row],[重点关键词]]="",100,101))</f>
        <v>101</v>
      </c>
      <c r="F12" t="s">
        <v>578</v>
      </c>
      <c r="G12" t="s">
        <v>579</v>
      </c>
      <c r="H12" t="s">
        <v>29</v>
      </c>
      <c r="I12" t="s">
        <v>580</v>
      </c>
      <c r="J12" t="s">
        <v>1711</v>
      </c>
      <c r="K12" t="s">
        <v>577</v>
      </c>
      <c r="L12" t="s">
        <v>1759</v>
      </c>
      <c r="N12">
        <v>999</v>
      </c>
      <c r="O12">
        <v>999</v>
      </c>
      <c r="Q12">
        <v>32</v>
      </c>
      <c r="R12" t="s">
        <v>507</v>
      </c>
      <c r="S12" t="s">
        <v>508</v>
      </c>
    </row>
    <row r="13" spans="1:19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>
        <f ca="1">MATCH(表_网址[[#This Row],[版层分类]],序列_版层分类,0)*1000+MATCH(表_网址[[#This Row],[首要关键词]],序列_首要关键词,0)</f>
        <v>1002</v>
      </c>
      <c r="C13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>
        <f>IF(AND(表_网址[[#This Row],[首要关键词]]=K12,表_网址[[#This Row],[次要关键词]]=L12,表_网址[[#This Row],[重点关键词]]=M12),E12+1,IF(表_网址[[#This Row],[重点关键词]]="",100,101))</f>
        <v>102</v>
      </c>
      <c r="F13" t="s">
        <v>581</v>
      </c>
      <c r="G13" t="s">
        <v>582</v>
      </c>
      <c r="H13" t="s">
        <v>29</v>
      </c>
      <c r="I13" t="s">
        <v>583</v>
      </c>
      <c r="J13" t="s">
        <v>1711</v>
      </c>
      <c r="K13" t="s">
        <v>577</v>
      </c>
      <c r="L13" t="s">
        <v>1759</v>
      </c>
      <c r="N13">
        <v>999</v>
      </c>
      <c r="Q13">
        <v>16</v>
      </c>
      <c r="R13" t="s">
        <v>507</v>
      </c>
      <c r="S13" t="s">
        <v>508</v>
      </c>
    </row>
    <row r="14" spans="1:19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>
        <f ca="1">MATCH(表_网址[[#This Row],[版层分类]],序列_版层分类,0)*1000+MATCH(表_网址[[#This Row],[首要关键词]],序列_首要关键词,0)</f>
        <v>1002</v>
      </c>
      <c r="C14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>
        <f>IF(AND(表_网址[[#This Row],[首要关键词]]=K13,表_网址[[#This Row],[次要关键词]]=L13,表_网址[[#This Row],[重点关键词]]=M13),E13+1,IF(表_网址[[#This Row],[重点关键词]]="",100,101))</f>
        <v>103</v>
      </c>
      <c r="F14" t="s">
        <v>587</v>
      </c>
      <c r="G14" t="s">
        <v>588</v>
      </c>
      <c r="H14" t="s">
        <v>29</v>
      </c>
      <c r="I14" t="s">
        <v>589</v>
      </c>
      <c r="J14" t="s">
        <v>1711</v>
      </c>
      <c r="K14" t="s">
        <v>577</v>
      </c>
      <c r="L14" t="s">
        <v>1759</v>
      </c>
      <c r="N14">
        <v>999</v>
      </c>
      <c r="O14">
        <v>999</v>
      </c>
      <c r="Q14">
        <v>16</v>
      </c>
      <c r="R14" t="s">
        <v>507</v>
      </c>
      <c r="S14" t="s">
        <v>508</v>
      </c>
    </row>
    <row r="15" spans="1:19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>
        <f ca="1">MATCH(表_网址[[#This Row],[版层分类]],序列_版层分类,0)*1000+MATCH(表_网址[[#This Row],[首要关键词]],序列_首要关键词,0)</f>
        <v>1002</v>
      </c>
      <c r="C15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>
        <f>IF(AND(表_网址[[#This Row],[首要关键词]]=K14,表_网址[[#This Row],[次要关键词]]=L14,表_网址[[#This Row],[重点关键词]]=M14),E14+1,IF(表_网址[[#This Row],[重点关键词]]="",100,101))</f>
        <v>104</v>
      </c>
      <c r="F15" t="s">
        <v>590</v>
      </c>
      <c r="G15" t="s">
        <v>591</v>
      </c>
      <c r="H15" t="s">
        <v>29</v>
      </c>
      <c r="I15" t="s">
        <v>592</v>
      </c>
      <c r="J15" t="s">
        <v>1711</v>
      </c>
      <c r="K15" t="s">
        <v>577</v>
      </c>
      <c r="L15" t="s">
        <v>1759</v>
      </c>
      <c r="N15">
        <v>999</v>
      </c>
      <c r="O15">
        <v>999</v>
      </c>
      <c r="Q15">
        <v>16</v>
      </c>
      <c r="R15" t="s">
        <v>507</v>
      </c>
      <c r="S15" t="s">
        <v>508</v>
      </c>
    </row>
    <row r="16" spans="1:19" x14ac:dyDescent="0.2">
      <c r="A16" t="str">
        <f ca="1">表_网址[[#This Row],[1级]]&amp;"-"&amp;表_网址[[#This Row],[2级]]&amp;"-"&amp;表_网址[[#This Row],[3级]]&amp;"-"&amp;表_网址[[#This Row],[级内]]</f>
        <v>1002-14-10-100</v>
      </c>
      <c r="B16">
        <f ca="1">MATCH(表_网址[[#This Row],[版层分类]],序列_版层分类,0)*1000+MATCH(表_网址[[#This Row],[首要关键词]],序列_首要关键词,0)</f>
        <v>1002</v>
      </c>
      <c r="C16">
        <f ca="1">IF(表_网址[[#This Row],[次要关键词]]="",10,MATCH(表_网址[[#This Row],[次要关键词]],序列_次要关键词,0)+10)</f>
        <v>14</v>
      </c>
      <c r="D16">
        <f>IF(表_网址[[#This Row],[重点关键词]]="",10,MATCH(表_网址[[#This Row],[重点关键词]],序列_重点关键词,0)+10)</f>
        <v>10</v>
      </c>
      <c r="E16">
        <f>IF(AND(表_网址[[#This Row],[首要关键词]]=K15,表_网址[[#This Row],[次要关键词]]=L15,表_网址[[#This Row],[重点关键词]]=M15),E15+1,IF(表_网址[[#This Row],[重点关键词]]="",100,101))</f>
        <v>100</v>
      </c>
      <c r="F16" t="s">
        <v>593</v>
      </c>
      <c r="G16" t="s">
        <v>594</v>
      </c>
      <c r="H16" t="s">
        <v>29</v>
      </c>
      <c r="J16" t="s">
        <v>1711</v>
      </c>
      <c r="K16" t="s">
        <v>577</v>
      </c>
      <c r="L16" t="s">
        <v>1763</v>
      </c>
      <c r="N16">
        <v>999</v>
      </c>
      <c r="R16" t="s">
        <v>507</v>
      </c>
    </row>
    <row r="17" spans="1:17" x14ac:dyDescent="0.2">
      <c r="A17" t="str">
        <f ca="1">表_网址[[#This Row],[1级]]&amp;"-"&amp;表_网址[[#This Row],[2级]]&amp;"-"&amp;表_网址[[#This Row],[3级]]&amp;"-"&amp;表_网址[[#This Row],[级内]]</f>
        <v>1002-14-10-101</v>
      </c>
      <c r="B17">
        <f ca="1">MATCH(表_网址[[#This Row],[版层分类]],序列_版层分类,0)*1000+MATCH(表_网址[[#This Row],[首要关键词]],序列_首要关键词,0)</f>
        <v>1002</v>
      </c>
      <c r="C17">
        <f ca="1">IF(表_网址[[#This Row],[次要关键词]]="",10,MATCH(表_网址[[#This Row],[次要关键词]],序列_次要关键词,0)+10)</f>
        <v>14</v>
      </c>
      <c r="D17">
        <f>IF(表_网址[[#This Row],[重点关键词]]="",10,MATCH(表_网址[[#This Row],[重点关键词]],序列_重点关键词,0)+10)</f>
        <v>10</v>
      </c>
      <c r="E17">
        <f>IF(AND(表_网址[[#This Row],[首要关键词]]=K16,表_网址[[#This Row],[次要关键词]]=L16,表_网址[[#This Row],[重点关键词]]=M16),E16+1,IF(表_网址[[#This Row],[重点关键词]]="",100,101))</f>
        <v>101</v>
      </c>
      <c r="F17" t="s">
        <v>1592</v>
      </c>
      <c r="G17" t="s">
        <v>1593</v>
      </c>
      <c r="I17" t="s">
        <v>1594</v>
      </c>
      <c r="J17" t="s">
        <v>1711</v>
      </c>
      <c r="K17" t="s">
        <v>577</v>
      </c>
      <c r="L17" t="s">
        <v>1763</v>
      </c>
      <c r="N17">
        <v>999</v>
      </c>
      <c r="O17">
        <v>999</v>
      </c>
    </row>
    <row r="18" spans="1:17" x14ac:dyDescent="0.2">
      <c r="A18" t="str">
        <f ca="1">表_网址[[#This Row],[1级]]&amp;"-"&amp;表_网址[[#This Row],[2级]]&amp;"-"&amp;表_网址[[#This Row],[3级]]&amp;"-"&amp;表_网址[[#This Row],[级内]]</f>
        <v>1002-15-10-100</v>
      </c>
      <c r="B18">
        <f ca="1">MATCH(表_网址[[#This Row],[版层分类]],序列_版层分类,0)*1000+MATCH(表_网址[[#This Row],[首要关键词]],序列_首要关键词,0)</f>
        <v>1002</v>
      </c>
      <c r="C18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>
        <f>IF(AND(表_网址[[#This Row],[首要关键词]]=K17,表_网址[[#This Row],[次要关键词]]=L17,表_网址[[#This Row],[重点关键词]]=M17),E17+1,IF(表_网址[[#This Row],[重点关键词]]="",100,101))</f>
        <v>100</v>
      </c>
      <c r="F18" t="s">
        <v>1568</v>
      </c>
      <c r="G18" t="s">
        <v>1569</v>
      </c>
      <c r="I18" t="s">
        <v>1570</v>
      </c>
      <c r="J18" t="s">
        <v>1711</v>
      </c>
      <c r="K18" t="s">
        <v>577</v>
      </c>
      <c r="L18" t="s">
        <v>1765</v>
      </c>
      <c r="N18">
        <v>999</v>
      </c>
      <c r="O18">
        <v>999</v>
      </c>
    </row>
    <row r="19" spans="1:17" x14ac:dyDescent="0.2">
      <c r="A19" t="str">
        <f ca="1">表_网址[[#This Row],[1级]]&amp;"-"&amp;表_网址[[#This Row],[2级]]&amp;"-"&amp;表_网址[[#This Row],[3级]]&amp;"-"&amp;表_网址[[#This Row],[级内]]</f>
        <v>1002-15-10-101</v>
      </c>
      <c r="B19">
        <f ca="1">MATCH(表_网址[[#This Row],[版层分类]],序列_版层分类,0)*1000+MATCH(表_网址[[#This Row],[首要关键词]],序列_首要关键词,0)</f>
        <v>1002</v>
      </c>
      <c r="C19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>
        <f>IF(AND(表_网址[[#This Row],[首要关键词]]=K18,表_网址[[#This Row],[次要关键词]]=L18,表_网址[[#This Row],[重点关键词]]=M18),E18+1,IF(表_网址[[#This Row],[重点关键词]]="",100,101))</f>
        <v>101</v>
      </c>
      <c r="F19" t="s">
        <v>1577</v>
      </c>
      <c r="G19" t="s">
        <v>1578</v>
      </c>
      <c r="I19" t="s">
        <v>1579</v>
      </c>
      <c r="J19" t="s">
        <v>1711</v>
      </c>
      <c r="K19" t="s">
        <v>577</v>
      </c>
      <c r="L19" t="s">
        <v>1765</v>
      </c>
      <c r="N19">
        <v>999</v>
      </c>
      <c r="O19">
        <v>999</v>
      </c>
      <c r="Q19">
        <v>64</v>
      </c>
    </row>
    <row r="20" spans="1:17" x14ac:dyDescent="0.2">
      <c r="A20" t="str">
        <f ca="1">表_网址[[#This Row],[1级]]&amp;"-"&amp;表_网址[[#This Row],[2级]]&amp;"-"&amp;表_网址[[#This Row],[3级]]&amp;"-"&amp;表_网址[[#This Row],[级内]]</f>
        <v>1002-15-10-102</v>
      </c>
      <c r="B20">
        <f ca="1">MATCH(表_网址[[#This Row],[版层分类]],序列_版层分类,0)*1000+MATCH(表_网址[[#This Row],[首要关键词]],序列_首要关键词,0)</f>
        <v>1002</v>
      </c>
      <c r="C20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>
        <f>IF(AND(表_网址[[#This Row],[首要关键词]]=K19,表_网址[[#This Row],[次要关键词]]=L19,表_网址[[#This Row],[重点关键词]]=M19),E19+1,IF(表_网址[[#This Row],[重点关键词]]="",100,101))</f>
        <v>102</v>
      </c>
      <c r="F20" t="s">
        <v>1607</v>
      </c>
      <c r="G20" t="s">
        <v>1608</v>
      </c>
      <c r="I20" t="s">
        <v>1609</v>
      </c>
      <c r="J20" t="s">
        <v>1711</v>
      </c>
      <c r="K20" t="s">
        <v>577</v>
      </c>
      <c r="L20" t="s">
        <v>1765</v>
      </c>
      <c r="N20">
        <v>999</v>
      </c>
      <c r="O20">
        <v>999</v>
      </c>
      <c r="Q20">
        <v>128</v>
      </c>
    </row>
    <row r="21" spans="1:17" x14ac:dyDescent="0.2">
      <c r="A21" t="str">
        <f ca="1">表_网址[[#This Row],[1级]]&amp;"-"&amp;表_网址[[#This Row],[2级]]&amp;"-"&amp;表_网址[[#This Row],[3级]]&amp;"-"&amp;表_网址[[#This Row],[级内]]</f>
        <v>1002-16-10-100</v>
      </c>
      <c r="B21">
        <f ca="1">MATCH(表_网址[[#This Row],[版层分类]],序列_版层分类,0)*1000+MATCH(表_网址[[#This Row],[首要关键词]],序列_首要关键词,0)</f>
        <v>1002</v>
      </c>
      <c r="C21">
        <f ca="1">IF(表_网址[[#This Row],[次要关键词]]="",10,MATCH(表_网址[[#This Row],[次要关键词]],序列_次要关键词,0)+10)</f>
        <v>16</v>
      </c>
      <c r="D21">
        <f>IF(表_网址[[#This Row],[重点关键词]]="",10,MATCH(表_网址[[#This Row],[重点关键词]],序列_重点关键词,0)+10)</f>
        <v>10</v>
      </c>
      <c r="E21">
        <f>IF(AND(表_网址[[#This Row],[首要关键词]]=K20,表_网址[[#This Row],[次要关键词]]=L20,表_网址[[#This Row],[重点关键词]]=M20),E20+1,IF(表_网址[[#This Row],[重点关键词]]="",100,101))</f>
        <v>100</v>
      </c>
      <c r="F21" t="s">
        <v>1562</v>
      </c>
      <c r="G21" t="s">
        <v>1563</v>
      </c>
      <c r="I21" t="s">
        <v>1564</v>
      </c>
      <c r="J21" t="s">
        <v>1711</v>
      </c>
      <c r="K21" t="s">
        <v>577</v>
      </c>
      <c r="L21" t="s">
        <v>734</v>
      </c>
      <c r="N21">
        <v>999</v>
      </c>
      <c r="O21">
        <v>999</v>
      </c>
    </row>
    <row r="22" spans="1:17" x14ac:dyDescent="0.2">
      <c r="A22" t="str">
        <f ca="1">表_网址[[#This Row],[1级]]&amp;"-"&amp;表_网址[[#This Row],[2级]]&amp;"-"&amp;表_网址[[#This Row],[3级]]&amp;"-"&amp;表_网址[[#This Row],[级内]]</f>
        <v>1002-16-10-101</v>
      </c>
      <c r="B22">
        <f ca="1">MATCH(表_网址[[#This Row],[版层分类]],序列_版层分类,0)*1000+MATCH(表_网址[[#This Row],[首要关键词]],序列_首要关键词,0)</f>
        <v>1002</v>
      </c>
      <c r="C22">
        <f ca="1">IF(表_网址[[#This Row],[次要关键词]]="",10,MATCH(表_网址[[#This Row],[次要关键词]],序列_次要关键词,0)+10)</f>
        <v>16</v>
      </c>
      <c r="D22">
        <f>IF(表_网址[[#This Row],[重点关键词]]="",10,MATCH(表_网址[[#This Row],[重点关键词]],序列_重点关键词,0)+10)</f>
        <v>10</v>
      </c>
      <c r="E22">
        <f>IF(AND(表_网址[[#This Row],[首要关键词]]=K21,表_网址[[#This Row],[次要关键词]]=L21,表_网址[[#This Row],[重点关键词]]=M21),E21+1,IF(表_网址[[#This Row],[重点关键词]]="",100,101))</f>
        <v>101</v>
      </c>
      <c r="F22" t="s">
        <v>1558</v>
      </c>
      <c r="G22" t="s">
        <v>1559</v>
      </c>
      <c r="I22" t="s">
        <v>1560</v>
      </c>
      <c r="J22" t="s">
        <v>1711</v>
      </c>
      <c r="K22" t="s">
        <v>577</v>
      </c>
      <c r="L22" t="s">
        <v>734</v>
      </c>
      <c r="N22">
        <v>999</v>
      </c>
      <c r="O22">
        <v>999</v>
      </c>
      <c r="Q22">
        <v>32</v>
      </c>
    </row>
    <row r="23" spans="1:17" x14ac:dyDescent="0.2">
      <c r="A23" t="str">
        <f ca="1">表_网址[[#This Row],[1级]]&amp;"-"&amp;表_网址[[#This Row],[2级]]&amp;"-"&amp;表_网址[[#This Row],[3级]]&amp;"-"&amp;表_网址[[#This Row],[级内]]</f>
        <v>1002-16-10-102</v>
      </c>
      <c r="B23">
        <f ca="1">MATCH(表_网址[[#This Row],[版层分类]],序列_版层分类,0)*1000+MATCH(表_网址[[#This Row],[首要关键词]],序列_首要关键词,0)</f>
        <v>1002</v>
      </c>
      <c r="C23">
        <f ca="1">IF(表_网址[[#This Row],[次要关键词]]="",10,MATCH(表_网址[[#This Row],[次要关键词]],序列_次要关键词,0)+10)</f>
        <v>16</v>
      </c>
      <c r="D23">
        <f>IF(表_网址[[#This Row],[重点关键词]]="",10,MATCH(表_网址[[#This Row],[重点关键词]],序列_重点关键词,0)+10)</f>
        <v>10</v>
      </c>
      <c r="E23">
        <f>IF(AND(表_网址[[#This Row],[首要关键词]]=K22,表_网址[[#This Row],[次要关键词]]=L22,表_网址[[#This Row],[重点关键词]]=M22),E22+1,IF(表_网址[[#This Row],[重点关键词]]="",100,101))</f>
        <v>102</v>
      </c>
      <c r="F23" t="s">
        <v>1616</v>
      </c>
      <c r="G23" t="s">
        <v>1617</v>
      </c>
      <c r="H23" t="s">
        <v>29</v>
      </c>
      <c r="J23" t="s">
        <v>1711</v>
      </c>
      <c r="K23" t="s">
        <v>577</v>
      </c>
      <c r="L23" t="s">
        <v>734</v>
      </c>
      <c r="N23">
        <v>999</v>
      </c>
    </row>
    <row r="24" spans="1:17" x14ac:dyDescent="0.2">
      <c r="A24" t="str">
        <f ca="1">表_网址[[#This Row],[1级]]&amp;"-"&amp;表_网址[[#This Row],[2级]]&amp;"-"&amp;表_网址[[#This Row],[3级]]&amp;"-"&amp;表_网址[[#This Row],[级内]]</f>
        <v>1002-16-10-103</v>
      </c>
      <c r="B24">
        <f ca="1">MATCH(表_网址[[#This Row],[版层分类]],序列_版层分类,0)*1000+MATCH(表_网址[[#This Row],[首要关键词]],序列_首要关键词,0)</f>
        <v>1002</v>
      </c>
      <c r="C24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>
        <f>IF(AND(表_网址[[#This Row],[首要关键词]]=K23,表_网址[[#This Row],[次要关键词]]=L23,表_网址[[#This Row],[重点关键词]]=M23),E23+1,IF(表_网址[[#This Row],[重点关键词]]="",100,101))</f>
        <v>103</v>
      </c>
      <c r="F24" t="s">
        <v>1613</v>
      </c>
      <c r="G24" t="s">
        <v>1614</v>
      </c>
      <c r="I24" t="s">
        <v>1615</v>
      </c>
      <c r="J24" t="s">
        <v>1711</v>
      </c>
      <c r="K24" t="s">
        <v>577</v>
      </c>
      <c r="L24" t="s">
        <v>734</v>
      </c>
      <c r="N24">
        <v>999</v>
      </c>
      <c r="O24">
        <v>999</v>
      </c>
    </row>
    <row r="25" spans="1:17" x14ac:dyDescent="0.2">
      <c r="A25" t="str">
        <f ca="1">表_网址[[#This Row],[1级]]&amp;"-"&amp;表_网址[[#This Row],[2级]]&amp;"-"&amp;表_网址[[#This Row],[3级]]&amp;"-"&amp;表_网址[[#This Row],[级内]]</f>
        <v>1002-16-10-104</v>
      </c>
      <c r="B25">
        <f ca="1">MATCH(表_网址[[#This Row],[版层分类]],序列_版层分类,0)*1000+MATCH(表_网址[[#This Row],[首要关键词]],序列_首要关键词,0)</f>
        <v>1002</v>
      </c>
      <c r="C25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>
        <f>IF(AND(表_网址[[#This Row],[首要关键词]]=K24,表_网址[[#This Row],[次要关键词]]=L24,表_网址[[#This Row],[重点关键词]]=M24),E24+1,IF(表_网址[[#This Row],[重点关键词]]="",100,101))</f>
        <v>104</v>
      </c>
      <c r="F25" t="s">
        <v>1565</v>
      </c>
      <c r="G25" t="s">
        <v>1566</v>
      </c>
      <c r="I25" t="s">
        <v>1567</v>
      </c>
      <c r="J25" t="s">
        <v>1711</v>
      </c>
      <c r="K25" t="s">
        <v>577</v>
      </c>
      <c r="L25" t="s">
        <v>734</v>
      </c>
      <c r="N25">
        <v>999</v>
      </c>
      <c r="O25">
        <v>999</v>
      </c>
    </row>
    <row r="26" spans="1:17" x14ac:dyDescent="0.2">
      <c r="A26" t="str">
        <f ca="1">表_网址[[#This Row],[1级]]&amp;"-"&amp;表_网址[[#This Row],[2级]]&amp;"-"&amp;表_网址[[#This Row],[3级]]&amp;"-"&amp;表_网址[[#This Row],[级内]]</f>
        <v>1002-16-10-105</v>
      </c>
      <c r="B26">
        <f ca="1">MATCH(表_网址[[#This Row],[版层分类]],序列_版层分类,0)*1000+MATCH(表_网址[[#This Row],[首要关键词]],序列_首要关键词,0)</f>
        <v>1002</v>
      </c>
      <c r="C26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>
        <f>IF(AND(表_网址[[#This Row],[首要关键词]]=K25,表_网址[[#This Row],[次要关键词]]=L25,表_网址[[#This Row],[重点关键词]]=M25),E25+1,IF(表_网址[[#This Row],[重点关键词]]="",100,101))</f>
        <v>105</v>
      </c>
      <c r="F26" t="s">
        <v>1618</v>
      </c>
      <c r="G26" t="s">
        <v>1619</v>
      </c>
      <c r="J26" t="s">
        <v>1711</v>
      </c>
      <c r="K26" t="s">
        <v>577</v>
      </c>
      <c r="L26" t="s">
        <v>734</v>
      </c>
      <c r="N26">
        <v>999</v>
      </c>
    </row>
    <row r="27" spans="1:17" x14ac:dyDescent="0.2">
      <c r="A27" t="str">
        <f ca="1">表_网址[[#This Row],[1级]]&amp;"-"&amp;表_网址[[#This Row],[2级]]&amp;"-"&amp;表_网址[[#This Row],[3级]]&amp;"-"&amp;表_网址[[#This Row],[级内]]</f>
        <v>1002-16-10-106</v>
      </c>
      <c r="B27">
        <f ca="1">MATCH(表_网址[[#This Row],[版层分类]],序列_版层分类,0)*1000+MATCH(表_网址[[#This Row],[首要关键词]],序列_首要关键词,0)</f>
        <v>1002</v>
      </c>
      <c r="C27">
        <f ca="1">IF(表_网址[[#This Row],[次要关键词]]="",10,MATCH(表_网址[[#This Row],[次要关键词]],序列_次要关键词,0)+10)</f>
        <v>16</v>
      </c>
      <c r="D27">
        <f>IF(表_网址[[#This Row],[重点关键词]]="",10,MATCH(表_网址[[#This Row],[重点关键词]],序列_重点关键词,0)+10)</f>
        <v>10</v>
      </c>
      <c r="E27">
        <f>IF(AND(表_网址[[#This Row],[首要关键词]]=K26,表_网址[[#This Row],[次要关键词]]=L26,表_网址[[#This Row],[重点关键词]]=M26),E26+1,IF(表_网址[[#This Row],[重点关键词]]="",100,101))</f>
        <v>106</v>
      </c>
      <c r="F27" t="s">
        <v>1620</v>
      </c>
      <c r="G27" t="s">
        <v>1621</v>
      </c>
      <c r="H27" t="s">
        <v>29</v>
      </c>
      <c r="J27" t="s">
        <v>1711</v>
      </c>
      <c r="K27" t="s">
        <v>577</v>
      </c>
      <c r="L27" t="s">
        <v>734</v>
      </c>
      <c r="N27">
        <v>999</v>
      </c>
    </row>
    <row r="28" spans="1:17" x14ac:dyDescent="0.2">
      <c r="A28" t="str">
        <f ca="1">表_网址[[#This Row],[1级]]&amp;"-"&amp;表_网址[[#This Row],[2级]]&amp;"-"&amp;表_网址[[#This Row],[3级]]&amp;"-"&amp;表_网址[[#This Row],[级内]]</f>
        <v>1002-16-10-107</v>
      </c>
      <c r="B28">
        <f ca="1">MATCH(表_网址[[#This Row],[版层分类]],序列_版层分类,0)*1000+MATCH(表_网址[[#This Row],[首要关键词]],序列_首要关键词,0)</f>
        <v>1002</v>
      </c>
      <c r="C28">
        <f ca="1">IF(表_网址[[#This Row],[次要关键词]]="",10,MATCH(表_网址[[#This Row],[次要关键词]],序列_次要关键词,0)+10)</f>
        <v>16</v>
      </c>
      <c r="D28">
        <f>IF(表_网址[[#This Row],[重点关键词]]="",10,MATCH(表_网址[[#This Row],[重点关键词]],序列_重点关键词,0)+10)</f>
        <v>10</v>
      </c>
      <c r="E28">
        <f>IF(AND(表_网址[[#This Row],[首要关键词]]=K27,表_网址[[#This Row],[次要关键词]]=L27,表_网址[[#This Row],[重点关键词]]=M27),E27+1,IF(表_网址[[#This Row],[重点关键词]]="",100,101))</f>
        <v>107</v>
      </c>
      <c r="F28" t="s">
        <v>1580</v>
      </c>
      <c r="G28" t="s">
        <v>1581</v>
      </c>
      <c r="I28" t="s">
        <v>1582</v>
      </c>
      <c r="J28" t="s">
        <v>1711</v>
      </c>
      <c r="K28" t="s">
        <v>577</v>
      </c>
      <c r="L28" t="s">
        <v>734</v>
      </c>
      <c r="N28">
        <v>999</v>
      </c>
      <c r="O28">
        <v>999</v>
      </c>
      <c r="Q28">
        <v>32</v>
      </c>
    </row>
    <row r="29" spans="1:17" x14ac:dyDescent="0.2">
      <c r="A29" t="str">
        <f ca="1">表_网址[[#This Row],[1级]]&amp;"-"&amp;表_网址[[#This Row],[2级]]&amp;"-"&amp;表_网址[[#This Row],[3级]]&amp;"-"&amp;表_网址[[#This Row],[级内]]</f>
        <v>1002-16-10-108</v>
      </c>
      <c r="B29">
        <f ca="1">MATCH(表_网址[[#This Row],[版层分类]],序列_版层分类,0)*1000+MATCH(表_网址[[#This Row],[首要关键词]],序列_首要关键词,0)</f>
        <v>1002</v>
      </c>
      <c r="C29">
        <f ca="1">IF(表_网址[[#This Row],[次要关键词]]="",10,MATCH(表_网址[[#This Row],[次要关键词]],序列_次要关键词,0)+10)</f>
        <v>16</v>
      </c>
      <c r="D29">
        <f>IF(表_网址[[#This Row],[重点关键词]]="",10,MATCH(表_网址[[#This Row],[重点关键词]],序列_重点关键词,0)+10)</f>
        <v>10</v>
      </c>
      <c r="E29">
        <f>IF(AND(表_网址[[#This Row],[首要关键词]]=K28,表_网址[[#This Row],[次要关键词]]=L28,表_网址[[#This Row],[重点关键词]]=M28),E28+1,IF(表_网址[[#This Row],[重点关键词]]="",100,101))</f>
        <v>108</v>
      </c>
      <c r="F29" t="s">
        <v>1595</v>
      </c>
      <c r="G29" t="s">
        <v>1596</v>
      </c>
      <c r="I29" t="s">
        <v>1597</v>
      </c>
      <c r="J29" t="s">
        <v>1711</v>
      </c>
      <c r="K29" t="s">
        <v>577</v>
      </c>
      <c r="L29" t="s">
        <v>734</v>
      </c>
      <c r="N29">
        <v>999</v>
      </c>
      <c r="O29">
        <v>999</v>
      </c>
    </row>
    <row r="30" spans="1:17" x14ac:dyDescent="0.2">
      <c r="A30" t="str">
        <f ca="1">表_网址[[#This Row],[1级]]&amp;"-"&amp;表_网址[[#This Row],[2级]]&amp;"-"&amp;表_网址[[#This Row],[3级]]&amp;"-"&amp;表_网址[[#This Row],[级内]]</f>
        <v>1002-16-10-109</v>
      </c>
      <c r="B30">
        <f ca="1">MATCH(表_网址[[#This Row],[版层分类]],序列_版层分类,0)*1000+MATCH(表_网址[[#This Row],[首要关键词]],序列_首要关键词,0)</f>
        <v>1002</v>
      </c>
      <c r="C30">
        <f ca="1">IF(表_网址[[#This Row],[次要关键词]]="",10,MATCH(表_网址[[#This Row],[次要关键词]],序列_次要关键词,0)+10)</f>
        <v>16</v>
      </c>
      <c r="D30">
        <f>IF(表_网址[[#This Row],[重点关键词]]="",10,MATCH(表_网址[[#This Row],[重点关键词]],序列_重点关键词,0)+10)</f>
        <v>10</v>
      </c>
      <c r="E30">
        <f>IF(AND(表_网址[[#This Row],[首要关键词]]=K29,表_网址[[#This Row],[次要关键词]]=L29,表_网址[[#This Row],[重点关键词]]=M29),E29+1,IF(表_网址[[#This Row],[重点关键词]]="",100,101))</f>
        <v>109</v>
      </c>
      <c r="F30" t="s">
        <v>1610</v>
      </c>
      <c r="G30" t="s">
        <v>1611</v>
      </c>
      <c r="I30" t="s">
        <v>1612</v>
      </c>
      <c r="J30" t="s">
        <v>1711</v>
      </c>
      <c r="K30" t="s">
        <v>577</v>
      </c>
      <c r="L30" t="s">
        <v>734</v>
      </c>
      <c r="N30">
        <v>999</v>
      </c>
      <c r="O30">
        <v>999</v>
      </c>
    </row>
    <row r="31" spans="1:17" x14ac:dyDescent="0.2">
      <c r="A31" t="str">
        <f ca="1">表_网址[[#This Row],[1级]]&amp;"-"&amp;表_网址[[#This Row],[2级]]&amp;"-"&amp;表_网址[[#This Row],[3级]]&amp;"-"&amp;表_网址[[#This Row],[级内]]</f>
        <v>1002-16-10-110</v>
      </c>
      <c r="B31">
        <f ca="1">MATCH(表_网址[[#This Row],[版层分类]],序列_版层分类,0)*1000+MATCH(表_网址[[#This Row],[首要关键词]],序列_首要关键词,0)</f>
        <v>1002</v>
      </c>
      <c r="C31">
        <f ca="1">IF(表_网址[[#This Row],[次要关键词]]="",10,MATCH(表_网址[[#This Row],[次要关键词]],序列_次要关键词,0)+10)</f>
        <v>16</v>
      </c>
      <c r="D31">
        <f>IF(表_网址[[#This Row],[重点关键词]]="",10,MATCH(表_网址[[#This Row],[重点关键词]],序列_重点关键词,0)+10)</f>
        <v>10</v>
      </c>
      <c r="E31">
        <f>IF(AND(表_网址[[#This Row],[首要关键词]]=K30,表_网址[[#This Row],[次要关键词]]=L30,表_网址[[#This Row],[重点关键词]]=M30),E30+1,IF(表_网址[[#This Row],[重点关键词]]="",100,101))</f>
        <v>110</v>
      </c>
      <c r="F31" t="s">
        <v>1571</v>
      </c>
      <c r="G31" t="s">
        <v>1572</v>
      </c>
      <c r="I31" t="s">
        <v>1573</v>
      </c>
      <c r="J31" t="s">
        <v>1711</v>
      </c>
      <c r="K31" t="s">
        <v>577</v>
      </c>
      <c r="L31" t="s">
        <v>734</v>
      </c>
      <c r="N31">
        <v>999</v>
      </c>
      <c r="O31">
        <v>999</v>
      </c>
    </row>
    <row r="32" spans="1:17" x14ac:dyDescent="0.2">
      <c r="A32" t="str">
        <f ca="1">表_网址[[#This Row],[1级]]&amp;"-"&amp;表_网址[[#This Row],[2级]]&amp;"-"&amp;表_网址[[#This Row],[3级]]&amp;"-"&amp;表_网址[[#This Row],[级内]]</f>
        <v>1002-16-10-111</v>
      </c>
      <c r="B32">
        <f ca="1">MATCH(表_网址[[#This Row],[版层分类]],序列_版层分类,0)*1000+MATCH(表_网址[[#This Row],[首要关键词]],序列_首要关键词,0)</f>
        <v>1002</v>
      </c>
      <c r="C32">
        <f ca="1">IF(表_网址[[#This Row],[次要关键词]]="",10,MATCH(表_网址[[#This Row],[次要关键词]],序列_次要关键词,0)+10)</f>
        <v>16</v>
      </c>
      <c r="D32">
        <f>IF(表_网址[[#This Row],[重点关键词]]="",10,MATCH(表_网址[[#This Row],[重点关键词]],序列_重点关键词,0)+10)</f>
        <v>10</v>
      </c>
      <c r="E32">
        <f>IF(AND(表_网址[[#This Row],[首要关键词]]=K31,表_网址[[#This Row],[次要关键词]]=L31,表_网址[[#This Row],[重点关键词]]=M31),E31+1,IF(表_网址[[#This Row],[重点关键词]]="",100,101))</f>
        <v>111</v>
      </c>
      <c r="F32" t="s">
        <v>1583</v>
      </c>
      <c r="G32" t="s">
        <v>1584</v>
      </c>
      <c r="I32" t="s">
        <v>1585</v>
      </c>
      <c r="J32" t="s">
        <v>1711</v>
      </c>
      <c r="K32" t="s">
        <v>577</v>
      </c>
      <c r="L32" t="s">
        <v>734</v>
      </c>
      <c r="N32">
        <v>999</v>
      </c>
      <c r="O32">
        <v>999</v>
      </c>
    </row>
    <row r="33" spans="1:17" x14ac:dyDescent="0.2">
      <c r="A33" t="str">
        <f ca="1">表_网址[[#This Row],[1级]]&amp;"-"&amp;表_网址[[#This Row],[2级]]&amp;"-"&amp;表_网址[[#This Row],[3级]]&amp;"-"&amp;表_网址[[#This Row],[级内]]</f>
        <v>1002-16-10-112</v>
      </c>
      <c r="B33">
        <f ca="1">MATCH(表_网址[[#This Row],[版层分类]],序列_版层分类,0)*1000+MATCH(表_网址[[#This Row],[首要关键词]],序列_首要关键词,0)</f>
        <v>1002</v>
      </c>
      <c r="C33">
        <f ca="1">IF(表_网址[[#This Row],[次要关键词]]="",10,MATCH(表_网址[[#This Row],[次要关键词]],序列_次要关键词,0)+10)</f>
        <v>16</v>
      </c>
      <c r="D33">
        <f>IF(表_网址[[#This Row],[重点关键词]]="",10,MATCH(表_网址[[#This Row],[重点关键词]],序列_重点关键词,0)+10)</f>
        <v>10</v>
      </c>
      <c r="E33">
        <f>IF(AND(表_网址[[#This Row],[首要关键词]]=K32,表_网址[[#This Row],[次要关键词]]=L32,表_网址[[#This Row],[重点关键词]]=M32),E32+1,IF(表_网址[[#This Row],[重点关键词]]="",100,101))</f>
        <v>112</v>
      </c>
      <c r="F33" t="s">
        <v>1598</v>
      </c>
      <c r="G33" t="s">
        <v>1599</v>
      </c>
      <c r="I33" t="s">
        <v>1600</v>
      </c>
      <c r="J33" t="s">
        <v>1711</v>
      </c>
      <c r="K33" t="s">
        <v>577</v>
      </c>
      <c r="L33" t="s">
        <v>734</v>
      </c>
      <c r="N33">
        <v>999</v>
      </c>
      <c r="O33">
        <v>999</v>
      </c>
      <c r="Q33">
        <v>80</v>
      </c>
    </row>
    <row r="34" spans="1:17" x14ac:dyDescent="0.2">
      <c r="A34" t="str">
        <f ca="1">表_网址[[#This Row],[1级]]&amp;"-"&amp;表_网址[[#This Row],[2级]]&amp;"-"&amp;表_网址[[#This Row],[3级]]&amp;"-"&amp;表_网址[[#This Row],[级内]]</f>
        <v>1002-16-10-113</v>
      </c>
      <c r="B34">
        <f ca="1">MATCH(表_网址[[#This Row],[版层分类]],序列_版层分类,0)*1000+MATCH(表_网址[[#This Row],[首要关键词]],序列_首要关键词,0)</f>
        <v>1002</v>
      </c>
      <c r="C34">
        <f ca="1">IF(表_网址[[#This Row],[次要关键词]]="",10,MATCH(表_网址[[#This Row],[次要关键词]],序列_次要关键词,0)+10)</f>
        <v>16</v>
      </c>
      <c r="D34">
        <f>IF(表_网址[[#This Row],[重点关键词]]="",10,MATCH(表_网址[[#This Row],[重点关键词]],序列_重点关键词,0)+10)</f>
        <v>10</v>
      </c>
      <c r="E34">
        <f>IF(AND(表_网址[[#This Row],[首要关键词]]=K33,表_网址[[#This Row],[次要关键词]]=L33,表_网址[[#This Row],[重点关键词]]=M33),E33+1,IF(表_网址[[#This Row],[重点关键词]]="",100,101))</f>
        <v>113</v>
      </c>
      <c r="F34" t="s">
        <v>1622</v>
      </c>
      <c r="G34" t="s">
        <v>1623</v>
      </c>
      <c r="H34" t="s">
        <v>29</v>
      </c>
      <c r="J34" t="s">
        <v>1711</v>
      </c>
      <c r="K34" t="s">
        <v>577</v>
      </c>
      <c r="L34" t="s">
        <v>734</v>
      </c>
      <c r="N34">
        <v>999</v>
      </c>
    </row>
    <row r="35" spans="1:17" x14ac:dyDescent="0.2">
      <c r="A35" t="str">
        <f ca="1">表_网址[[#This Row],[1级]]&amp;"-"&amp;表_网址[[#This Row],[2级]]&amp;"-"&amp;表_网址[[#This Row],[3级]]&amp;"-"&amp;表_网址[[#This Row],[级内]]</f>
        <v>1002-16-10-114</v>
      </c>
      <c r="B35">
        <f ca="1">MATCH(表_网址[[#This Row],[版层分类]],序列_版层分类,0)*1000+MATCH(表_网址[[#This Row],[首要关键词]],序列_首要关键词,0)</f>
        <v>1002</v>
      </c>
      <c r="C35">
        <f ca="1">IF(表_网址[[#This Row],[次要关键词]]="",10,MATCH(表_网址[[#This Row],[次要关键词]],序列_次要关键词,0)+10)</f>
        <v>16</v>
      </c>
      <c r="D35">
        <f>IF(表_网址[[#This Row],[重点关键词]]="",10,MATCH(表_网址[[#This Row],[重点关键词]],序列_重点关键词,0)+10)</f>
        <v>10</v>
      </c>
      <c r="E35">
        <f>IF(AND(表_网址[[#This Row],[首要关键词]]=K34,表_网址[[#This Row],[次要关键词]]=L34,表_网址[[#This Row],[重点关键词]]=M34),E34+1,IF(表_网址[[#This Row],[重点关键词]]="",100,101))</f>
        <v>114</v>
      </c>
      <c r="F35" t="s">
        <v>1586</v>
      </c>
      <c r="G35" t="s">
        <v>1587</v>
      </c>
      <c r="I35" t="s">
        <v>1588</v>
      </c>
      <c r="J35" t="s">
        <v>1711</v>
      </c>
      <c r="K35" t="s">
        <v>577</v>
      </c>
      <c r="L35" t="s">
        <v>734</v>
      </c>
      <c r="N35">
        <v>999</v>
      </c>
      <c r="O35">
        <v>999</v>
      </c>
    </row>
    <row r="36" spans="1:17" x14ac:dyDescent="0.2">
      <c r="A36" t="str">
        <f ca="1">表_网址[[#This Row],[1级]]&amp;"-"&amp;表_网址[[#This Row],[2级]]&amp;"-"&amp;表_网址[[#This Row],[3级]]&amp;"-"&amp;表_网址[[#This Row],[级内]]</f>
        <v>1002-16-10-115</v>
      </c>
      <c r="B36">
        <f ca="1">MATCH(表_网址[[#This Row],[版层分类]],序列_版层分类,0)*1000+MATCH(表_网址[[#This Row],[首要关键词]],序列_首要关键词,0)</f>
        <v>1002</v>
      </c>
      <c r="C36">
        <f ca="1">IF(表_网址[[#This Row],[次要关键词]]="",10,MATCH(表_网址[[#This Row],[次要关键词]],序列_次要关键词,0)+10)</f>
        <v>16</v>
      </c>
      <c r="D36">
        <f>IF(表_网址[[#This Row],[重点关键词]]="",10,MATCH(表_网址[[#This Row],[重点关键词]],序列_重点关键词,0)+10)</f>
        <v>10</v>
      </c>
      <c r="E36">
        <f>IF(AND(表_网址[[#This Row],[首要关键词]]=K35,表_网址[[#This Row],[次要关键词]]=L35,表_网址[[#This Row],[重点关键词]]=M35),E35+1,IF(表_网址[[#This Row],[重点关键词]]="",100,101))</f>
        <v>115</v>
      </c>
      <c r="F36" t="s">
        <v>1601</v>
      </c>
      <c r="G36" t="s">
        <v>1602</v>
      </c>
      <c r="I36" t="s">
        <v>1603</v>
      </c>
      <c r="J36" t="s">
        <v>1711</v>
      </c>
      <c r="K36" t="s">
        <v>577</v>
      </c>
      <c r="L36" t="s">
        <v>734</v>
      </c>
      <c r="N36">
        <v>999</v>
      </c>
      <c r="O36">
        <v>999</v>
      </c>
    </row>
    <row r="37" spans="1:17" x14ac:dyDescent="0.2">
      <c r="A37" t="str">
        <f ca="1">表_网址[[#This Row],[1级]]&amp;"-"&amp;表_网址[[#This Row],[2级]]&amp;"-"&amp;表_网址[[#This Row],[3级]]&amp;"-"&amp;表_网址[[#This Row],[级内]]</f>
        <v>1002-16-10-116</v>
      </c>
      <c r="B37">
        <f ca="1">MATCH(表_网址[[#This Row],[版层分类]],序列_版层分类,0)*1000+MATCH(表_网址[[#This Row],[首要关键词]],序列_首要关键词,0)</f>
        <v>1002</v>
      </c>
      <c r="C37">
        <f ca="1">IF(表_网址[[#This Row],[次要关键词]]="",10,MATCH(表_网址[[#This Row],[次要关键词]],序列_次要关键词,0)+10)</f>
        <v>16</v>
      </c>
      <c r="D37">
        <f>IF(表_网址[[#This Row],[重点关键词]]="",10,MATCH(表_网址[[#This Row],[重点关键词]],序列_重点关键词,0)+10)</f>
        <v>10</v>
      </c>
      <c r="E37">
        <f>IF(AND(表_网址[[#This Row],[首要关键词]]=K36,表_网址[[#This Row],[次要关键词]]=L36,表_网址[[#This Row],[重点关键词]]=M36),E36+1,IF(表_网址[[#This Row],[重点关键词]]="",100,101))</f>
        <v>116</v>
      </c>
      <c r="F37" t="s">
        <v>1574</v>
      </c>
      <c r="G37" t="s">
        <v>1575</v>
      </c>
      <c r="I37" t="s">
        <v>1576</v>
      </c>
      <c r="J37" t="s">
        <v>1711</v>
      </c>
      <c r="K37" t="s">
        <v>577</v>
      </c>
      <c r="L37" t="s">
        <v>734</v>
      </c>
      <c r="N37">
        <v>999</v>
      </c>
      <c r="O37">
        <v>999</v>
      </c>
    </row>
    <row r="38" spans="1:17" x14ac:dyDescent="0.2">
      <c r="A38" t="str">
        <f ca="1">表_网址[[#This Row],[1级]]&amp;"-"&amp;表_网址[[#This Row],[2级]]&amp;"-"&amp;表_网址[[#This Row],[3级]]&amp;"-"&amp;表_网址[[#This Row],[级内]]</f>
        <v>1002-16-10-117</v>
      </c>
      <c r="B38">
        <f ca="1">MATCH(表_网址[[#This Row],[版层分类]],序列_版层分类,0)*1000+MATCH(表_网址[[#This Row],[首要关键词]],序列_首要关键词,0)</f>
        <v>1002</v>
      </c>
      <c r="C38">
        <f ca="1">IF(表_网址[[#This Row],[次要关键词]]="",10,MATCH(表_网址[[#This Row],[次要关键词]],序列_次要关键词,0)+10)</f>
        <v>16</v>
      </c>
      <c r="D38">
        <f>IF(表_网址[[#This Row],[重点关键词]]="",10,MATCH(表_网址[[#This Row],[重点关键词]],序列_重点关键词,0)+10)</f>
        <v>10</v>
      </c>
      <c r="E38">
        <f>IF(AND(表_网址[[#This Row],[首要关键词]]=K37,表_网址[[#This Row],[次要关键词]]=L37,表_网址[[#This Row],[重点关键词]]=M37),E37+1,IF(表_网址[[#This Row],[重点关键词]]="",100,101))</f>
        <v>117</v>
      </c>
      <c r="F38" t="s">
        <v>1589</v>
      </c>
      <c r="G38" t="s">
        <v>1590</v>
      </c>
      <c r="I38" t="s">
        <v>1591</v>
      </c>
      <c r="J38" t="s">
        <v>1711</v>
      </c>
      <c r="K38" t="s">
        <v>577</v>
      </c>
      <c r="L38" t="s">
        <v>734</v>
      </c>
      <c r="N38">
        <v>999</v>
      </c>
      <c r="O38">
        <v>999</v>
      </c>
      <c r="Q38">
        <v>48</v>
      </c>
    </row>
    <row r="39" spans="1:17" x14ac:dyDescent="0.2">
      <c r="A39" t="str">
        <f ca="1">表_网址[[#This Row],[1级]]&amp;"-"&amp;表_网址[[#This Row],[2级]]&amp;"-"&amp;表_网址[[#This Row],[3级]]&amp;"-"&amp;表_网址[[#This Row],[级内]]</f>
        <v>1002-16-10-118</v>
      </c>
      <c r="B39">
        <f ca="1">MATCH(表_网址[[#This Row],[版层分类]],序列_版层分类,0)*1000+MATCH(表_网址[[#This Row],[首要关键词]],序列_首要关键词,0)</f>
        <v>1002</v>
      </c>
      <c r="C39">
        <f ca="1">IF(表_网址[[#This Row],[次要关键词]]="",10,MATCH(表_网址[[#This Row],[次要关键词]],序列_次要关键词,0)+10)</f>
        <v>16</v>
      </c>
      <c r="D39">
        <f>IF(表_网址[[#This Row],[重点关键词]]="",10,MATCH(表_网址[[#This Row],[重点关键词]],序列_重点关键词,0)+10)</f>
        <v>10</v>
      </c>
      <c r="E39">
        <f>IF(AND(表_网址[[#This Row],[首要关键词]]=K38,表_网址[[#This Row],[次要关键词]]=L38,表_网址[[#This Row],[重点关键词]]=M38),E38+1,IF(表_网址[[#This Row],[重点关键词]]="",100,101))</f>
        <v>118</v>
      </c>
      <c r="F39" t="s">
        <v>1604</v>
      </c>
      <c r="G39" t="s">
        <v>1605</v>
      </c>
      <c r="I39" t="s">
        <v>1606</v>
      </c>
      <c r="J39" t="s">
        <v>1711</v>
      </c>
      <c r="K39" t="s">
        <v>577</v>
      </c>
      <c r="L39" t="s">
        <v>734</v>
      </c>
      <c r="N39">
        <v>999</v>
      </c>
      <c r="O39">
        <v>999</v>
      </c>
    </row>
    <row r="40" spans="1:17" x14ac:dyDescent="0.2">
      <c r="A40" t="str">
        <f ca="1">表_网址[[#This Row],[1级]]&amp;"-"&amp;表_网址[[#This Row],[2级]]&amp;"-"&amp;表_网址[[#This Row],[3级]]&amp;"-"&amp;表_网址[[#This Row],[级内]]</f>
        <v>1003-10-10-100</v>
      </c>
      <c r="B40">
        <f ca="1">MATCH(表_网址[[#This Row],[版层分类]],序列_版层分类,0)*1000+MATCH(表_网址[[#This Row],[首要关键词]],序列_首要关键词,0)</f>
        <v>1003</v>
      </c>
      <c r="C40">
        <f>IF(表_网址[[#This Row],[次要关键词]]="",10,MATCH(表_网址[[#This Row],[次要关键词]],序列_次要关键词,0)+10)</f>
        <v>10</v>
      </c>
      <c r="D40">
        <f>IF(表_网址[[#This Row],[重点关键词]]="",10,MATCH(表_网址[[#This Row],[重点关键词]],序列_重点关键词,0)+10)</f>
        <v>10</v>
      </c>
      <c r="E40">
        <f>IF(AND(表_网址[[#This Row],[首要关键词]]=K39,表_网址[[#This Row],[次要关键词]]=L39,表_网址[[#This Row],[重点关键词]]=M39),E39+1,IF(表_网址[[#This Row],[重点关键词]]="",100,101))</f>
        <v>100</v>
      </c>
      <c r="F40" t="s">
        <v>595</v>
      </c>
      <c r="G40" t="s">
        <v>596</v>
      </c>
      <c r="I40" t="s">
        <v>597</v>
      </c>
      <c r="J40" t="s">
        <v>1711</v>
      </c>
      <c r="K40" t="s">
        <v>598</v>
      </c>
      <c r="N40">
        <v>999</v>
      </c>
      <c r="O40">
        <v>999</v>
      </c>
      <c r="Q40">
        <v>16</v>
      </c>
    </row>
    <row r="41" spans="1:17" x14ac:dyDescent="0.2">
      <c r="A41" t="str">
        <f ca="1">表_网址[[#This Row],[1级]]&amp;"-"&amp;表_网址[[#This Row],[2级]]&amp;"-"&amp;表_网址[[#This Row],[3级]]&amp;"-"&amp;表_网址[[#This Row],[级内]]</f>
        <v>1003-10-10-101</v>
      </c>
      <c r="B41">
        <f ca="1">MATCH(表_网址[[#This Row],[版层分类]],序列_版层分类,0)*1000+MATCH(表_网址[[#This Row],[首要关键词]],序列_首要关键词,0)</f>
        <v>1003</v>
      </c>
      <c r="C41">
        <f>IF(表_网址[[#This Row],[次要关键词]]="",10,MATCH(表_网址[[#This Row],[次要关键词]],序列_次要关键词,0)+10)</f>
        <v>10</v>
      </c>
      <c r="D41">
        <f>IF(表_网址[[#This Row],[重点关键词]]="",10,MATCH(表_网址[[#This Row],[重点关键词]],序列_重点关键词,0)+10)</f>
        <v>10</v>
      </c>
      <c r="E41">
        <f>IF(AND(表_网址[[#This Row],[首要关键词]]=K40,表_网址[[#This Row],[次要关键词]]=L40,表_网址[[#This Row],[重点关键词]]=M40),E40+1,IF(表_网址[[#This Row],[重点关键词]]="",100,101))</f>
        <v>101</v>
      </c>
      <c r="F41" t="s">
        <v>599</v>
      </c>
      <c r="G41" t="s">
        <v>600</v>
      </c>
      <c r="I41" t="s">
        <v>601</v>
      </c>
      <c r="J41" t="s">
        <v>1711</v>
      </c>
      <c r="K41" t="s">
        <v>598</v>
      </c>
      <c r="N41">
        <v>999</v>
      </c>
      <c r="O41">
        <v>999</v>
      </c>
      <c r="Q41">
        <v>32</v>
      </c>
    </row>
    <row r="42" spans="1:17" x14ac:dyDescent="0.2">
      <c r="A42" t="str">
        <f ca="1">表_网址[[#This Row],[1级]]&amp;"-"&amp;表_网址[[#This Row],[2级]]&amp;"-"&amp;表_网址[[#This Row],[3级]]&amp;"-"&amp;表_网址[[#This Row],[级内]]</f>
        <v>1003-10-10-102</v>
      </c>
      <c r="B42">
        <f ca="1">MATCH(表_网址[[#This Row],[版层分类]],序列_版层分类,0)*1000+MATCH(表_网址[[#This Row],[首要关键词]],序列_首要关键词,0)</f>
        <v>1003</v>
      </c>
      <c r="C42">
        <f>IF(表_网址[[#This Row],[次要关键词]]="",10,MATCH(表_网址[[#This Row],[次要关键词]],序列_次要关键词,0)+10)</f>
        <v>10</v>
      </c>
      <c r="D42">
        <f>IF(表_网址[[#This Row],[重点关键词]]="",10,MATCH(表_网址[[#This Row],[重点关键词]],序列_重点关键词,0)+10)</f>
        <v>10</v>
      </c>
      <c r="E42">
        <f>IF(AND(表_网址[[#This Row],[首要关键词]]=K41,表_网址[[#This Row],[次要关键词]]=L41,表_网址[[#This Row],[重点关键词]]=M41),E41+1,IF(表_网址[[#This Row],[重点关键词]]="",100,101))</f>
        <v>102</v>
      </c>
      <c r="F42" t="s">
        <v>602</v>
      </c>
      <c r="G42" t="s">
        <v>603</v>
      </c>
      <c r="I42" t="s">
        <v>604</v>
      </c>
      <c r="J42" t="s">
        <v>1711</v>
      </c>
      <c r="K42" t="s">
        <v>598</v>
      </c>
      <c r="N42">
        <v>999</v>
      </c>
      <c r="O42">
        <v>999</v>
      </c>
      <c r="Q42">
        <v>48</v>
      </c>
    </row>
    <row r="43" spans="1:17" x14ac:dyDescent="0.2">
      <c r="A43" t="str">
        <f ca="1">表_网址[[#This Row],[1级]]&amp;"-"&amp;表_网址[[#This Row],[2级]]&amp;"-"&amp;表_网址[[#This Row],[3级]]&amp;"-"&amp;表_网址[[#This Row],[级内]]</f>
        <v>2002-10-10-100</v>
      </c>
      <c r="B43">
        <f ca="1">MATCH(表_网址[[#This Row],[版层分类]],序列_版层分类,0)*1000+MATCH(表_网址[[#This Row],[首要关键词]],序列_首要关键词,0)</f>
        <v>2002</v>
      </c>
      <c r="C43">
        <f>IF(表_网址[[#This Row],[次要关键词]]="",10,MATCH(表_网址[[#This Row],[次要关键词]],序列_次要关键词,0)+10)</f>
        <v>10</v>
      </c>
      <c r="D43">
        <f>IF(表_网址[[#This Row],[重点关键词]]="",10,MATCH(表_网址[[#This Row],[重点关键词]],序列_重点关键词,0)+10)</f>
        <v>10</v>
      </c>
      <c r="E43">
        <f>IF(AND(表_网址[[#This Row],[首要关键词]]=K42,表_网址[[#This Row],[次要关键词]]=L42,表_网址[[#This Row],[重点关键词]]=M42),E42+1,IF(表_网址[[#This Row],[重点关键词]]="",100,101))</f>
        <v>100</v>
      </c>
      <c r="F43" t="s">
        <v>605</v>
      </c>
      <c r="G43" t="s">
        <v>606</v>
      </c>
      <c r="I43" t="s">
        <v>607</v>
      </c>
      <c r="J43" t="s">
        <v>1744</v>
      </c>
      <c r="K43" t="s">
        <v>608</v>
      </c>
      <c r="N43">
        <v>999</v>
      </c>
      <c r="O43">
        <v>999</v>
      </c>
      <c r="Q43">
        <v>32</v>
      </c>
    </row>
    <row r="44" spans="1:17" x14ac:dyDescent="0.2">
      <c r="A44" t="str">
        <f ca="1">表_网址[[#This Row],[1级]]&amp;"-"&amp;表_网址[[#This Row],[2级]]&amp;"-"&amp;表_网址[[#This Row],[3级]]&amp;"-"&amp;表_网址[[#This Row],[级内]]</f>
        <v>2002-10-10-101</v>
      </c>
      <c r="B44">
        <f ca="1">MATCH(表_网址[[#This Row],[版层分类]],序列_版层分类,0)*1000+MATCH(表_网址[[#This Row],[首要关键词]],序列_首要关键词,0)</f>
        <v>2002</v>
      </c>
      <c r="C44">
        <f>IF(表_网址[[#This Row],[次要关键词]]="",10,MATCH(表_网址[[#This Row],[次要关键词]],序列_次要关键词,0)+10)</f>
        <v>10</v>
      </c>
      <c r="D44">
        <f>IF(表_网址[[#This Row],[重点关键词]]="",10,MATCH(表_网址[[#This Row],[重点关键词]],序列_重点关键词,0)+10)</f>
        <v>10</v>
      </c>
      <c r="E44">
        <f>IF(AND(表_网址[[#This Row],[首要关键词]]=K43,表_网址[[#This Row],[次要关键词]]=L43,表_网址[[#This Row],[重点关键词]]=M43),E43+1,IF(表_网址[[#This Row],[重点关键词]]="",100,101))</f>
        <v>101</v>
      </c>
      <c r="F44" t="s">
        <v>609</v>
      </c>
      <c r="G44" t="s">
        <v>610</v>
      </c>
      <c r="I44" t="s">
        <v>611</v>
      </c>
      <c r="J44" t="s">
        <v>1744</v>
      </c>
      <c r="K44" t="s">
        <v>608</v>
      </c>
      <c r="N44">
        <v>999</v>
      </c>
      <c r="O44">
        <v>999</v>
      </c>
      <c r="Q44">
        <v>32</v>
      </c>
    </row>
    <row r="45" spans="1:17" x14ac:dyDescent="0.2">
      <c r="A45" t="str">
        <f ca="1">表_网址[[#This Row],[1级]]&amp;"-"&amp;表_网址[[#This Row],[2级]]&amp;"-"&amp;表_网址[[#This Row],[3级]]&amp;"-"&amp;表_网址[[#This Row],[级内]]</f>
        <v>2002-14-10-100</v>
      </c>
      <c r="B45">
        <f ca="1">MATCH(表_网址[[#This Row],[版层分类]],序列_版层分类,0)*1000+MATCH(表_网址[[#This Row],[首要关键词]],序列_首要关键词,0)</f>
        <v>2002</v>
      </c>
      <c r="C45">
        <f ca="1">IF(表_网址[[#This Row],[次要关键词]]="",10,MATCH(表_网址[[#This Row],[次要关键词]],序列_次要关键词,0)+10)</f>
        <v>14</v>
      </c>
      <c r="D45">
        <f>IF(表_网址[[#This Row],[重点关键词]]="",10,MATCH(表_网址[[#This Row],[重点关键词]],序列_重点关键词,0)+10)</f>
        <v>10</v>
      </c>
      <c r="E45">
        <f>IF(AND(表_网址[[#This Row],[首要关键词]]=K44,表_网址[[#This Row],[次要关键词]]=L44,表_网址[[#This Row],[重点关键词]]=M44),E44+1,IF(表_网址[[#This Row],[重点关键词]]="",100,101))</f>
        <v>100</v>
      </c>
      <c r="F45" t="s">
        <v>612</v>
      </c>
      <c r="G45" t="s">
        <v>613</v>
      </c>
      <c r="I45" t="s">
        <v>614</v>
      </c>
      <c r="J45" t="s">
        <v>1744</v>
      </c>
      <c r="K45" t="s">
        <v>608</v>
      </c>
      <c r="L45" t="s">
        <v>1770</v>
      </c>
      <c r="N45">
        <v>999</v>
      </c>
      <c r="O45">
        <v>999</v>
      </c>
      <c r="Q45">
        <v>16</v>
      </c>
    </row>
    <row r="46" spans="1:17" x14ac:dyDescent="0.2">
      <c r="A46" t="str">
        <f ca="1">表_网址[[#This Row],[1级]]&amp;"-"&amp;表_网址[[#This Row],[2级]]&amp;"-"&amp;表_网址[[#This Row],[3级]]&amp;"-"&amp;表_网址[[#This Row],[级内]]</f>
        <v>2003-10-10-100</v>
      </c>
      <c r="B46">
        <f ca="1">MATCH(表_网址[[#This Row],[版层分类]],序列_版层分类,0)*1000+MATCH(表_网址[[#This Row],[首要关键词]],序列_首要关键词,0)</f>
        <v>2003</v>
      </c>
      <c r="C46">
        <f>IF(表_网址[[#This Row],[次要关键词]]="",10,MATCH(表_网址[[#This Row],[次要关键词]],序列_次要关键词,0)+10)</f>
        <v>10</v>
      </c>
      <c r="D46">
        <f>IF(表_网址[[#This Row],[重点关键词]]="",10,MATCH(表_网址[[#This Row],[重点关键词]],序列_重点关键词,0)+10)</f>
        <v>10</v>
      </c>
      <c r="E46">
        <f>IF(AND(表_网址[[#This Row],[首要关键词]]=K45,表_网址[[#This Row],[次要关键词]]=L45,表_网址[[#This Row],[重点关键词]]=M45),E45+1,IF(表_网址[[#This Row],[重点关键词]]="",100,101))</f>
        <v>100</v>
      </c>
      <c r="F46" t="s">
        <v>615</v>
      </c>
      <c r="G46" t="s">
        <v>616</v>
      </c>
      <c r="H46" t="s">
        <v>29</v>
      </c>
      <c r="I46" t="s">
        <v>617</v>
      </c>
      <c r="J46" t="s">
        <v>1744</v>
      </c>
      <c r="K46" t="s">
        <v>618</v>
      </c>
      <c r="N46">
        <v>999</v>
      </c>
      <c r="O46">
        <v>999</v>
      </c>
      <c r="Q46">
        <v>48</v>
      </c>
    </row>
    <row r="47" spans="1:17" x14ac:dyDescent="0.2">
      <c r="A47" t="str">
        <f ca="1">表_网址[[#This Row],[1级]]&amp;"-"&amp;表_网址[[#This Row],[2级]]&amp;"-"&amp;表_网址[[#This Row],[3级]]&amp;"-"&amp;表_网址[[#This Row],[级内]]</f>
        <v>2003-10-10-101</v>
      </c>
      <c r="B47">
        <f ca="1">MATCH(表_网址[[#This Row],[版层分类]],序列_版层分类,0)*1000+MATCH(表_网址[[#This Row],[首要关键词]],序列_首要关键词,0)</f>
        <v>2003</v>
      </c>
      <c r="C47">
        <f>IF(表_网址[[#This Row],[次要关键词]]="",10,MATCH(表_网址[[#This Row],[次要关键词]],序列_次要关键词,0)+10)</f>
        <v>10</v>
      </c>
      <c r="D47">
        <f>IF(表_网址[[#This Row],[重点关键词]]="",10,MATCH(表_网址[[#This Row],[重点关键词]],序列_重点关键词,0)+10)</f>
        <v>10</v>
      </c>
      <c r="E47">
        <f>IF(AND(表_网址[[#This Row],[首要关键词]]=K46,表_网址[[#This Row],[次要关键词]]=L46,表_网址[[#This Row],[重点关键词]]=M46),E46+1,IF(表_网址[[#This Row],[重点关键词]]="",100,101))</f>
        <v>101</v>
      </c>
      <c r="F47" t="s">
        <v>1081</v>
      </c>
      <c r="G47" t="s">
        <v>1082</v>
      </c>
      <c r="I47" t="s">
        <v>1083</v>
      </c>
      <c r="J47" t="s">
        <v>1744</v>
      </c>
      <c r="K47" t="s">
        <v>618</v>
      </c>
      <c r="N47">
        <v>999</v>
      </c>
      <c r="O47">
        <v>999</v>
      </c>
      <c r="Q47">
        <v>16</v>
      </c>
    </row>
    <row r="48" spans="1:17" x14ac:dyDescent="0.2">
      <c r="A48" t="str">
        <f ca="1">表_网址[[#This Row],[1级]]&amp;"-"&amp;表_网址[[#This Row],[2级]]&amp;"-"&amp;表_网址[[#This Row],[3级]]&amp;"-"&amp;表_网址[[#This Row],[级内]]</f>
        <v>2003-10-10-102</v>
      </c>
      <c r="B48">
        <f ca="1">MATCH(表_网址[[#This Row],[版层分类]],序列_版层分类,0)*1000+MATCH(表_网址[[#This Row],[首要关键词]],序列_首要关键词,0)</f>
        <v>2003</v>
      </c>
      <c r="C48">
        <f>IF(表_网址[[#This Row],[次要关键词]]="",10,MATCH(表_网址[[#This Row],[次要关键词]],序列_次要关键词,0)+10)</f>
        <v>10</v>
      </c>
      <c r="D48">
        <f>IF(表_网址[[#This Row],[重点关键词]]="",10,MATCH(表_网址[[#This Row],[重点关键词]],序列_重点关键词,0)+10)</f>
        <v>10</v>
      </c>
      <c r="E48">
        <f>IF(AND(表_网址[[#This Row],[首要关键词]]=K47,表_网址[[#This Row],[次要关键词]]=L47,表_网址[[#This Row],[重点关键词]]=M47),E47+1,IF(表_网址[[#This Row],[重点关键词]]="",100,101))</f>
        <v>102</v>
      </c>
      <c r="F48" t="s">
        <v>619</v>
      </c>
      <c r="G48" t="s">
        <v>620</v>
      </c>
      <c r="H48" t="s">
        <v>29</v>
      </c>
      <c r="I48" t="s">
        <v>621</v>
      </c>
      <c r="J48" t="s">
        <v>1744</v>
      </c>
      <c r="K48" t="s">
        <v>618</v>
      </c>
      <c r="N48">
        <v>999</v>
      </c>
      <c r="O48">
        <v>999</v>
      </c>
      <c r="Q48">
        <v>16</v>
      </c>
    </row>
    <row r="49" spans="1:17" x14ac:dyDescent="0.2">
      <c r="A49" t="str">
        <f ca="1">表_网址[[#This Row],[1级]]&amp;"-"&amp;表_网址[[#This Row],[2级]]&amp;"-"&amp;表_网址[[#This Row],[3级]]&amp;"-"&amp;表_网址[[#This Row],[级内]]</f>
        <v>2003-10-10-103</v>
      </c>
      <c r="B49">
        <f ca="1">MATCH(表_网址[[#This Row],[版层分类]],序列_版层分类,0)*1000+MATCH(表_网址[[#This Row],[首要关键词]],序列_首要关键词,0)</f>
        <v>2003</v>
      </c>
      <c r="C49">
        <f>IF(表_网址[[#This Row],[次要关键词]]="",10,MATCH(表_网址[[#This Row],[次要关键词]],序列_次要关键词,0)+10)</f>
        <v>10</v>
      </c>
      <c r="D49">
        <f>IF(表_网址[[#This Row],[重点关键词]]="",10,MATCH(表_网址[[#This Row],[重点关键词]],序列_重点关键词,0)+10)</f>
        <v>10</v>
      </c>
      <c r="E49">
        <f>IF(AND(表_网址[[#This Row],[首要关键词]]=K48,表_网址[[#This Row],[次要关键词]]=L48,表_网址[[#This Row],[重点关键词]]=M48),E48+1,IF(表_网址[[#This Row],[重点关键词]]="",100,101))</f>
        <v>103</v>
      </c>
      <c r="F49" t="s">
        <v>622</v>
      </c>
      <c r="G49" t="s">
        <v>623</v>
      </c>
      <c r="H49" t="s">
        <v>29</v>
      </c>
      <c r="I49" t="s">
        <v>624</v>
      </c>
      <c r="J49" t="s">
        <v>1744</v>
      </c>
      <c r="K49" t="s">
        <v>618</v>
      </c>
      <c r="N49">
        <v>999</v>
      </c>
      <c r="O49">
        <v>999</v>
      </c>
      <c r="Q49">
        <v>32</v>
      </c>
    </row>
    <row r="50" spans="1:17" x14ac:dyDescent="0.2">
      <c r="A50" t="str">
        <f ca="1">表_网址[[#This Row],[1级]]&amp;"-"&amp;表_网址[[#This Row],[2级]]&amp;"-"&amp;表_网址[[#This Row],[3级]]&amp;"-"&amp;表_网址[[#This Row],[级内]]</f>
        <v>2003-10-10-104</v>
      </c>
      <c r="B50">
        <f ca="1">MATCH(表_网址[[#This Row],[版层分类]],序列_版层分类,0)*1000+MATCH(表_网址[[#This Row],[首要关键词]],序列_首要关键词,0)</f>
        <v>2003</v>
      </c>
      <c r="C50">
        <f>IF(表_网址[[#This Row],[次要关键词]]="",10,MATCH(表_网址[[#This Row],[次要关键词]],序列_次要关键词,0)+10)</f>
        <v>10</v>
      </c>
      <c r="D50">
        <f>IF(表_网址[[#This Row],[重点关键词]]="",10,MATCH(表_网址[[#This Row],[重点关键词]],序列_重点关键词,0)+10)</f>
        <v>10</v>
      </c>
      <c r="E50">
        <f>IF(AND(表_网址[[#This Row],[首要关键词]]=K49,表_网址[[#This Row],[次要关键词]]=L49,表_网址[[#This Row],[重点关键词]]=M49),E49+1,IF(表_网址[[#This Row],[重点关键词]]="",100,101))</f>
        <v>104</v>
      </c>
      <c r="F50" t="s">
        <v>625</v>
      </c>
      <c r="G50" t="s">
        <v>626</v>
      </c>
      <c r="H50" t="s">
        <v>29</v>
      </c>
      <c r="I50" t="s">
        <v>627</v>
      </c>
      <c r="J50" t="s">
        <v>1744</v>
      </c>
      <c r="K50" t="s">
        <v>618</v>
      </c>
      <c r="N50">
        <v>999</v>
      </c>
      <c r="O50">
        <v>999</v>
      </c>
      <c r="Q50">
        <v>16</v>
      </c>
    </row>
    <row r="51" spans="1:17" x14ac:dyDescent="0.2">
      <c r="A51" t="str">
        <f ca="1">表_网址[[#This Row],[1级]]&amp;"-"&amp;表_网址[[#This Row],[2级]]&amp;"-"&amp;表_网址[[#This Row],[3级]]&amp;"-"&amp;表_网址[[#This Row],[级内]]</f>
        <v>2003-10-10-105</v>
      </c>
      <c r="B51">
        <f ca="1">MATCH(表_网址[[#This Row],[版层分类]],序列_版层分类,0)*1000+MATCH(表_网址[[#This Row],[首要关键词]],序列_首要关键词,0)</f>
        <v>2003</v>
      </c>
      <c r="C51">
        <f>IF(表_网址[[#This Row],[次要关键词]]="",10,MATCH(表_网址[[#This Row],[次要关键词]],序列_次要关键词,0)+10)</f>
        <v>10</v>
      </c>
      <c r="D51">
        <f>IF(表_网址[[#This Row],[重点关键词]]="",10,MATCH(表_网址[[#This Row],[重点关键词]],序列_重点关键词,0)+10)</f>
        <v>10</v>
      </c>
      <c r="E51">
        <f>IF(AND(表_网址[[#This Row],[首要关键词]]=K50,表_网址[[#This Row],[次要关键词]]=L50,表_网址[[#This Row],[重点关键词]]=M50),E50+1,IF(表_网址[[#This Row],[重点关键词]]="",100,101))</f>
        <v>105</v>
      </c>
      <c r="F51" t="s">
        <v>628</v>
      </c>
      <c r="G51" t="s">
        <v>629</v>
      </c>
      <c r="H51" t="s">
        <v>29</v>
      </c>
      <c r="J51" t="s">
        <v>1744</v>
      </c>
      <c r="K51" t="s">
        <v>618</v>
      </c>
      <c r="N51">
        <v>999</v>
      </c>
    </row>
    <row r="52" spans="1:17" x14ac:dyDescent="0.2">
      <c r="A52" t="str">
        <f ca="1">表_网址[[#This Row],[1级]]&amp;"-"&amp;表_网址[[#This Row],[2级]]&amp;"-"&amp;表_网址[[#This Row],[3级]]&amp;"-"&amp;表_网址[[#This Row],[级内]]</f>
        <v>2003-10-10-106</v>
      </c>
      <c r="B52">
        <f ca="1">MATCH(表_网址[[#This Row],[版层分类]],序列_版层分类,0)*1000+MATCH(表_网址[[#This Row],[首要关键词]],序列_首要关键词,0)</f>
        <v>2003</v>
      </c>
      <c r="C52">
        <f>IF(表_网址[[#This Row],[次要关键词]]="",10,MATCH(表_网址[[#This Row],[次要关键词]],序列_次要关键词,0)+10)</f>
        <v>10</v>
      </c>
      <c r="D52">
        <f>IF(表_网址[[#This Row],[重点关键词]]="",10,MATCH(表_网址[[#This Row],[重点关键词]],序列_重点关键词,0)+10)</f>
        <v>10</v>
      </c>
      <c r="E52">
        <f>IF(AND(表_网址[[#This Row],[首要关键词]]=K51,表_网址[[#This Row],[次要关键词]]=L51,表_网址[[#This Row],[重点关键词]]=M51),E51+1,IF(表_网址[[#This Row],[重点关键词]]="",100,101))</f>
        <v>106</v>
      </c>
      <c r="F52" t="s">
        <v>630</v>
      </c>
      <c r="G52" t="s">
        <v>631</v>
      </c>
      <c r="H52" t="s">
        <v>29</v>
      </c>
      <c r="J52" t="s">
        <v>1744</v>
      </c>
      <c r="K52" t="s">
        <v>618</v>
      </c>
      <c r="N52">
        <v>999</v>
      </c>
    </row>
    <row r="53" spans="1:17" x14ac:dyDescent="0.2">
      <c r="A53" t="str">
        <f ca="1">表_网址[[#This Row],[1级]]&amp;"-"&amp;表_网址[[#This Row],[2级]]&amp;"-"&amp;表_网址[[#This Row],[3级]]&amp;"-"&amp;表_网址[[#This Row],[级内]]</f>
        <v>2003-10-10-107</v>
      </c>
      <c r="B53">
        <f ca="1">MATCH(表_网址[[#This Row],[版层分类]],序列_版层分类,0)*1000+MATCH(表_网址[[#This Row],[首要关键词]],序列_首要关键词,0)</f>
        <v>2003</v>
      </c>
      <c r="C53">
        <f>IF(表_网址[[#This Row],[次要关键词]]="",10,MATCH(表_网址[[#This Row],[次要关键词]],序列_次要关键词,0)+10)</f>
        <v>10</v>
      </c>
      <c r="D53">
        <f>IF(表_网址[[#This Row],[重点关键词]]="",10,MATCH(表_网址[[#This Row],[重点关键词]],序列_重点关键词,0)+10)</f>
        <v>10</v>
      </c>
      <c r="E53">
        <f>IF(AND(表_网址[[#This Row],[首要关键词]]=K52,表_网址[[#This Row],[次要关键词]]=L52,表_网址[[#This Row],[重点关键词]]=M52),E52+1,IF(表_网址[[#This Row],[重点关键词]]="",100,101))</f>
        <v>107</v>
      </c>
      <c r="F53" t="s">
        <v>632</v>
      </c>
      <c r="G53" t="s">
        <v>633</v>
      </c>
      <c r="H53" t="s">
        <v>29</v>
      </c>
      <c r="J53" t="s">
        <v>1744</v>
      </c>
      <c r="K53" t="s">
        <v>618</v>
      </c>
      <c r="N53">
        <v>999</v>
      </c>
    </row>
    <row r="54" spans="1:17" x14ac:dyDescent="0.2">
      <c r="A54" t="str">
        <f ca="1">表_网址[[#This Row],[1级]]&amp;"-"&amp;表_网址[[#This Row],[2级]]&amp;"-"&amp;表_网址[[#This Row],[3级]]&amp;"-"&amp;表_网址[[#This Row],[级内]]</f>
        <v>2003-10-10-108</v>
      </c>
      <c r="B54">
        <f ca="1">MATCH(表_网址[[#This Row],[版层分类]],序列_版层分类,0)*1000+MATCH(表_网址[[#This Row],[首要关键词]],序列_首要关键词,0)</f>
        <v>2003</v>
      </c>
      <c r="C54">
        <f>IF(表_网址[[#This Row],[次要关键词]]="",10,MATCH(表_网址[[#This Row],[次要关键词]],序列_次要关键词,0)+10)</f>
        <v>10</v>
      </c>
      <c r="D54">
        <f>IF(表_网址[[#This Row],[重点关键词]]="",10,MATCH(表_网址[[#This Row],[重点关键词]],序列_重点关键词,0)+10)</f>
        <v>10</v>
      </c>
      <c r="E54">
        <f>IF(AND(表_网址[[#This Row],[首要关键词]]=K53,表_网址[[#This Row],[次要关键词]]=L53,表_网址[[#This Row],[重点关键词]]=M53),E53+1,IF(表_网址[[#This Row],[重点关键词]]="",100,101))</f>
        <v>108</v>
      </c>
      <c r="F54" t="s">
        <v>634</v>
      </c>
      <c r="G54" t="s">
        <v>635</v>
      </c>
      <c r="H54" t="s">
        <v>29</v>
      </c>
      <c r="I54" t="s">
        <v>636</v>
      </c>
      <c r="J54" t="s">
        <v>1744</v>
      </c>
      <c r="K54" t="s">
        <v>618</v>
      </c>
      <c r="N54">
        <v>999</v>
      </c>
      <c r="O54">
        <v>999</v>
      </c>
      <c r="Q54">
        <v>32</v>
      </c>
    </row>
    <row r="55" spans="1:17" x14ac:dyDescent="0.2">
      <c r="A55" t="str">
        <f ca="1">表_网址[[#This Row],[1级]]&amp;"-"&amp;表_网址[[#This Row],[2级]]&amp;"-"&amp;表_网址[[#This Row],[3级]]&amp;"-"&amp;表_网址[[#This Row],[级内]]</f>
        <v>2003-10-10-109</v>
      </c>
      <c r="B55">
        <f ca="1">MATCH(表_网址[[#This Row],[版层分类]],序列_版层分类,0)*1000+MATCH(表_网址[[#This Row],[首要关键词]],序列_首要关键词,0)</f>
        <v>2003</v>
      </c>
      <c r="C55">
        <f>IF(表_网址[[#This Row],[次要关键词]]="",10,MATCH(表_网址[[#This Row],[次要关键词]],序列_次要关键词,0)+10)</f>
        <v>10</v>
      </c>
      <c r="D55">
        <f>IF(表_网址[[#This Row],[重点关键词]]="",10,MATCH(表_网址[[#This Row],[重点关键词]],序列_重点关键词,0)+10)</f>
        <v>10</v>
      </c>
      <c r="E55">
        <f>IF(AND(表_网址[[#This Row],[首要关键词]]=K54,表_网址[[#This Row],[次要关键词]]=L54,表_网址[[#This Row],[重点关键词]]=M54),E54+1,IF(表_网址[[#This Row],[重点关键词]]="",100,101))</f>
        <v>109</v>
      </c>
      <c r="F55" t="s">
        <v>637</v>
      </c>
      <c r="G55" t="s">
        <v>638</v>
      </c>
      <c r="H55" t="s">
        <v>29</v>
      </c>
      <c r="I55" t="s">
        <v>639</v>
      </c>
      <c r="J55" t="s">
        <v>1744</v>
      </c>
      <c r="K55" t="s">
        <v>618</v>
      </c>
      <c r="N55">
        <v>999</v>
      </c>
      <c r="O55">
        <v>999</v>
      </c>
      <c r="Q55">
        <v>32</v>
      </c>
    </row>
    <row r="56" spans="1:17" x14ac:dyDescent="0.2">
      <c r="A56" t="str">
        <f ca="1">表_网址[[#This Row],[1级]]&amp;"-"&amp;表_网址[[#This Row],[2级]]&amp;"-"&amp;表_网址[[#This Row],[3级]]&amp;"-"&amp;表_网址[[#This Row],[级内]]</f>
        <v>2003-10-10-110</v>
      </c>
      <c r="B56">
        <f ca="1">MATCH(表_网址[[#This Row],[版层分类]],序列_版层分类,0)*1000+MATCH(表_网址[[#This Row],[首要关键词]],序列_首要关键词,0)</f>
        <v>2003</v>
      </c>
      <c r="C56">
        <f>IF(表_网址[[#This Row],[次要关键词]]="",10,MATCH(表_网址[[#This Row],[次要关键词]],序列_次要关键词,0)+10)</f>
        <v>10</v>
      </c>
      <c r="D56">
        <f>IF(表_网址[[#This Row],[重点关键词]]="",10,MATCH(表_网址[[#This Row],[重点关键词]],序列_重点关键词,0)+10)</f>
        <v>10</v>
      </c>
      <c r="E56">
        <f>IF(AND(表_网址[[#This Row],[首要关键词]]=K55,表_网址[[#This Row],[次要关键词]]=L55,表_网址[[#This Row],[重点关键词]]=M55),E55+1,IF(表_网址[[#This Row],[重点关键词]]="",100,101))</f>
        <v>110</v>
      </c>
      <c r="F56" t="s">
        <v>640</v>
      </c>
      <c r="G56" t="s">
        <v>641</v>
      </c>
      <c r="H56" t="s">
        <v>29</v>
      </c>
      <c r="I56" t="s">
        <v>642</v>
      </c>
      <c r="J56" t="s">
        <v>1744</v>
      </c>
      <c r="K56" t="s">
        <v>618</v>
      </c>
      <c r="N56">
        <v>999</v>
      </c>
      <c r="O56">
        <v>999</v>
      </c>
      <c r="Q56">
        <v>32</v>
      </c>
    </row>
    <row r="57" spans="1:17" x14ac:dyDescent="0.2">
      <c r="A57" t="str">
        <f ca="1">表_网址[[#This Row],[1级]]&amp;"-"&amp;表_网址[[#This Row],[2级]]&amp;"-"&amp;表_网址[[#This Row],[3级]]&amp;"-"&amp;表_网址[[#This Row],[级内]]</f>
        <v>2003-14-10-100</v>
      </c>
      <c r="B57">
        <f ca="1">MATCH(表_网址[[#This Row],[版层分类]],序列_版层分类,0)*1000+MATCH(表_网址[[#This Row],[首要关键词]],序列_首要关键词,0)</f>
        <v>2003</v>
      </c>
      <c r="C57">
        <f ca="1">IF(表_网址[[#This Row],[次要关键词]]="",10,MATCH(表_网址[[#This Row],[次要关键词]],序列_次要关键词,0)+10)</f>
        <v>14</v>
      </c>
      <c r="D57">
        <f>IF(表_网址[[#This Row],[重点关键词]]="",10,MATCH(表_网址[[#This Row],[重点关键词]],序列_重点关键词,0)+10)</f>
        <v>10</v>
      </c>
      <c r="E57">
        <f>IF(AND(表_网址[[#This Row],[首要关键词]]=K56,表_网址[[#This Row],[次要关键词]]=L56,表_网址[[#This Row],[重点关键词]]=M56),E56+1,IF(表_网址[[#This Row],[重点关键词]]="",100,101))</f>
        <v>100</v>
      </c>
      <c r="F57" t="s">
        <v>643</v>
      </c>
      <c r="G57" t="s">
        <v>644</v>
      </c>
      <c r="J57" t="s">
        <v>1744</v>
      </c>
      <c r="K57" t="s">
        <v>618</v>
      </c>
      <c r="L57" t="s">
        <v>645</v>
      </c>
      <c r="N57">
        <v>999</v>
      </c>
    </row>
    <row r="58" spans="1:17" x14ac:dyDescent="0.2">
      <c r="A58" t="str">
        <f ca="1">表_网址[[#This Row],[1级]]&amp;"-"&amp;表_网址[[#This Row],[2级]]&amp;"-"&amp;表_网址[[#This Row],[3级]]&amp;"-"&amp;表_网址[[#This Row],[级内]]</f>
        <v>2004-10-10-100</v>
      </c>
      <c r="B58">
        <f ca="1">MATCH(表_网址[[#This Row],[版层分类]],序列_版层分类,0)*1000+MATCH(表_网址[[#This Row],[首要关键词]],序列_首要关键词,0)</f>
        <v>2004</v>
      </c>
      <c r="C58">
        <f>IF(表_网址[[#This Row],[次要关键词]]="",10,MATCH(表_网址[[#This Row],[次要关键词]],序列_次要关键词,0)+10)</f>
        <v>10</v>
      </c>
      <c r="D58">
        <f>IF(表_网址[[#This Row],[重点关键词]]="",10,MATCH(表_网址[[#This Row],[重点关键词]],序列_重点关键词,0)+10)</f>
        <v>10</v>
      </c>
      <c r="E58">
        <f>IF(AND(表_网址[[#This Row],[首要关键词]]=K57,表_网址[[#This Row],[次要关键词]]=L57,表_网址[[#This Row],[重点关键词]]=M57),E57+1,IF(表_网址[[#This Row],[重点关键词]]="",100,101))</f>
        <v>100</v>
      </c>
      <c r="F58" t="s">
        <v>646</v>
      </c>
      <c r="G58" t="s">
        <v>647</v>
      </c>
      <c r="H58" t="s">
        <v>29</v>
      </c>
      <c r="I58" t="s">
        <v>648</v>
      </c>
      <c r="J58" t="s">
        <v>1744</v>
      </c>
      <c r="K58" t="s">
        <v>649</v>
      </c>
      <c r="N58">
        <v>999</v>
      </c>
      <c r="O58">
        <v>999</v>
      </c>
      <c r="Q58">
        <v>16</v>
      </c>
    </row>
    <row r="59" spans="1:17" x14ac:dyDescent="0.2">
      <c r="A59" t="str">
        <f ca="1">表_网址[[#This Row],[1级]]&amp;"-"&amp;表_网址[[#This Row],[2级]]&amp;"-"&amp;表_网址[[#This Row],[3级]]&amp;"-"&amp;表_网址[[#This Row],[级内]]</f>
        <v>2004-10-10-101</v>
      </c>
      <c r="B59">
        <f ca="1">MATCH(表_网址[[#This Row],[版层分类]],序列_版层分类,0)*1000+MATCH(表_网址[[#This Row],[首要关键词]],序列_首要关键词,0)</f>
        <v>2004</v>
      </c>
      <c r="C59">
        <f>IF(表_网址[[#This Row],[次要关键词]]="",10,MATCH(表_网址[[#This Row],[次要关键词]],序列_次要关键词,0)+10)</f>
        <v>10</v>
      </c>
      <c r="D59">
        <f>IF(表_网址[[#This Row],[重点关键词]]="",10,MATCH(表_网址[[#This Row],[重点关键词]],序列_重点关键词,0)+10)</f>
        <v>10</v>
      </c>
      <c r="E59">
        <f>IF(AND(表_网址[[#This Row],[首要关键词]]=K58,表_网址[[#This Row],[次要关键词]]=L58,表_网址[[#This Row],[重点关键词]]=M58),E58+1,IF(表_网址[[#This Row],[重点关键词]]="",100,101))</f>
        <v>101</v>
      </c>
      <c r="F59" t="s">
        <v>650</v>
      </c>
      <c r="G59" t="s">
        <v>651</v>
      </c>
      <c r="H59" t="s">
        <v>29</v>
      </c>
      <c r="I59" t="s">
        <v>652</v>
      </c>
      <c r="J59" t="s">
        <v>1744</v>
      </c>
      <c r="K59" t="s">
        <v>649</v>
      </c>
      <c r="N59">
        <v>999</v>
      </c>
      <c r="O59">
        <v>999</v>
      </c>
      <c r="Q59">
        <v>195</v>
      </c>
    </row>
    <row r="60" spans="1:17" x14ac:dyDescent="0.2">
      <c r="A60" t="str">
        <f ca="1">表_网址[[#This Row],[1级]]&amp;"-"&amp;表_网址[[#This Row],[2级]]&amp;"-"&amp;表_网址[[#This Row],[3级]]&amp;"-"&amp;表_网址[[#This Row],[级内]]</f>
        <v>2004-10-10-102</v>
      </c>
      <c r="B60">
        <f ca="1">MATCH(表_网址[[#This Row],[版层分类]],序列_版层分类,0)*1000+MATCH(表_网址[[#This Row],[首要关键词]],序列_首要关键词,0)</f>
        <v>2004</v>
      </c>
      <c r="C60">
        <f>IF(表_网址[[#This Row],[次要关键词]]="",10,MATCH(表_网址[[#This Row],[次要关键词]],序列_次要关键词,0)+10)</f>
        <v>10</v>
      </c>
      <c r="D60">
        <f>IF(表_网址[[#This Row],[重点关键词]]="",10,MATCH(表_网址[[#This Row],[重点关键词]],序列_重点关键词,0)+10)</f>
        <v>10</v>
      </c>
      <c r="E60">
        <f>IF(AND(表_网址[[#This Row],[首要关键词]]=K59,表_网址[[#This Row],[次要关键词]]=L59,表_网址[[#This Row],[重点关键词]]=M59),E59+1,IF(表_网址[[#This Row],[重点关键词]]="",100,101))</f>
        <v>102</v>
      </c>
      <c r="F60" t="s">
        <v>653</v>
      </c>
      <c r="G60" t="s">
        <v>654</v>
      </c>
      <c r="H60" t="s">
        <v>29</v>
      </c>
      <c r="I60" t="s">
        <v>655</v>
      </c>
      <c r="J60" t="s">
        <v>1744</v>
      </c>
      <c r="K60" t="s">
        <v>649</v>
      </c>
      <c r="N60">
        <v>999</v>
      </c>
      <c r="O60">
        <v>999</v>
      </c>
      <c r="Q60">
        <v>32</v>
      </c>
    </row>
    <row r="61" spans="1:17" x14ac:dyDescent="0.2">
      <c r="A61" t="str">
        <f ca="1">表_网址[[#This Row],[1级]]&amp;"-"&amp;表_网址[[#This Row],[2级]]&amp;"-"&amp;表_网址[[#This Row],[3级]]&amp;"-"&amp;表_网址[[#This Row],[级内]]</f>
        <v>2004-10-10-103</v>
      </c>
      <c r="B61">
        <f ca="1">MATCH(表_网址[[#This Row],[版层分类]],序列_版层分类,0)*1000+MATCH(表_网址[[#This Row],[首要关键词]],序列_首要关键词,0)</f>
        <v>2004</v>
      </c>
      <c r="C61">
        <f>IF(表_网址[[#This Row],[次要关键词]]="",10,MATCH(表_网址[[#This Row],[次要关键词]],序列_次要关键词,0)+10)</f>
        <v>10</v>
      </c>
      <c r="D61">
        <f>IF(表_网址[[#This Row],[重点关键词]]="",10,MATCH(表_网址[[#This Row],[重点关键词]],序列_重点关键词,0)+10)</f>
        <v>10</v>
      </c>
      <c r="E61">
        <f>IF(AND(表_网址[[#This Row],[首要关键词]]=K60,表_网址[[#This Row],[次要关键词]]=L60,表_网址[[#This Row],[重点关键词]]=M60),E60+1,IF(表_网址[[#This Row],[重点关键词]]="",100,101))</f>
        <v>103</v>
      </c>
      <c r="F61" t="s">
        <v>656</v>
      </c>
      <c r="G61" t="s">
        <v>657</v>
      </c>
      <c r="H61" t="s">
        <v>29</v>
      </c>
      <c r="I61" t="s">
        <v>658</v>
      </c>
      <c r="J61" t="s">
        <v>1744</v>
      </c>
      <c r="K61" t="s">
        <v>649</v>
      </c>
      <c r="N61">
        <v>999</v>
      </c>
      <c r="O61">
        <v>999</v>
      </c>
      <c r="Q61">
        <v>256</v>
      </c>
    </row>
    <row r="62" spans="1:17" x14ac:dyDescent="0.2">
      <c r="A62" t="str">
        <f ca="1">表_网址[[#This Row],[1级]]&amp;"-"&amp;表_网址[[#This Row],[2级]]&amp;"-"&amp;表_网址[[#This Row],[3级]]&amp;"-"&amp;表_网址[[#This Row],[级内]]</f>
        <v>2004-10-10-104</v>
      </c>
      <c r="B62">
        <f ca="1">MATCH(表_网址[[#This Row],[版层分类]],序列_版层分类,0)*1000+MATCH(表_网址[[#This Row],[首要关键词]],序列_首要关键词,0)</f>
        <v>2004</v>
      </c>
      <c r="C62">
        <f>IF(表_网址[[#This Row],[次要关键词]]="",10,MATCH(表_网址[[#This Row],[次要关键词]],序列_次要关键词,0)+10)</f>
        <v>10</v>
      </c>
      <c r="D62">
        <f>IF(表_网址[[#This Row],[重点关键词]]="",10,MATCH(表_网址[[#This Row],[重点关键词]],序列_重点关键词,0)+10)</f>
        <v>10</v>
      </c>
      <c r="E62">
        <f>IF(AND(表_网址[[#This Row],[首要关键词]]=K61,表_网址[[#This Row],[次要关键词]]=L61,表_网址[[#This Row],[重点关键词]]=M61),E61+1,IF(表_网址[[#This Row],[重点关键词]]="",100,101))</f>
        <v>104</v>
      </c>
      <c r="F62" t="s">
        <v>659</v>
      </c>
      <c r="G62" t="s">
        <v>660</v>
      </c>
      <c r="H62" t="s">
        <v>29</v>
      </c>
      <c r="I62" t="s">
        <v>661</v>
      </c>
      <c r="J62" t="s">
        <v>1744</v>
      </c>
      <c r="K62" t="s">
        <v>649</v>
      </c>
      <c r="N62">
        <v>999</v>
      </c>
      <c r="O62">
        <v>999</v>
      </c>
      <c r="Q62">
        <v>32</v>
      </c>
    </row>
    <row r="63" spans="1:17" x14ac:dyDescent="0.2">
      <c r="A63" t="str">
        <f ca="1">表_网址[[#This Row],[1级]]&amp;"-"&amp;表_网址[[#This Row],[2级]]&amp;"-"&amp;表_网址[[#This Row],[3级]]&amp;"-"&amp;表_网址[[#This Row],[级内]]</f>
        <v>2004-10-10-105</v>
      </c>
      <c r="B63">
        <f ca="1">MATCH(表_网址[[#This Row],[版层分类]],序列_版层分类,0)*1000+MATCH(表_网址[[#This Row],[首要关键词]],序列_首要关键词,0)</f>
        <v>2004</v>
      </c>
      <c r="C63">
        <f>IF(表_网址[[#This Row],[次要关键词]]="",10,MATCH(表_网址[[#This Row],[次要关键词]],序列_次要关键词,0)+10)</f>
        <v>10</v>
      </c>
      <c r="D63">
        <f>IF(表_网址[[#This Row],[重点关键词]]="",10,MATCH(表_网址[[#This Row],[重点关键词]],序列_重点关键词,0)+10)</f>
        <v>10</v>
      </c>
      <c r="E63">
        <f>IF(AND(表_网址[[#This Row],[首要关键词]]=K62,表_网址[[#This Row],[次要关键词]]=L62,表_网址[[#This Row],[重点关键词]]=M62),E62+1,IF(表_网址[[#This Row],[重点关键词]]="",100,101))</f>
        <v>105</v>
      </c>
      <c r="F63" t="s">
        <v>662</v>
      </c>
      <c r="G63" t="s">
        <v>663</v>
      </c>
      <c r="H63" t="s">
        <v>29</v>
      </c>
      <c r="I63" t="s">
        <v>664</v>
      </c>
      <c r="J63" t="s">
        <v>1744</v>
      </c>
      <c r="K63" t="s">
        <v>649</v>
      </c>
      <c r="N63">
        <v>999</v>
      </c>
      <c r="O63">
        <v>999</v>
      </c>
      <c r="Q63">
        <v>32</v>
      </c>
    </row>
    <row r="64" spans="1:17" x14ac:dyDescent="0.2">
      <c r="A64" t="str">
        <f ca="1">表_网址[[#This Row],[1级]]&amp;"-"&amp;表_网址[[#This Row],[2级]]&amp;"-"&amp;表_网址[[#This Row],[3级]]&amp;"-"&amp;表_网址[[#This Row],[级内]]</f>
        <v>2004-10-10-106</v>
      </c>
      <c r="B64">
        <f ca="1">MATCH(表_网址[[#This Row],[版层分类]],序列_版层分类,0)*1000+MATCH(表_网址[[#This Row],[首要关键词]],序列_首要关键词,0)</f>
        <v>2004</v>
      </c>
      <c r="C64">
        <f>IF(表_网址[[#This Row],[次要关键词]]="",10,MATCH(表_网址[[#This Row],[次要关键词]],序列_次要关键词,0)+10)</f>
        <v>10</v>
      </c>
      <c r="D64">
        <f>IF(表_网址[[#This Row],[重点关键词]]="",10,MATCH(表_网址[[#This Row],[重点关键词]],序列_重点关键词,0)+10)</f>
        <v>10</v>
      </c>
      <c r="E64">
        <f>IF(AND(表_网址[[#This Row],[首要关键词]]=K63,表_网址[[#This Row],[次要关键词]]=L63,表_网址[[#This Row],[重点关键词]]=M63),E63+1,IF(表_网址[[#This Row],[重点关键词]]="",100,101))</f>
        <v>106</v>
      </c>
      <c r="F64" t="s">
        <v>665</v>
      </c>
      <c r="G64" t="s">
        <v>666</v>
      </c>
      <c r="H64" t="s">
        <v>29</v>
      </c>
      <c r="J64" t="s">
        <v>1744</v>
      </c>
      <c r="K64" t="s">
        <v>649</v>
      </c>
      <c r="N64">
        <v>999</v>
      </c>
    </row>
    <row r="65" spans="1:18" x14ac:dyDescent="0.2">
      <c r="A65" t="str">
        <f ca="1">表_网址[[#This Row],[1级]]&amp;"-"&amp;表_网址[[#This Row],[2级]]&amp;"-"&amp;表_网址[[#This Row],[3级]]&amp;"-"&amp;表_网址[[#This Row],[级内]]</f>
        <v>2004-10-10-107</v>
      </c>
      <c r="B65">
        <f ca="1">MATCH(表_网址[[#This Row],[版层分类]],序列_版层分类,0)*1000+MATCH(表_网址[[#This Row],[首要关键词]],序列_首要关键词,0)</f>
        <v>2004</v>
      </c>
      <c r="C65">
        <f>IF(表_网址[[#This Row],[次要关键词]]="",10,MATCH(表_网址[[#This Row],[次要关键词]],序列_次要关键词,0)+10)</f>
        <v>10</v>
      </c>
      <c r="D65">
        <f>IF(表_网址[[#This Row],[重点关键词]]="",10,MATCH(表_网址[[#This Row],[重点关键词]],序列_重点关键词,0)+10)</f>
        <v>10</v>
      </c>
      <c r="E65">
        <f>IF(AND(表_网址[[#This Row],[首要关键词]]=K64,表_网址[[#This Row],[次要关键词]]=L64,表_网址[[#This Row],[重点关键词]]=M64),E64+1,IF(表_网址[[#This Row],[重点关键词]]="",100,101))</f>
        <v>107</v>
      </c>
      <c r="F65" t="s">
        <v>667</v>
      </c>
      <c r="G65" t="s">
        <v>668</v>
      </c>
      <c r="H65" t="s">
        <v>29</v>
      </c>
      <c r="I65" t="s">
        <v>669</v>
      </c>
      <c r="J65" t="s">
        <v>1744</v>
      </c>
      <c r="K65" t="s">
        <v>649</v>
      </c>
      <c r="N65">
        <v>999</v>
      </c>
      <c r="O65">
        <v>999</v>
      </c>
      <c r="Q65">
        <v>16</v>
      </c>
    </row>
    <row r="66" spans="1:18" x14ac:dyDescent="0.2">
      <c r="A66" t="str">
        <f ca="1">表_网址[[#This Row],[1级]]&amp;"-"&amp;表_网址[[#This Row],[2级]]&amp;"-"&amp;表_网址[[#This Row],[3级]]&amp;"-"&amp;表_网址[[#This Row],[级内]]</f>
        <v>2004-10-10-108</v>
      </c>
      <c r="B66">
        <f ca="1">MATCH(表_网址[[#This Row],[版层分类]],序列_版层分类,0)*1000+MATCH(表_网址[[#This Row],[首要关键词]],序列_首要关键词,0)</f>
        <v>2004</v>
      </c>
      <c r="C66">
        <f>IF(表_网址[[#This Row],[次要关键词]]="",10,MATCH(表_网址[[#This Row],[次要关键词]],序列_次要关键词,0)+10)</f>
        <v>10</v>
      </c>
      <c r="D66">
        <f>IF(表_网址[[#This Row],[重点关键词]]="",10,MATCH(表_网址[[#This Row],[重点关键词]],序列_重点关键词,0)+10)</f>
        <v>10</v>
      </c>
      <c r="E66">
        <f>IF(AND(表_网址[[#This Row],[首要关键词]]=K65,表_网址[[#This Row],[次要关键词]]=L65,表_网址[[#This Row],[重点关键词]]=M65),E65+1,IF(表_网址[[#This Row],[重点关键词]]="",100,101))</f>
        <v>108</v>
      </c>
      <c r="F66" t="s">
        <v>670</v>
      </c>
      <c r="G66" t="s">
        <v>671</v>
      </c>
      <c r="H66" t="s">
        <v>29</v>
      </c>
      <c r="I66" t="s">
        <v>672</v>
      </c>
      <c r="J66" t="s">
        <v>1744</v>
      </c>
      <c r="K66" t="s">
        <v>649</v>
      </c>
      <c r="N66">
        <v>999</v>
      </c>
      <c r="O66">
        <v>999</v>
      </c>
      <c r="Q66">
        <v>32</v>
      </c>
    </row>
    <row r="67" spans="1:18" x14ac:dyDescent="0.2">
      <c r="A67" t="str">
        <f ca="1">表_网址[[#This Row],[1级]]&amp;"-"&amp;表_网址[[#This Row],[2级]]&amp;"-"&amp;表_网址[[#This Row],[3级]]&amp;"-"&amp;表_网址[[#This Row],[级内]]</f>
        <v>2004-10-10-109</v>
      </c>
      <c r="B67">
        <f ca="1">MATCH(表_网址[[#This Row],[版层分类]],序列_版层分类,0)*1000+MATCH(表_网址[[#This Row],[首要关键词]],序列_首要关键词,0)</f>
        <v>2004</v>
      </c>
      <c r="C67">
        <f>IF(表_网址[[#This Row],[次要关键词]]="",10,MATCH(表_网址[[#This Row],[次要关键词]],序列_次要关键词,0)+10)</f>
        <v>10</v>
      </c>
      <c r="D67">
        <f>IF(表_网址[[#This Row],[重点关键词]]="",10,MATCH(表_网址[[#This Row],[重点关键词]],序列_重点关键词,0)+10)</f>
        <v>10</v>
      </c>
      <c r="E67">
        <f>IF(AND(表_网址[[#This Row],[首要关键词]]=K66,表_网址[[#This Row],[次要关键词]]=L66,表_网址[[#This Row],[重点关键词]]=M66),E66+1,IF(表_网址[[#This Row],[重点关键词]]="",100,101))</f>
        <v>109</v>
      </c>
      <c r="F67" t="s">
        <v>673</v>
      </c>
      <c r="G67" t="s">
        <v>674</v>
      </c>
      <c r="H67" t="s">
        <v>29</v>
      </c>
      <c r="I67" t="s">
        <v>675</v>
      </c>
      <c r="J67" t="s">
        <v>1744</v>
      </c>
      <c r="K67" t="s">
        <v>649</v>
      </c>
      <c r="N67">
        <v>999</v>
      </c>
      <c r="O67">
        <v>999</v>
      </c>
      <c r="Q67">
        <v>48</v>
      </c>
    </row>
    <row r="68" spans="1:18" x14ac:dyDescent="0.2">
      <c r="A68" t="str">
        <f ca="1">表_网址[[#This Row],[1级]]&amp;"-"&amp;表_网址[[#This Row],[2级]]&amp;"-"&amp;表_网址[[#This Row],[3级]]&amp;"-"&amp;表_网址[[#This Row],[级内]]</f>
        <v>2004-10-10-110</v>
      </c>
      <c r="B68">
        <f ca="1">MATCH(表_网址[[#This Row],[版层分类]],序列_版层分类,0)*1000+MATCH(表_网址[[#This Row],[首要关键词]],序列_首要关键词,0)</f>
        <v>2004</v>
      </c>
      <c r="C68">
        <f>IF(表_网址[[#This Row],[次要关键词]]="",10,MATCH(表_网址[[#This Row],[次要关键词]],序列_次要关键词,0)+10)</f>
        <v>10</v>
      </c>
      <c r="D68">
        <f>IF(表_网址[[#This Row],[重点关键词]]="",10,MATCH(表_网址[[#This Row],[重点关键词]],序列_重点关键词,0)+10)</f>
        <v>10</v>
      </c>
      <c r="E68">
        <f>IF(AND(表_网址[[#This Row],[首要关键词]]=K67,表_网址[[#This Row],[次要关键词]]=L67,表_网址[[#This Row],[重点关键词]]=M67),E67+1,IF(表_网址[[#This Row],[重点关键词]]="",100,101))</f>
        <v>110</v>
      </c>
      <c r="F68" t="s">
        <v>676</v>
      </c>
      <c r="G68" t="s">
        <v>677</v>
      </c>
      <c r="H68" t="s">
        <v>29</v>
      </c>
      <c r="I68" t="s">
        <v>678</v>
      </c>
      <c r="J68" t="s">
        <v>1744</v>
      </c>
      <c r="K68" t="s">
        <v>649</v>
      </c>
      <c r="N68">
        <v>999</v>
      </c>
      <c r="O68">
        <v>999</v>
      </c>
      <c r="Q68">
        <v>32</v>
      </c>
    </row>
    <row r="69" spans="1:18" x14ac:dyDescent="0.2">
      <c r="A69" t="str">
        <f ca="1">表_网址[[#This Row],[1级]]&amp;"-"&amp;表_网址[[#This Row],[2级]]&amp;"-"&amp;表_网址[[#This Row],[3级]]&amp;"-"&amp;表_网址[[#This Row],[级内]]</f>
        <v>2004-10-10-111</v>
      </c>
      <c r="B69">
        <f ca="1">MATCH(表_网址[[#This Row],[版层分类]],序列_版层分类,0)*1000+MATCH(表_网址[[#This Row],[首要关键词]],序列_首要关键词,0)</f>
        <v>2004</v>
      </c>
      <c r="C69">
        <f>IF(表_网址[[#This Row],[次要关键词]]="",10,MATCH(表_网址[[#This Row],[次要关键词]],序列_次要关键词,0)+10)</f>
        <v>10</v>
      </c>
      <c r="D69">
        <f>IF(表_网址[[#This Row],[重点关键词]]="",10,MATCH(表_网址[[#This Row],[重点关键词]],序列_重点关键词,0)+10)</f>
        <v>10</v>
      </c>
      <c r="E69">
        <f>IF(AND(表_网址[[#This Row],[首要关键词]]=K68,表_网址[[#This Row],[次要关键词]]=L68,表_网址[[#This Row],[重点关键词]]=M68),E68+1,IF(表_网址[[#This Row],[重点关键词]]="",100,101))</f>
        <v>111</v>
      </c>
      <c r="F69" t="s">
        <v>679</v>
      </c>
      <c r="G69" t="s">
        <v>680</v>
      </c>
      <c r="H69" t="s">
        <v>29</v>
      </c>
      <c r="I69" t="s">
        <v>681</v>
      </c>
      <c r="J69" t="s">
        <v>1744</v>
      </c>
      <c r="K69" t="s">
        <v>649</v>
      </c>
      <c r="N69">
        <v>999</v>
      </c>
      <c r="O69">
        <v>999</v>
      </c>
      <c r="Q69">
        <v>32</v>
      </c>
    </row>
    <row r="70" spans="1:18" x14ac:dyDescent="0.2">
      <c r="A70" t="str">
        <f ca="1">表_网址[[#This Row],[1级]]&amp;"-"&amp;表_网址[[#This Row],[2级]]&amp;"-"&amp;表_网址[[#This Row],[3级]]&amp;"-"&amp;表_网址[[#This Row],[级内]]</f>
        <v>2004-10-10-112</v>
      </c>
      <c r="B70">
        <f ca="1">MATCH(表_网址[[#This Row],[版层分类]],序列_版层分类,0)*1000+MATCH(表_网址[[#This Row],[首要关键词]],序列_首要关键词,0)</f>
        <v>2004</v>
      </c>
      <c r="C70">
        <f>IF(表_网址[[#This Row],[次要关键词]]="",10,MATCH(表_网址[[#This Row],[次要关键词]],序列_次要关键词,0)+10)</f>
        <v>10</v>
      </c>
      <c r="D70">
        <f>IF(表_网址[[#This Row],[重点关键词]]="",10,MATCH(表_网址[[#This Row],[重点关键词]],序列_重点关键词,0)+10)</f>
        <v>10</v>
      </c>
      <c r="E70">
        <f>IF(AND(表_网址[[#This Row],[首要关键词]]=K69,表_网址[[#This Row],[次要关键词]]=L69,表_网址[[#This Row],[重点关键词]]=M69),E69+1,IF(表_网址[[#This Row],[重点关键词]]="",100,101))</f>
        <v>112</v>
      </c>
      <c r="F70" t="s">
        <v>682</v>
      </c>
      <c r="G70" t="s">
        <v>683</v>
      </c>
      <c r="H70" t="s">
        <v>29</v>
      </c>
      <c r="J70" t="s">
        <v>1744</v>
      </c>
      <c r="K70" t="s">
        <v>649</v>
      </c>
      <c r="N70">
        <v>999</v>
      </c>
    </row>
    <row r="71" spans="1:18" x14ac:dyDescent="0.2">
      <c r="A71" t="str">
        <f ca="1">表_网址[[#This Row],[1级]]&amp;"-"&amp;表_网址[[#This Row],[2级]]&amp;"-"&amp;表_网址[[#This Row],[3级]]&amp;"-"&amp;表_网址[[#This Row],[级内]]</f>
        <v>2004-10-10-113</v>
      </c>
      <c r="B71">
        <f ca="1">MATCH(表_网址[[#This Row],[版层分类]],序列_版层分类,0)*1000+MATCH(表_网址[[#This Row],[首要关键词]],序列_首要关键词,0)</f>
        <v>2004</v>
      </c>
      <c r="C71">
        <f>IF(表_网址[[#This Row],[次要关键词]]="",10,MATCH(表_网址[[#This Row],[次要关键词]],序列_次要关键词,0)+10)</f>
        <v>10</v>
      </c>
      <c r="D71">
        <f>IF(表_网址[[#This Row],[重点关键词]]="",10,MATCH(表_网址[[#This Row],[重点关键词]],序列_重点关键词,0)+10)</f>
        <v>10</v>
      </c>
      <c r="E71">
        <f>IF(AND(表_网址[[#This Row],[首要关键词]]=K70,表_网址[[#This Row],[次要关键词]]=L70,表_网址[[#This Row],[重点关键词]]=M70),E70+1,IF(表_网址[[#This Row],[重点关键词]]="",100,101))</f>
        <v>113</v>
      </c>
      <c r="F71" t="s">
        <v>684</v>
      </c>
      <c r="G71" t="s">
        <v>685</v>
      </c>
      <c r="H71" t="s">
        <v>29</v>
      </c>
      <c r="I71" t="s">
        <v>686</v>
      </c>
      <c r="J71" t="s">
        <v>1744</v>
      </c>
      <c r="K71" t="s">
        <v>649</v>
      </c>
      <c r="N71">
        <v>999</v>
      </c>
      <c r="O71">
        <v>999</v>
      </c>
      <c r="Q71">
        <v>32</v>
      </c>
    </row>
    <row r="72" spans="1:18" x14ac:dyDescent="0.2">
      <c r="A72" t="str">
        <f ca="1">表_网址[[#This Row],[1级]]&amp;"-"&amp;表_网址[[#This Row],[2级]]&amp;"-"&amp;表_网址[[#This Row],[3级]]&amp;"-"&amp;表_网址[[#This Row],[级内]]</f>
        <v>2004-10-10-114</v>
      </c>
      <c r="B72">
        <f ca="1">MATCH(表_网址[[#This Row],[版层分类]],序列_版层分类,0)*1000+MATCH(表_网址[[#This Row],[首要关键词]],序列_首要关键词,0)</f>
        <v>2004</v>
      </c>
      <c r="C72">
        <f>IF(表_网址[[#This Row],[次要关键词]]="",10,MATCH(表_网址[[#This Row],[次要关键词]],序列_次要关键词,0)+10)</f>
        <v>10</v>
      </c>
      <c r="D72">
        <f>IF(表_网址[[#This Row],[重点关键词]]="",10,MATCH(表_网址[[#This Row],[重点关键词]],序列_重点关键词,0)+10)</f>
        <v>10</v>
      </c>
      <c r="E72">
        <f>IF(AND(表_网址[[#This Row],[首要关键词]]=K71,表_网址[[#This Row],[次要关键词]]=L71,表_网址[[#This Row],[重点关键词]]=M71),E71+1,IF(表_网址[[#This Row],[重点关键词]]="",100,101))</f>
        <v>114</v>
      </c>
      <c r="F72" t="s">
        <v>687</v>
      </c>
      <c r="G72" t="s">
        <v>688</v>
      </c>
      <c r="H72" t="s">
        <v>29</v>
      </c>
      <c r="I72" t="s">
        <v>689</v>
      </c>
      <c r="J72" t="s">
        <v>1744</v>
      </c>
      <c r="K72" t="s">
        <v>649</v>
      </c>
      <c r="N72">
        <v>999</v>
      </c>
      <c r="O72">
        <v>999</v>
      </c>
      <c r="Q72">
        <v>32</v>
      </c>
    </row>
    <row r="73" spans="1:18" x14ac:dyDescent="0.2">
      <c r="A73" t="str">
        <f ca="1">表_网址[[#This Row],[1级]]&amp;"-"&amp;表_网址[[#This Row],[2级]]&amp;"-"&amp;表_网址[[#This Row],[3级]]&amp;"-"&amp;表_网址[[#This Row],[级内]]</f>
        <v>2004-10-10-115</v>
      </c>
      <c r="B73">
        <f ca="1">MATCH(表_网址[[#This Row],[版层分类]],序列_版层分类,0)*1000+MATCH(表_网址[[#This Row],[首要关键词]],序列_首要关键词,0)</f>
        <v>2004</v>
      </c>
      <c r="C73">
        <f>IF(表_网址[[#This Row],[次要关键词]]="",10,MATCH(表_网址[[#This Row],[次要关键词]],序列_次要关键词,0)+10)</f>
        <v>10</v>
      </c>
      <c r="D73">
        <f>IF(表_网址[[#This Row],[重点关键词]]="",10,MATCH(表_网址[[#This Row],[重点关键词]],序列_重点关键词,0)+10)</f>
        <v>10</v>
      </c>
      <c r="E73">
        <f>IF(AND(表_网址[[#This Row],[首要关键词]]=K72,表_网址[[#This Row],[次要关键词]]=L72,表_网址[[#This Row],[重点关键词]]=M72),E72+1,IF(表_网址[[#This Row],[重点关键词]]="",100,101))</f>
        <v>115</v>
      </c>
      <c r="F73" t="s">
        <v>690</v>
      </c>
      <c r="G73" t="s">
        <v>691</v>
      </c>
      <c r="H73" t="s">
        <v>29</v>
      </c>
      <c r="I73" t="s">
        <v>692</v>
      </c>
      <c r="J73" t="s">
        <v>1744</v>
      </c>
      <c r="K73" t="s">
        <v>649</v>
      </c>
      <c r="N73">
        <v>999</v>
      </c>
      <c r="O73">
        <v>999</v>
      </c>
      <c r="Q73">
        <v>32</v>
      </c>
    </row>
    <row r="74" spans="1:18" x14ac:dyDescent="0.2">
      <c r="A74" t="str">
        <f ca="1">表_网址[[#This Row],[1级]]&amp;"-"&amp;表_网址[[#This Row],[2级]]&amp;"-"&amp;表_网址[[#This Row],[3级]]&amp;"-"&amp;表_网址[[#This Row],[级内]]</f>
        <v>2005-10-10-100</v>
      </c>
      <c r="B74">
        <f ca="1">MATCH(表_网址[[#This Row],[版层分类]],序列_版层分类,0)*1000+MATCH(表_网址[[#This Row],[首要关键词]],序列_首要关键词,0)</f>
        <v>2005</v>
      </c>
      <c r="C74">
        <f>IF(表_网址[[#This Row],[次要关键词]]="",10,MATCH(表_网址[[#This Row],[次要关键词]],序列_次要关键词,0)+10)</f>
        <v>10</v>
      </c>
      <c r="D74">
        <f>IF(表_网址[[#This Row],[重点关键词]]="",10,MATCH(表_网址[[#This Row],[重点关键词]],序列_重点关键词,0)+10)</f>
        <v>10</v>
      </c>
      <c r="E74">
        <f>IF(AND(表_网址[[#This Row],[首要关键词]]=K73,表_网址[[#This Row],[次要关键词]]=L73,表_网址[[#This Row],[重点关键词]]=M73),E73+1,IF(表_网址[[#This Row],[重点关键词]]="",100,101))</f>
        <v>100</v>
      </c>
      <c r="F74" t="s">
        <v>1293</v>
      </c>
      <c r="G74" t="s">
        <v>1294</v>
      </c>
      <c r="I74" t="s">
        <v>1295</v>
      </c>
      <c r="J74" t="s">
        <v>1744</v>
      </c>
      <c r="K74" t="s">
        <v>734</v>
      </c>
      <c r="N74">
        <v>999</v>
      </c>
      <c r="O74">
        <v>999</v>
      </c>
      <c r="Q74">
        <v>32</v>
      </c>
    </row>
    <row r="75" spans="1:18" x14ac:dyDescent="0.2">
      <c r="A75" t="str">
        <f ca="1">表_网址[[#This Row],[1级]]&amp;"-"&amp;表_网址[[#This Row],[2级]]&amp;"-"&amp;表_网址[[#This Row],[3级]]&amp;"-"&amp;表_网址[[#This Row],[级内]]</f>
        <v>3001-10-10-100</v>
      </c>
      <c r="B75">
        <f ca="1">MATCH(表_网址[[#This Row],[版层分类]],序列_版层分类,0)*1000+MATCH(表_网址[[#This Row],[首要关键词]],序列_首要关键词,0)</f>
        <v>3001</v>
      </c>
      <c r="C75">
        <f>IF(表_网址[[#This Row],[次要关键词]]="",10,MATCH(表_网址[[#This Row],[次要关键词]],序列_次要关键词,0)+10)</f>
        <v>10</v>
      </c>
      <c r="D75">
        <f>IF(表_网址[[#This Row],[重点关键词]]="",10,MATCH(表_网址[[#This Row],[重点关键词]],序列_重点关键词,0)+10)</f>
        <v>10</v>
      </c>
      <c r="E75">
        <f>IF(AND(表_网址[[#This Row],[首要关键词]]=K74,表_网址[[#This Row],[次要关键词]]=L74,表_网址[[#This Row],[重点关键词]]=M74),E74+1,IF(表_网址[[#This Row],[重点关键词]]="",100,101))</f>
        <v>100</v>
      </c>
      <c r="F75" t="s">
        <v>1287</v>
      </c>
      <c r="G75" t="s">
        <v>1288</v>
      </c>
      <c r="H75" t="s">
        <v>29</v>
      </c>
      <c r="I75" t="s">
        <v>1289</v>
      </c>
      <c r="J75" t="s">
        <v>1550</v>
      </c>
      <c r="K75" t="s">
        <v>1803</v>
      </c>
      <c r="N75">
        <v>999</v>
      </c>
      <c r="O75">
        <v>999</v>
      </c>
      <c r="Q75">
        <v>32</v>
      </c>
    </row>
    <row r="76" spans="1:18" x14ac:dyDescent="0.2">
      <c r="A76" t="str">
        <f ca="1">表_网址[[#This Row],[1级]]&amp;"-"&amp;表_网址[[#This Row],[2级]]&amp;"-"&amp;表_网址[[#This Row],[3级]]&amp;"-"&amp;表_网址[[#This Row],[级内]]</f>
        <v>3003-10-10-100</v>
      </c>
      <c r="B76">
        <f ca="1">MATCH(表_网址[[#This Row],[版层分类]],序列_版层分类,0)*1000+MATCH(表_网址[[#This Row],[首要关键词]],序列_首要关键词,0)</f>
        <v>3003</v>
      </c>
      <c r="C76">
        <f>IF(表_网址[[#This Row],[次要关键词]]="",10,MATCH(表_网址[[#This Row],[次要关键词]],序列_次要关键词,0)+10)</f>
        <v>10</v>
      </c>
      <c r="D76">
        <f>IF(表_网址[[#This Row],[重点关键词]]="",10,MATCH(表_网址[[#This Row],[重点关键词]],序列_重点关键词,0)+10)</f>
        <v>10</v>
      </c>
      <c r="E76">
        <f>IF(AND(表_网址[[#This Row],[首要关键词]]=K75,表_网址[[#This Row],[次要关键词]]=L75,表_网址[[#This Row],[重点关键词]]=M75),E75+1,IF(表_网址[[#This Row],[重点关键词]]="",100,101))</f>
        <v>100</v>
      </c>
      <c r="F76" t="s">
        <v>1118</v>
      </c>
      <c r="G76" t="s">
        <v>1119</v>
      </c>
      <c r="H76" t="s">
        <v>29</v>
      </c>
      <c r="I76" t="s">
        <v>1120</v>
      </c>
      <c r="J76" t="s">
        <v>1550</v>
      </c>
      <c r="K76" t="s">
        <v>1121</v>
      </c>
      <c r="N76">
        <v>999</v>
      </c>
      <c r="O76">
        <v>999</v>
      </c>
      <c r="Q76">
        <v>32</v>
      </c>
      <c r="R76" t="s">
        <v>507</v>
      </c>
    </row>
    <row r="77" spans="1:18" x14ac:dyDescent="0.2">
      <c r="A77" t="str">
        <f ca="1">表_网址[[#This Row],[1级]]&amp;"-"&amp;表_网址[[#This Row],[2级]]&amp;"-"&amp;表_网址[[#This Row],[3级]]&amp;"-"&amp;表_网址[[#This Row],[级内]]</f>
        <v>3003-10-10-101</v>
      </c>
      <c r="B77">
        <f ca="1">MATCH(表_网址[[#This Row],[版层分类]],序列_版层分类,0)*1000+MATCH(表_网址[[#This Row],[首要关键词]],序列_首要关键词,0)</f>
        <v>3003</v>
      </c>
      <c r="C77">
        <f>IF(表_网址[[#This Row],[次要关键词]]="",10,MATCH(表_网址[[#This Row],[次要关键词]],序列_次要关键词,0)+10)</f>
        <v>10</v>
      </c>
      <c r="D77">
        <f>IF(表_网址[[#This Row],[重点关键词]]="",10,MATCH(表_网址[[#This Row],[重点关键词]],序列_重点关键词,0)+10)</f>
        <v>10</v>
      </c>
      <c r="E77">
        <f>IF(AND(表_网址[[#This Row],[首要关键词]]=K76,表_网址[[#This Row],[次要关键词]]=L76,表_网址[[#This Row],[重点关键词]]=M76),E76+1,IF(表_网址[[#This Row],[重点关键词]]="",100,101))</f>
        <v>101</v>
      </c>
      <c r="F77" t="s">
        <v>1122</v>
      </c>
      <c r="G77" t="s">
        <v>1123</v>
      </c>
      <c r="H77" t="s">
        <v>29</v>
      </c>
      <c r="I77" t="s">
        <v>1124</v>
      </c>
      <c r="J77" t="s">
        <v>1550</v>
      </c>
      <c r="K77" t="s">
        <v>1121</v>
      </c>
      <c r="N77">
        <v>999</v>
      </c>
      <c r="O77">
        <v>999</v>
      </c>
      <c r="Q77">
        <v>32</v>
      </c>
      <c r="R77" t="s">
        <v>507</v>
      </c>
    </row>
    <row r="78" spans="1:18" x14ac:dyDescent="0.2">
      <c r="A78" t="str">
        <f ca="1">表_网址[[#This Row],[1级]]&amp;"-"&amp;表_网址[[#This Row],[2级]]&amp;"-"&amp;表_网址[[#This Row],[3级]]&amp;"-"&amp;表_网址[[#This Row],[级内]]</f>
        <v>3003-10-10-102</v>
      </c>
      <c r="B78">
        <f ca="1">MATCH(表_网址[[#This Row],[版层分类]],序列_版层分类,0)*1000+MATCH(表_网址[[#This Row],[首要关键词]],序列_首要关键词,0)</f>
        <v>3003</v>
      </c>
      <c r="C78">
        <f>IF(表_网址[[#This Row],[次要关键词]]="",10,MATCH(表_网址[[#This Row],[次要关键词]],序列_次要关键词,0)+10)</f>
        <v>10</v>
      </c>
      <c r="D78">
        <f>IF(表_网址[[#This Row],[重点关键词]]="",10,MATCH(表_网址[[#This Row],[重点关键词]],序列_重点关键词,0)+10)</f>
        <v>10</v>
      </c>
      <c r="E78">
        <f>IF(AND(表_网址[[#This Row],[首要关键词]]=K77,表_网址[[#This Row],[次要关键词]]=L77,表_网址[[#This Row],[重点关键词]]=M77),E77+1,IF(表_网址[[#This Row],[重点关键词]]="",100,101))</f>
        <v>102</v>
      </c>
      <c r="F78" t="s">
        <v>1060</v>
      </c>
      <c r="G78" t="s">
        <v>1061</v>
      </c>
      <c r="H78" t="s">
        <v>29</v>
      </c>
      <c r="I78" t="s">
        <v>1062</v>
      </c>
      <c r="J78" t="s">
        <v>1550</v>
      </c>
      <c r="K78" t="s">
        <v>1121</v>
      </c>
      <c r="N78">
        <v>999</v>
      </c>
      <c r="O78">
        <v>999</v>
      </c>
      <c r="Q78">
        <v>256</v>
      </c>
    </row>
    <row r="79" spans="1:18" x14ac:dyDescent="0.2">
      <c r="A79" t="str">
        <f ca="1">表_网址[[#This Row],[1级]]&amp;"-"&amp;表_网址[[#This Row],[2级]]&amp;"-"&amp;表_网址[[#This Row],[3级]]&amp;"-"&amp;表_网址[[#This Row],[级内]]</f>
        <v>3003-10-10-103</v>
      </c>
      <c r="B79">
        <f ca="1">MATCH(表_网址[[#This Row],[版层分类]],序列_版层分类,0)*1000+MATCH(表_网址[[#This Row],[首要关键词]],序列_首要关键词,0)</f>
        <v>3003</v>
      </c>
      <c r="C79">
        <f>IF(表_网址[[#This Row],[次要关键词]]="",10,MATCH(表_网址[[#This Row],[次要关键词]],序列_次要关键词,0)+10)</f>
        <v>10</v>
      </c>
      <c r="D79">
        <f>IF(表_网址[[#This Row],[重点关键词]]="",10,MATCH(表_网址[[#This Row],[重点关键词]],序列_重点关键词,0)+10)</f>
        <v>10</v>
      </c>
      <c r="E79">
        <f>IF(AND(表_网址[[#This Row],[首要关键词]]=K78,表_网址[[#This Row],[次要关键词]]=L78,表_网址[[#This Row],[重点关键词]]=M78),E78+1,IF(表_网址[[#This Row],[重点关键词]]="",100,101))</f>
        <v>103</v>
      </c>
      <c r="F79" t="s">
        <v>1125</v>
      </c>
      <c r="G79" t="s">
        <v>1126</v>
      </c>
      <c r="H79" t="s">
        <v>29</v>
      </c>
      <c r="I79" t="s">
        <v>1127</v>
      </c>
      <c r="J79" t="s">
        <v>1550</v>
      </c>
      <c r="K79" t="s">
        <v>1121</v>
      </c>
      <c r="N79">
        <v>999</v>
      </c>
      <c r="O79">
        <v>999</v>
      </c>
      <c r="Q79">
        <v>32</v>
      </c>
      <c r="R79" t="s">
        <v>507</v>
      </c>
    </row>
    <row r="80" spans="1:18" x14ac:dyDescent="0.2">
      <c r="A80" t="str">
        <f ca="1">表_网址[[#This Row],[1级]]&amp;"-"&amp;表_网址[[#This Row],[2级]]&amp;"-"&amp;表_网址[[#This Row],[3级]]&amp;"-"&amp;表_网址[[#This Row],[级内]]</f>
        <v>3003-10-10-104</v>
      </c>
      <c r="B80">
        <f ca="1">MATCH(表_网址[[#This Row],[版层分类]],序列_版层分类,0)*1000+MATCH(表_网址[[#This Row],[首要关键词]],序列_首要关键词,0)</f>
        <v>3003</v>
      </c>
      <c r="C80">
        <f>IF(表_网址[[#This Row],[次要关键词]]="",10,MATCH(表_网址[[#This Row],[次要关键词]],序列_次要关键词,0)+10)</f>
        <v>10</v>
      </c>
      <c r="D80">
        <f>IF(表_网址[[#This Row],[重点关键词]]="",10,MATCH(表_网址[[#This Row],[重点关键词]],序列_重点关键词,0)+10)</f>
        <v>10</v>
      </c>
      <c r="E80">
        <f>IF(AND(表_网址[[#This Row],[首要关键词]]=K79,表_网址[[#This Row],[次要关键词]]=L79,表_网址[[#This Row],[重点关键词]]=M79),E79+1,IF(表_网址[[#This Row],[重点关键词]]="",100,101))</f>
        <v>104</v>
      </c>
      <c r="F80" t="s">
        <v>1128</v>
      </c>
      <c r="G80" t="s">
        <v>1129</v>
      </c>
      <c r="H80" t="s">
        <v>29</v>
      </c>
      <c r="I80" t="s">
        <v>1130</v>
      </c>
      <c r="J80" t="s">
        <v>1550</v>
      </c>
      <c r="K80" t="s">
        <v>1121</v>
      </c>
      <c r="N80">
        <v>999</v>
      </c>
      <c r="O80">
        <v>999</v>
      </c>
      <c r="Q80">
        <v>32</v>
      </c>
    </row>
    <row r="81" spans="1:18" x14ac:dyDescent="0.2">
      <c r="A81" t="str">
        <f ca="1">表_网址[[#This Row],[1级]]&amp;"-"&amp;表_网址[[#This Row],[2级]]&amp;"-"&amp;表_网址[[#This Row],[3级]]&amp;"-"&amp;表_网址[[#This Row],[级内]]</f>
        <v>3003-10-10-105</v>
      </c>
      <c r="B81">
        <f ca="1">MATCH(表_网址[[#This Row],[版层分类]],序列_版层分类,0)*1000+MATCH(表_网址[[#This Row],[首要关键词]],序列_首要关键词,0)</f>
        <v>3003</v>
      </c>
      <c r="C81">
        <f>IF(表_网址[[#This Row],[次要关键词]]="",10,MATCH(表_网址[[#This Row],[次要关键词]],序列_次要关键词,0)+10)</f>
        <v>10</v>
      </c>
      <c r="D81">
        <f>IF(表_网址[[#This Row],[重点关键词]]="",10,MATCH(表_网址[[#This Row],[重点关键词]],序列_重点关键词,0)+10)</f>
        <v>10</v>
      </c>
      <c r="E81">
        <f>IF(AND(表_网址[[#This Row],[首要关键词]]=K80,表_网址[[#This Row],[次要关键词]]=L80,表_网址[[#This Row],[重点关键词]]=M80),E80+1,IF(表_网址[[#This Row],[重点关键词]]="",100,101))</f>
        <v>105</v>
      </c>
      <c r="F81" t="s">
        <v>1131</v>
      </c>
      <c r="G81" t="s">
        <v>1132</v>
      </c>
      <c r="H81" t="s">
        <v>29</v>
      </c>
      <c r="I81" t="s">
        <v>1133</v>
      </c>
      <c r="J81" t="s">
        <v>1550</v>
      </c>
      <c r="K81" t="s">
        <v>1121</v>
      </c>
      <c r="N81">
        <v>999</v>
      </c>
      <c r="O81">
        <v>999</v>
      </c>
      <c r="Q81">
        <v>16</v>
      </c>
      <c r="R81" t="s">
        <v>507</v>
      </c>
    </row>
    <row r="82" spans="1:18" x14ac:dyDescent="0.2">
      <c r="A82" t="str">
        <f ca="1">表_网址[[#This Row],[1级]]&amp;"-"&amp;表_网址[[#This Row],[2级]]&amp;"-"&amp;表_网址[[#This Row],[3级]]&amp;"-"&amp;表_网址[[#This Row],[级内]]</f>
        <v>3003-10-10-106</v>
      </c>
      <c r="B82">
        <f ca="1">MATCH(表_网址[[#This Row],[版层分类]],序列_版层分类,0)*1000+MATCH(表_网址[[#This Row],[首要关键词]],序列_首要关键词,0)</f>
        <v>3003</v>
      </c>
      <c r="C82">
        <f>IF(表_网址[[#This Row],[次要关键词]]="",10,MATCH(表_网址[[#This Row],[次要关键词]],序列_次要关键词,0)+10)</f>
        <v>10</v>
      </c>
      <c r="D82">
        <f>IF(表_网址[[#This Row],[重点关键词]]="",10,MATCH(表_网址[[#This Row],[重点关键词]],序列_重点关键词,0)+10)</f>
        <v>10</v>
      </c>
      <c r="E82">
        <f>IF(AND(表_网址[[#This Row],[首要关键词]]=K81,表_网址[[#This Row],[次要关键词]]=L81,表_网址[[#This Row],[重点关键词]]=M81),E81+1,IF(表_网址[[#This Row],[重点关键词]]="",100,101))</f>
        <v>106</v>
      </c>
      <c r="F82" t="s">
        <v>1134</v>
      </c>
      <c r="G82" t="s">
        <v>1135</v>
      </c>
      <c r="H82" t="s">
        <v>29</v>
      </c>
      <c r="J82" t="s">
        <v>1550</v>
      </c>
      <c r="K82" t="s">
        <v>1121</v>
      </c>
      <c r="N82">
        <v>999</v>
      </c>
      <c r="R82" t="s">
        <v>507</v>
      </c>
    </row>
    <row r="83" spans="1:18" x14ac:dyDescent="0.2">
      <c r="A83" t="str">
        <f ca="1">表_网址[[#This Row],[1级]]&amp;"-"&amp;表_网址[[#This Row],[2级]]&amp;"-"&amp;表_网址[[#This Row],[3级]]&amp;"-"&amp;表_网址[[#This Row],[级内]]</f>
        <v>3003-10-10-107</v>
      </c>
      <c r="B83">
        <f ca="1">MATCH(表_网址[[#This Row],[版层分类]],序列_版层分类,0)*1000+MATCH(表_网址[[#This Row],[首要关键词]],序列_首要关键词,0)</f>
        <v>3003</v>
      </c>
      <c r="C83">
        <f>IF(表_网址[[#This Row],[次要关键词]]="",10,MATCH(表_网址[[#This Row],[次要关键词]],序列_次要关键词,0)+10)</f>
        <v>10</v>
      </c>
      <c r="D83">
        <f>IF(表_网址[[#This Row],[重点关键词]]="",10,MATCH(表_网址[[#This Row],[重点关键词]],序列_重点关键词,0)+10)</f>
        <v>10</v>
      </c>
      <c r="E83">
        <f>IF(AND(表_网址[[#This Row],[首要关键词]]=K82,表_网址[[#This Row],[次要关键词]]=L82,表_网址[[#This Row],[重点关键词]]=M82),E82+1,IF(表_网址[[#This Row],[重点关键词]]="",100,101))</f>
        <v>107</v>
      </c>
      <c r="F83" t="s">
        <v>1136</v>
      </c>
      <c r="G83" t="s">
        <v>1137</v>
      </c>
      <c r="H83" t="s">
        <v>29</v>
      </c>
      <c r="I83" t="s">
        <v>1138</v>
      </c>
      <c r="J83" t="s">
        <v>1550</v>
      </c>
      <c r="K83" t="s">
        <v>1121</v>
      </c>
      <c r="N83">
        <v>999</v>
      </c>
      <c r="R83" t="s">
        <v>507</v>
      </c>
    </row>
    <row r="84" spans="1:18" x14ac:dyDescent="0.2">
      <c r="A84" t="str">
        <f ca="1">表_网址[[#This Row],[1级]]&amp;"-"&amp;表_网址[[#This Row],[2级]]&amp;"-"&amp;表_网址[[#This Row],[3级]]&amp;"-"&amp;表_网址[[#This Row],[级内]]</f>
        <v>3003-10-10-108</v>
      </c>
      <c r="B84">
        <f ca="1">MATCH(表_网址[[#This Row],[版层分类]],序列_版层分类,0)*1000+MATCH(表_网址[[#This Row],[首要关键词]],序列_首要关键词,0)</f>
        <v>3003</v>
      </c>
      <c r="C84">
        <f>IF(表_网址[[#This Row],[次要关键词]]="",10,MATCH(表_网址[[#This Row],[次要关键词]],序列_次要关键词,0)+10)</f>
        <v>10</v>
      </c>
      <c r="D84">
        <f>IF(表_网址[[#This Row],[重点关键词]]="",10,MATCH(表_网址[[#This Row],[重点关键词]],序列_重点关键词,0)+10)</f>
        <v>10</v>
      </c>
      <c r="E84">
        <f>IF(AND(表_网址[[#This Row],[首要关键词]]=K83,表_网址[[#This Row],[次要关键词]]=L83,表_网址[[#This Row],[重点关键词]]=M83),E83+1,IF(表_网址[[#This Row],[重点关键词]]="",100,101))</f>
        <v>108</v>
      </c>
      <c r="F84" t="s">
        <v>1139</v>
      </c>
      <c r="G84" t="s">
        <v>1140</v>
      </c>
      <c r="H84" t="s">
        <v>29</v>
      </c>
      <c r="I84" t="s">
        <v>1141</v>
      </c>
      <c r="J84" t="s">
        <v>1550</v>
      </c>
      <c r="K84" t="s">
        <v>1121</v>
      </c>
      <c r="N84">
        <v>999</v>
      </c>
      <c r="R84" t="s">
        <v>507</v>
      </c>
    </row>
    <row r="85" spans="1:18" x14ac:dyDescent="0.2">
      <c r="A85" t="str">
        <f ca="1">表_网址[[#This Row],[1级]]&amp;"-"&amp;表_网址[[#This Row],[2级]]&amp;"-"&amp;表_网址[[#This Row],[3级]]&amp;"-"&amp;表_网址[[#This Row],[级内]]</f>
        <v>3004-10-10-100</v>
      </c>
      <c r="B85">
        <f ca="1">MATCH(表_网址[[#This Row],[版层分类]],序列_版层分类,0)*1000+MATCH(表_网址[[#This Row],[首要关键词]],序列_首要关键词,0)</f>
        <v>3004</v>
      </c>
      <c r="C85">
        <f>IF(表_网址[[#This Row],[次要关键词]]="",10,MATCH(表_网址[[#This Row],[次要关键词]],序列_次要关键词,0)+10)</f>
        <v>10</v>
      </c>
      <c r="D85">
        <f>IF(表_网址[[#This Row],[重点关键词]]="",10,MATCH(表_网址[[#This Row],[重点关键词]],序列_重点关键词,0)+10)</f>
        <v>10</v>
      </c>
      <c r="E85">
        <f>IF(AND(表_网址[[#This Row],[首要关键词]]=K84,表_网址[[#This Row],[次要关键词]]=L84,表_网址[[#This Row],[重点关键词]]=M84),E84+1,IF(表_网址[[#This Row],[重点关键词]]="",100,101))</f>
        <v>100</v>
      </c>
      <c r="F85" t="s">
        <v>1290</v>
      </c>
      <c r="G85" t="s">
        <v>1291</v>
      </c>
      <c r="I85" t="s">
        <v>1292</v>
      </c>
      <c r="J85" t="s">
        <v>1550</v>
      </c>
      <c r="K85" t="s">
        <v>1805</v>
      </c>
      <c r="N85">
        <v>999</v>
      </c>
      <c r="O85">
        <v>999</v>
      </c>
      <c r="Q85">
        <v>32</v>
      </c>
    </row>
    <row r="86" spans="1:18" x14ac:dyDescent="0.2">
      <c r="A86" t="str">
        <f ca="1">表_网址[[#This Row],[1级]]&amp;"-"&amp;表_网址[[#This Row],[2级]]&amp;"-"&amp;表_网址[[#This Row],[3级]]&amp;"-"&amp;表_网址[[#This Row],[级内]]</f>
        <v>4001-10-10-100</v>
      </c>
      <c r="B86">
        <f ca="1">MATCH(表_网址[[#This Row],[版层分类]],序列_版层分类,0)*1000+MATCH(表_网址[[#This Row],[首要关键词]],序列_首要关键词,0)</f>
        <v>4001</v>
      </c>
      <c r="C86">
        <f>IF(表_网址[[#This Row],[次要关键词]]="",10,MATCH(表_网址[[#This Row],[次要关键词]],序列_次要关键词,0)+10)</f>
        <v>10</v>
      </c>
      <c r="D86">
        <f>IF(表_网址[[#This Row],[重点关键词]]="",10,MATCH(表_网址[[#This Row],[重点关键词]],序列_重点关键词,0)+10)</f>
        <v>10</v>
      </c>
      <c r="E86">
        <f>IF(AND(表_网址[[#This Row],[首要关键词]]=K85,表_网址[[#This Row],[次要关键词]]=L85,表_网址[[#This Row],[重点关键词]]=M85),E85+1,IF(表_网址[[#This Row],[重点关键词]]="",100,101))</f>
        <v>100</v>
      </c>
      <c r="F86" t="s">
        <v>882</v>
      </c>
      <c r="G86" t="s">
        <v>883</v>
      </c>
      <c r="H86" t="s">
        <v>884</v>
      </c>
      <c r="I86" t="s">
        <v>885</v>
      </c>
      <c r="J86" t="s">
        <v>1780</v>
      </c>
      <c r="K86" t="s">
        <v>886</v>
      </c>
      <c r="N86">
        <v>999</v>
      </c>
      <c r="O86">
        <v>999</v>
      </c>
      <c r="Q86">
        <v>152</v>
      </c>
    </row>
    <row r="87" spans="1:18" x14ac:dyDescent="0.2">
      <c r="A87" t="str">
        <f ca="1">表_网址[[#This Row],[1级]]&amp;"-"&amp;表_网址[[#This Row],[2级]]&amp;"-"&amp;表_网址[[#This Row],[3级]]&amp;"-"&amp;表_网址[[#This Row],[级内]]</f>
        <v>4001-10-10-101</v>
      </c>
      <c r="B87">
        <f ca="1">MATCH(表_网址[[#This Row],[版层分类]],序列_版层分类,0)*1000+MATCH(表_网址[[#This Row],[首要关键词]],序列_首要关键词,0)</f>
        <v>4001</v>
      </c>
      <c r="C87">
        <f>IF(表_网址[[#This Row],[次要关键词]]="",10,MATCH(表_网址[[#This Row],[次要关键词]],序列_次要关键词,0)+10)</f>
        <v>10</v>
      </c>
      <c r="D87">
        <f>IF(表_网址[[#This Row],[重点关键词]]="",10,MATCH(表_网址[[#This Row],[重点关键词]],序列_重点关键词,0)+10)</f>
        <v>10</v>
      </c>
      <c r="E87">
        <f>IF(AND(表_网址[[#This Row],[首要关键词]]=K86,表_网址[[#This Row],[次要关键词]]=L86,表_网址[[#This Row],[重点关键词]]=M86),E86+1,IF(表_网址[[#This Row],[重点关键词]]="",100,101))</f>
        <v>101</v>
      </c>
      <c r="F87" t="s">
        <v>892</v>
      </c>
      <c r="G87" t="s">
        <v>893</v>
      </c>
      <c r="J87" t="s">
        <v>1780</v>
      </c>
      <c r="K87" t="s">
        <v>886</v>
      </c>
      <c r="N87">
        <v>999</v>
      </c>
    </row>
    <row r="88" spans="1:18" x14ac:dyDescent="0.2">
      <c r="A88" t="str">
        <f ca="1">表_网址[[#This Row],[1级]]&amp;"-"&amp;表_网址[[#This Row],[2级]]&amp;"-"&amp;表_网址[[#This Row],[3级]]&amp;"-"&amp;表_网址[[#This Row],[级内]]</f>
        <v>4001-10-10-102</v>
      </c>
      <c r="B88">
        <f ca="1">MATCH(表_网址[[#This Row],[版层分类]],序列_版层分类,0)*1000+MATCH(表_网址[[#This Row],[首要关键词]],序列_首要关键词,0)</f>
        <v>4001</v>
      </c>
      <c r="C88">
        <f>IF(表_网址[[#This Row],[次要关键词]]="",10,MATCH(表_网址[[#This Row],[次要关键词]],序列_次要关键词,0)+10)</f>
        <v>10</v>
      </c>
      <c r="D88">
        <f>IF(表_网址[[#This Row],[重点关键词]]="",10,MATCH(表_网址[[#This Row],[重点关键词]],序列_重点关键词,0)+10)</f>
        <v>10</v>
      </c>
      <c r="E88">
        <f>IF(AND(表_网址[[#This Row],[首要关键词]]=K87,表_网址[[#This Row],[次要关键词]]=L87,表_网址[[#This Row],[重点关键词]]=M87),E87+1,IF(表_网址[[#This Row],[重点关键词]]="",100,101))</f>
        <v>102</v>
      </c>
      <c r="F88" t="s">
        <v>902</v>
      </c>
      <c r="G88" t="s">
        <v>903</v>
      </c>
      <c r="J88" t="s">
        <v>1780</v>
      </c>
      <c r="K88" t="s">
        <v>886</v>
      </c>
      <c r="N88">
        <v>999</v>
      </c>
    </row>
    <row r="89" spans="1:18" x14ac:dyDescent="0.2">
      <c r="A89" t="str">
        <f ca="1">表_网址[[#This Row],[1级]]&amp;"-"&amp;表_网址[[#This Row],[2级]]&amp;"-"&amp;表_网址[[#This Row],[3级]]&amp;"-"&amp;表_网址[[#This Row],[级内]]</f>
        <v>4001-10-10-103</v>
      </c>
      <c r="B89">
        <f ca="1">MATCH(表_网址[[#This Row],[版层分类]],序列_版层分类,0)*1000+MATCH(表_网址[[#This Row],[首要关键词]],序列_首要关键词,0)</f>
        <v>4001</v>
      </c>
      <c r="C89">
        <f>IF(表_网址[[#This Row],[次要关键词]]="",10,MATCH(表_网址[[#This Row],[次要关键词]],序列_次要关键词,0)+10)</f>
        <v>10</v>
      </c>
      <c r="D89">
        <f>IF(表_网址[[#This Row],[重点关键词]]="",10,MATCH(表_网址[[#This Row],[重点关键词]],序列_重点关键词,0)+10)</f>
        <v>10</v>
      </c>
      <c r="E89">
        <f>IF(AND(表_网址[[#This Row],[首要关键词]]=K88,表_网址[[#This Row],[次要关键词]]=L88,表_网址[[#This Row],[重点关键词]]=M88),E88+1,IF(表_网址[[#This Row],[重点关键词]]="",100,101))</f>
        <v>103</v>
      </c>
      <c r="F89" t="s">
        <v>909</v>
      </c>
      <c r="G89" t="s">
        <v>910</v>
      </c>
      <c r="H89" t="s">
        <v>911</v>
      </c>
      <c r="J89" t="s">
        <v>1780</v>
      </c>
      <c r="K89" t="s">
        <v>886</v>
      </c>
      <c r="N89">
        <v>999</v>
      </c>
    </row>
    <row r="90" spans="1:18" x14ac:dyDescent="0.2">
      <c r="A90" t="str">
        <f ca="1">表_网址[[#This Row],[1级]]&amp;"-"&amp;表_网址[[#This Row],[2级]]&amp;"-"&amp;表_网址[[#This Row],[3级]]&amp;"-"&amp;表_网址[[#This Row],[级内]]</f>
        <v>4001-10-10-104</v>
      </c>
      <c r="B90">
        <f ca="1">MATCH(表_网址[[#This Row],[版层分类]],序列_版层分类,0)*1000+MATCH(表_网址[[#This Row],[首要关键词]],序列_首要关键词,0)</f>
        <v>4001</v>
      </c>
      <c r="C90">
        <f>IF(表_网址[[#This Row],[次要关键词]]="",10,MATCH(表_网址[[#This Row],[次要关键词]],序列_次要关键词,0)+10)</f>
        <v>10</v>
      </c>
      <c r="D90">
        <f>IF(表_网址[[#This Row],[重点关键词]]="",10,MATCH(表_网址[[#This Row],[重点关键词]],序列_重点关键词,0)+10)</f>
        <v>10</v>
      </c>
      <c r="E90">
        <f>IF(AND(表_网址[[#This Row],[首要关键词]]=K89,表_网址[[#This Row],[次要关键词]]=L89,表_网址[[#This Row],[重点关键词]]=M89),E89+1,IF(表_网址[[#This Row],[重点关键词]]="",100,101))</f>
        <v>104</v>
      </c>
      <c r="F90" t="s">
        <v>887</v>
      </c>
      <c r="G90" t="s">
        <v>888</v>
      </c>
      <c r="H90" t="s">
        <v>889</v>
      </c>
      <c r="J90" t="s">
        <v>1780</v>
      </c>
      <c r="K90" t="s">
        <v>886</v>
      </c>
      <c r="N90">
        <v>999</v>
      </c>
    </row>
    <row r="91" spans="1:18" x14ac:dyDescent="0.2">
      <c r="A91" t="str">
        <f ca="1">表_网址[[#This Row],[1级]]&amp;"-"&amp;表_网址[[#This Row],[2级]]&amp;"-"&amp;表_网址[[#This Row],[3级]]&amp;"-"&amp;表_网址[[#This Row],[级内]]</f>
        <v>4001-10-10-105</v>
      </c>
      <c r="B91">
        <f ca="1">MATCH(表_网址[[#This Row],[版层分类]],序列_版层分类,0)*1000+MATCH(表_网址[[#This Row],[首要关键词]],序列_首要关键词,0)</f>
        <v>4001</v>
      </c>
      <c r="C91">
        <f>IF(表_网址[[#This Row],[次要关键词]]="",10,MATCH(表_网址[[#This Row],[次要关键词]],序列_次要关键词,0)+10)</f>
        <v>10</v>
      </c>
      <c r="D91">
        <f>IF(表_网址[[#This Row],[重点关键词]]="",10,MATCH(表_网址[[#This Row],[重点关键词]],序列_重点关键词,0)+10)</f>
        <v>10</v>
      </c>
      <c r="E91">
        <f>IF(AND(表_网址[[#This Row],[首要关键词]]=K90,表_网址[[#This Row],[次要关键词]]=L90,表_网址[[#This Row],[重点关键词]]=M90),E90+1,IF(表_网址[[#This Row],[重点关键词]]="",100,101))</f>
        <v>105</v>
      </c>
      <c r="F91" t="s">
        <v>894</v>
      </c>
      <c r="G91" t="s">
        <v>895</v>
      </c>
      <c r="J91" t="s">
        <v>1780</v>
      </c>
      <c r="K91" t="s">
        <v>886</v>
      </c>
      <c r="N91">
        <v>999</v>
      </c>
    </row>
    <row r="92" spans="1:18" x14ac:dyDescent="0.2">
      <c r="A92" t="str">
        <f ca="1">表_网址[[#This Row],[1级]]&amp;"-"&amp;表_网址[[#This Row],[2级]]&amp;"-"&amp;表_网址[[#This Row],[3级]]&amp;"-"&amp;表_网址[[#This Row],[级内]]</f>
        <v>4001-10-10-106</v>
      </c>
      <c r="B92">
        <f ca="1">MATCH(表_网址[[#This Row],[版层分类]],序列_版层分类,0)*1000+MATCH(表_网址[[#This Row],[首要关键词]],序列_首要关键词,0)</f>
        <v>4001</v>
      </c>
      <c r="C92">
        <f>IF(表_网址[[#This Row],[次要关键词]]="",10,MATCH(表_网址[[#This Row],[次要关键词]],序列_次要关键词,0)+10)</f>
        <v>10</v>
      </c>
      <c r="D92">
        <f>IF(表_网址[[#This Row],[重点关键词]]="",10,MATCH(表_网址[[#This Row],[重点关键词]],序列_重点关键词,0)+10)</f>
        <v>10</v>
      </c>
      <c r="E92">
        <f>IF(AND(表_网址[[#This Row],[首要关键词]]=K91,表_网址[[#This Row],[次要关键词]]=L91,表_网址[[#This Row],[重点关键词]]=M91),E91+1,IF(表_网址[[#This Row],[重点关键词]]="",100,101))</f>
        <v>106</v>
      </c>
      <c r="F92" t="s">
        <v>904</v>
      </c>
      <c r="G92" t="s">
        <v>905</v>
      </c>
      <c r="H92" t="s">
        <v>906</v>
      </c>
      <c r="J92" t="s">
        <v>1780</v>
      </c>
      <c r="K92" t="s">
        <v>886</v>
      </c>
      <c r="N92">
        <v>999</v>
      </c>
    </row>
    <row r="93" spans="1:18" x14ac:dyDescent="0.2">
      <c r="A93" t="str">
        <f ca="1">表_网址[[#This Row],[1级]]&amp;"-"&amp;表_网址[[#This Row],[2级]]&amp;"-"&amp;表_网址[[#This Row],[3级]]&amp;"-"&amp;表_网址[[#This Row],[级内]]</f>
        <v>4001-10-10-107</v>
      </c>
      <c r="B93">
        <f ca="1">MATCH(表_网址[[#This Row],[版层分类]],序列_版层分类,0)*1000+MATCH(表_网址[[#This Row],[首要关键词]],序列_首要关键词,0)</f>
        <v>4001</v>
      </c>
      <c r="C93">
        <f>IF(表_网址[[#This Row],[次要关键词]]="",10,MATCH(表_网址[[#This Row],[次要关键词]],序列_次要关键词,0)+10)</f>
        <v>10</v>
      </c>
      <c r="D93">
        <f>IF(表_网址[[#This Row],[重点关键词]]="",10,MATCH(表_网址[[#This Row],[重点关键词]],序列_重点关键词,0)+10)</f>
        <v>10</v>
      </c>
      <c r="E93">
        <f>IF(AND(表_网址[[#This Row],[首要关键词]]=K92,表_网址[[#This Row],[次要关键词]]=L92,表_网址[[#This Row],[重点关键词]]=M92),E92+1,IF(表_网址[[#This Row],[重点关键词]]="",100,101))</f>
        <v>107</v>
      </c>
      <c r="F93" t="s">
        <v>912</v>
      </c>
      <c r="G93" t="s">
        <v>913</v>
      </c>
      <c r="H93" t="s">
        <v>914</v>
      </c>
      <c r="J93" t="s">
        <v>1780</v>
      </c>
      <c r="K93" t="s">
        <v>886</v>
      </c>
      <c r="N93">
        <v>999</v>
      </c>
    </row>
    <row r="94" spans="1:18" x14ac:dyDescent="0.2">
      <c r="A94" t="str">
        <f ca="1">表_网址[[#This Row],[1级]]&amp;"-"&amp;表_网址[[#This Row],[2级]]&amp;"-"&amp;表_网址[[#This Row],[3级]]&amp;"-"&amp;表_网址[[#This Row],[级内]]</f>
        <v>4001-10-10-108</v>
      </c>
      <c r="B94">
        <f ca="1">MATCH(表_网址[[#This Row],[版层分类]],序列_版层分类,0)*1000+MATCH(表_网址[[#This Row],[首要关键词]],序列_首要关键词,0)</f>
        <v>4001</v>
      </c>
      <c r="C94">
        <f>IF(表_网址[[#This Row],[次要关键词]]="",10,MATCH(表_网址[[#This Row],[次要关键词]],序列_次要关键词,0)+10)</f>
        <v>10</v>
      </c>
      <c r="D94">
        <f>IF(表_网址[[#This Row],[重点关键词]]="",10,MATCH(表_网址[[#This Row],[重点关键词]],序列_重点关键词,0)+10)</f>
        <v>10</v>
      </c>
      <c r="E94">
        <f>IF(AND(表_网址[[#This Row],[首要关键词]]=K93,表_网址[[#This Row],[次要关键词]]=L93,表_网址[[#This Row],[重点关键词]]=M93),E93+1,IF(表_网址[[#This Row],[重点关键词]]="",100,101))</f>
        <v>108</v>
      </c>
      <c r="F94" t="s">
        <v>896</v>
      </c>
      <c r="G94" t="s">
        <v>897</v>
      </c>
      <c r="J94" t="s">
        <v>1780</v>
      </c>
      <c r="K94" t="s">
        <v>886</v>
      </c>
      <c r="N94">
        <v>999</v>
      </c>
    </row>
    <row r="95" spans="1:18" x14ac:dyDescent="0.2">
      <c r="A95" t="str">
        <f ca="1">表_网址[[#This Row],[1级]]&amp;"-"&amp;表_网址[[#This Row],[2级]]&amp;"-"&amp;表_网址[[#This Row],[3级]]&amp;"-"&amp;表_网址[[#This Row],[级内]]</f>
        <v>4001-10-10-109</v>
      </c>
      <c r="B95">
        <f ca="1">MATCH(表_网址[[#This Row],[版层分类]],序列_版层分类,0)*1000+MATCH(表_网址[[#This Row],[首要关键词]],序列_首要关键词,0)</f>
        <v>4001</v>
      </c>
      <c r="C95">
        <f>IF(表_网址[[#This Row],[次要关键词]]="",10,MATCH(表_网址[[#This Row],[次要关键词]],序列_次要关键词,0)+10)</f>
        <v>10</v>
      </c>
      <c r="D95">
        <f>IF(表_网址[[#This Row],[重点关键词]]="",10,MATCH(表_网址[[#This Row],[重点关键词]],序列_重点关键词,0)+10)</f>
        <v>10</v>
      </c>
      <c r="E95">
        <f>IF(AND(表_网址[[#This Row],[首要关键词]]=K94,表_网址[[#This Row],[次要关键词]]=L94,表_网址[[#This Row],[重点关键词]]=M94),E94+1,IF(表_网址[[#This Row],[重点关键词]]="",100,101))</f>
        <v>109</v>
      </c>
      <c r="F95" t="s">
        <v>915</v>
      </c>
      <c r="G95" t="s">
        <v>916</v>
      </c>
      <c r="H95" t="s">
        <v>917</v>
      </c>
      <c r="J95" t="s">
        <v>1780</v>
      </c>
      <c r="K95" t="s">
        <v>886</v>
      </c>
      <c r="N95">
        <v>999</v>
      </c>
    </row>
    <row r="96" spans="1:18" x14ac:dyDescent="0.2">
      <c r="A96" t="str">
        <f ca="1">表_网址[[#This Row],[1级]]&amp;"-"&amp;表_网址[[#This Row],[2级]]&amp;"-"&amp;表_网址[[#This Row],[3级]]&amp;"-"&amp;表_网址[[#This Row],[级内]]</f>
        <v>4001-10-10-110</v>
      </c>
      <c r="B96">
        <f ca="1">MATCH(表_网址[[#This Row],[版层分类]],序列_版层分类,0)*1000+MATCH(表_网址[[#This Row],[首要关键词]],序列_首要关键词,0)</f>
        <v>4001</v>
      </c>
      <c r="C96">
        <f>IF(表_网址[[#This Row],[次要关键词]]="",10,MATCH(表_网址[[#This Row],[次要关键词]],序列_次要关键词,0)+10)</f>
        <v>10</v>
      </c>
      <c r="D96">
        <f>IF(表_网址[[#This Row],[重点关键词]]="",10,MATCH(表_网址[[#This Row],[重点关键词]],序列_重点关键词,0)+10)</f>
        <v>10</v>
      </c>
      <c r="E96">
        <f>IF(AND(表_网址[[#This Row],[首要关键词]]=K95,表_网址[[#This Row],[次要关键词]]=L95,表_网址[[#This Row],[重点关键词]]=M95),E95+1,IF(表_网址[[#This Row],[重点关键词]]="",100,101))</f>
        <v>110</v>
      </c>
      <c r="F96" t="s">
        <v>898</v>
      </c>
      <c r="G96" t="s">
        <v>899</v>
      </c>
      <c r="J96" t="s">
        <v>1780</v>
      </c>
      <c r="K96" t="s">
        <v>886</v>
      </c>
      <c r="N96">
        <v>999</v>
      </c>
    </row>
    <row r="97" spans="1:14" x14ac:dyDescent="0.2">
      <c r="A97" t="str">
        <f ca="1">表_网址[[#This Row],[1级]]&amp;"-"&amp;表_网址[[#This Row],[2级]]&amp;"-"&amp;表_网址[[#This Row],[3级]]&amp;"-"&amp;表_网址[[#This Row],[级内]]</f>
        <v>4001-10-10-111</v>
      </c>
      <c r="B97">
        <f ca="1">MATCH(表_网址[[#This Row],[版层分类]],序列_版层分类,0)*1000+MATCH(表_网址[[#This Row],[首要关键词]],序列_首要关键词,0)</f>
        <v>4001</v>
      </c>
      <c r="C97">
        <f>IF(表_网址[[#This Row],[次要关键词]]="",10,MATCH(表_网址[[#This Row],[次要关键词]],序列_次要关键词,0)+10)</f>
        <v>10</v>
      </c>
      <c r="D97">
        <f>IF(表_网址[[#This Row],[重点关键词]]="",10,MATCH(表_网址[[#This Row],[重点关键词]],序列_重点关键词,0)+10)</f>
        <v>10</v>
      </c>
      <c r="E97">
        <f>IF(AND(表_网址[[#This Row],[首要关键词]]=K96,表_网址[[#This Row],[次要关键词]]=L96,表_网址[[#This Row],[重点关键词]]=M96),E96+1,IF(表_网址[[#This Row],[重点关键词]]="",100,101))</f>
        <v>111</v>
      </c>
      <c r="F97" t="s">
        <v>918</v>
      </c>
      <c r="G97" t="s">
        <v>919</v>
      </c>
      <c r="H97" t="s">
        <v>920</v>
      </c>
      <c r="J97" t="s">
        <v>1780</v>
      </c>
      <c r="K97" t="s">
        <v>886</v>
      </c>
      <c r="N97">
        <v>999</v>
      </c>
    </row>
    <row r="98" spans="1:14" x14ac:dyDescent="0.2">
      <c r="A98" t="str">
        <f ca="1">表_网址[[#This Row],[1级]]&amp;"-"&amp;表_网址[[#This Row],[2级]]&amp;"-"&amp;表_网址[[#This Row],[3级]]&amp;"-"&amp;表_网址[[#This Row],[级内]]</f>
        <v>4001-10-10-112</v>
      </c>
      <c r="B98">
        <f ca="1">MATCH(表_网址[[#This Row],[版层分类]],序列_版层分类,0)*1000+MATCH(表_网址[[#This Row],[首要关键词]],序列_首要关键词,0)</f>
        <v>4001</v>
      </c>
      <c r="C98">
        <f>IF(表_网址[[#This Row],[次要关键词]]="",10,MATCH(表_网址[[#This Row],[次要关键词]],序列_次要关键词,0)+10)</f>
        <v>10</v>
      </c>
      <c r="D98">
        <f>IF(表_网址[[#This Row],[重点关键词]]="",10,MATCH(表_网址[[#This Row],[重点关键词]],序列_重点关键词,0)+10)</f>
        <v>10</v>
      </c>
      <c r="E98">
        <f>IF(AND(表_网址[[#This Row],[首要关键词]]=K97,表_网址[[#This Row],[次要关键词]]=L97,表_网址[[#This Row],[重点关键词]]=M97),E97+1,IF(表_网址[[#This Row],[重点关键词]]="",100,101))</f>
        <v>112</v>
      </c>
      <c r="F98" t="s">
        <v>921</v>
      </c>
      <c r="G98" t="s">
        <v>922</v>
      </c>
      <c r="H98" t="s">
        <v>923</v>
      </c>
      <c r="J98" t="s">
        <v>1780</v>
      </c>
      <c r="K98" t="s">
        <v>886</v>
      </c>
      <c r="N98">
        <v>999</v>
      </c>
    </row>
    <row r="99" spans="1:14" x14ac:dyDescent="0.2">
      <c r="A99" t="str">
        <f ca="1">表_网址[[#This Row],[1级]]&amp;"-"&amp;表_网址[[#This Row],[2级]]&amp;"-"&amp;表_网址[[#This Row],[3级]]&amp;"-"&amp;表_网址[[#This Row],[级内]]</f>
        <v>4001-10-10-113</v>
      </c>
      <c r="B99">
        <f ca="1">MATCH(表_网址[[#This Row],[版层分类]],序列_版层分类,0)*1000+MATCH(表_网址[[#This Row],[首要关键词]],序列_首要关键词,0)</f>
        <v>4001</v>
      </c>
      <c r="C99">
        <f>IF(表_网址[[#This Row],[次要关键词]]="",10,MATCH(表_网址[[#This Row],[次要关键词]],序列_次要关键词,0)+10)</f>
        <v>10</v>
      </c>
      <c r="D99">
        <f>IF(表_网址[[#This Row],[重点关键词]]="",10,MATCH(表_网址[[#This Row],[重点关键词]],序列_重点关键词,0)+10)</f>
        <v>10</v>
      </c>
      <c r="E99">
        <f>IF(AND(表_网址[[#This Row],[首要关键词]]=K98,表_网址[[#This Row],[次要关键词]]=L98,表_网址[[#This Row],[重点关键词]]=M98),E98+1,IF(表_网址[[#This Row],[重点关键词]]="",100,101))</f>
        <v>113</v>
      </c>
      <c r="F99" t="s">
        <v>924</v>
      </c>
      <c r="G99" t="s">
        <v>925</v>
      </c>
      <c r="J99" t="s">
        <v>1780</v>
      </c>
      <c r="K99" t="s">
        <v>886</v>
      </c>
      <c r="N99">
        <v>999</v>
      </c>
    </row>
    <row r="100" spans="1:14" x14ac:dyDescent="0.2">
      <c r="A100" t="str">
        <f ca="1">表_网址[[#This Row],[1级]]&amp;"-"&amp;表_网址[[#This Row],[2级]]&amp;"-"&amp;表_网址[[#This Row],[3级]]&amp;"-"&amp;表_网址[[#This Row],[级内]]</f>
        <v>4001-10-10-114</v>
      </c>
      <c r="B100">
        <f ca="1">MATCH(表_网址[[#This Row],[版层分类]],序列_版层分类,0)*1000+MATCH(表_网址[[#This Row],[首要关键词]],序列_首要关键词,0)</f>
        <v>4001</v>
      </c>
      <c r="C100">
        <f>IF(表_网址[[#This Row],[次要关键词]]="",10,MATCH(表_网址[[#This Row],[次要关键词]],序列_次要关键词,0)+10)</f>
        <v>10</v>
      </c>
      <c r="D100">
        <f>IF(表_网址[[#This Row],[重点关键词]]="",10,MATCH(表_网址[[#This Row],[重点关键词]],序列_重点关键词,0)+10)</f>
        <v>10</v>
      </c>
      <c r="E100">
        <f>IF(AND(表_网址[[#This Row],[首要关键词]]=K99,表_网址[[#This Row],[次要关键词]]=L99,表_网址[[#This Row],[重点关键词]]=M99),E99+1,IF(表_网址[[#This Row],[重点关键词]]="",100,101))</f>
        <v>114</v>
      </c>
      <c r="F100" t="s">
        <v>926</v>
      </c>
      <c r="G100" t="s">
        <v>927</v>
      </c>
      <c r="H100" t="s">
        <v>928</v>
      </c>
      <c r="J100" t="s">
        <v>1780</v>
      </c>
      <c r="K100" t="s">
        <v>886</v>
      </c>
      <c r="N100">
        <v>999</v>
      </c>
    </row>
    <row r="101" spans="1:14" x14ac:dyDescent="0.2">
      <c r="A101" t="str">
        <f ca="1">表_网址[[#This Row],[1级]]&amp;"-"&amp;表_网址[[#This Row],[2级]]&amp;"-"&amp;表_网址[[#This Row],[3级]]&amp;"-"&amp;表_网址[[#This Row],[级内]]</f>
        <v>4001-10-10-115</v>
      </c>
      <c r="B101">
        <f ca="1">MATCH(表_网址[[#This Row],[版层分类]],序列_版层分类,0)*1000+MATCH(表_网址[[#This Row],[首要关键词]],序列_首要关键词,0)</f>
        <v>4001</v>
      </c>
      <c r="C101">
        <f>IF(表_网址[[#This Row],[次要关键词]]="",10,MATCH(表_网址[[#This Row],[次要关键词]],序列_次要关键词,0)+10)</f>
        <v>10</v>
      </c>
      <c r="D101">
        <f>IF(表_网址[[#This Row],[重点关键词]]="",10,MATCH(表_网址[[#This Row],[重点关键词]],序列_重点关键词,0)+10)</f>
        <v>10</v>
      </c>
      <c r="E101">
        <f>IF(AND(表_网址[[#This Row],[首要关键词]]=K100,表_网址[[#This Row],[次要关键词]]=L100,表_网址[[#This Row],[重点关键词]]=M100),E100+1,IF(表_网址[[#This Row],[重点关键词]]="",100,101))</f>
        <v>115</v>
      </c>
      <c r="F101" t="s">
        <v>929</v>
      </c>
      <c r="G101" t="s">
        <v>930</v>
      </c>
      <c r="H101" t="s">
        <v>931</v>
      </c>
      <c r="J101" t="s">
        <v>1780</v>
      </c>
      <c r="K101" t="s">
        <v>886</v>
      </c>
      <c r="N101">
        <v>999</v>
      </c>
    </row>
    <row r="102" spans="1:14" x14ac:dyDescent="0.2">
      <c r="A102" t="str">
        <f ca="1">表_网址[[#This Row],[1级]]&amp;"-"&amp;表_网址[[#This Row],[2级]]&amp;"-"&amp;表_网址[[#This Row],[3级]]&amp;"-"&amp;表_网址[[#This Row],[级内]]</f>
        <v>4001-11-10-100</v>
      </c>
      <c r="B102">
        <f ca="1">MATCH(表_网址[[#This Row],[版层分类]],序列_版层分类,0)*1000+MATCH(表_网址[[#This Row],[首要关键词]],序列_首要关键词,0)</f>
        <v>4001</v>
      </c>
      <c r="C102">
        <f ca="1">IF(表_网址[[#This Row],[次要关键词]]="",10,MATCH(表_网址[[#This Row],[次要关键词]],序列_次要关键词,0)+10)</f>
        <v>11</v>
      </c>
      <c r="D102">
        <f>IF(表_网址[[#This Row],[重点关键词]]="",10,MATCH(表_网址[[#This Row],[重点关键词]],序列_重点关键词,0)+10)</f>
        <v>10</v>
      </c>
      <c r="E102">
        <f>IF(AND(表_网址[[#This Row],[首要关键词]]=K101,表_网址[[#This Row],[次要关键词]]=L101,表_网址[[#This Row],[重点关键词]]=M101),E101+1,IF(表_网址[[#This Row],[重点关键词]]="",100,101))</f>
        <v>100</v>
      </c>
      <c r="J102" t="s">
        <v>1780</v>
      </c>
      <c r="K102" t="s">
        <v>886</v>
      </c>
      <c r="L102" t="s">
        <v>1784</v>
      </c>
    </row>
    <row r="103" spans="1:14" x14ac:dyDescent="0.2">
      <c r="A103" t="str">
        <f ca="1">表_网址[[#This Row],[1级]]&amp;"-"&amp;表_网址[[#This Row],[2级]]&amp;"-"&amp;表_网址[[#This Row],[3级]]&amp;"-"&amp;表_网址[[#This Row],[级内]]</f>
        <v>4001-11-11-101</v>
      </c>
      <c r="B103">
        <f ca="1">MATCH(表_网址[[#This Row],[版层分类]],序列_版层分类,0)*1000+MATCH(表_网址[[#This Row],[首要关键词]],序列_首要关键词,0)</f>
        <v>4001</v>
      </c>
      <c r="C103">
        <f ca="1">IF(表_网址[[#This Row],[次要关键词]]="",10,MATCH(表_网址[[#This Row],[次要关键词]],序列_次要关键词,0)+10)</f>
        <v>11</v>
      </c>
      <c r="D103">
        <f ca="1">IF(表_网址[[#This Row],[重点关键词]]="",10,MATCH(表_网址[[#This Row],[重点关键词]],序列_重点关键词,0)+10)</f>
        <v>11</v>
      </c>
      <c r="E103">
        <f>IF(AND(表_网址[[#This Row],[首要关键词]]=K102,表_网址[[#This Row],[次要关键词]]=L102,表_网址[[#This Row],[重点关键词]]=M102),E102+1,IF(表_网址[[#This Row],[重点关键词]]="",100,101))</f>
        <v>101</v>
      </c>
      <c r="F103" t="s">
        <v>1801</v>
      </c>
      <c r="G103" t="s">
        <v>890</v>
      </c>
      <c r="J103" t="s">
        <v>1780</v>
      </c>
      <c r="K103" t="s">
        <v>886</v>
      </c>
      <c r="L103" t="s">
        <v>1784</v>
      </c>
      <c r="M103" t="s">
        <v>1790</v>
      </c>
      <c r="N103">
        <v>999</v>
      </c>
    </row>
    <row r="104" spans="1:14" x14ac:dyDescent="0.2">
      <c r="A104" t="str">
        <f ca="1">表_网址[[#This Row],[1级]]&amp;"-"&amp;表_网址[[#This Row],[2级]]&amp;"-"&amp;表_网址[[#This Row],[3级]]&amp;"-"&amp;表_网址[[#This Row],[级内]]</f>
        <v>4001-11-12-101</v>
      </c>
      <c r="B104">
        <f ca="1">MATCH(表_网址[[#This Row],[版层分类]],序列_版层分类,0)*1000+MATCH(表_网址[[#This Row],[首要关键词]],序列_首要关键词,0)</f>
        <v>4001</v>
      </c>
      <c r="C104">
        <f ca="1">IF(表_网址[[#This Row],[次要关键词]]="",10,MATCH(表_网址[[#This Row],[次要关键词]],序列_次要关键词,0)+10)</f>
        <v>11</v>
      </c>
      <c r="D104">
        <f ca="1">IF(表_网址[[#This Row],[重点关键词]]="",10,MATCH(表_网址[[#This Row],[重点关键词]],序列_重点关键词,0)+10)</f>
        <v>12</v>
      </c>
      <c r="E104">
        <f>IF(AND(表_网址[[#This Row],[首要关键词]]=K103,表_网址[[#This Row],[次要关键词]]=L103,表_网址[[#This Row],[重点关键词]]=M103),E103+1,IF(表_网址[[#This Row],[重点关键词]]="",100,101))</f>
        <v>101</v>
      </c>
      <c r="F104" t="s">
        <v>1801</v>
      </c>
      <c r="G104" t="s">
        <v>891</v>
      </c>
      <c r="J104" t="s">
        <v>1780</v>
      </c>
      <c r="K104" t="s">
        <v>886</v>
      </c>
      <c r="L104" t="s">
        <v>1784</v>
      </c>
      <c r="M104" t="s">
        <v>1792</v>
      </c>
      <c r="N104">
        <v>999</v>
      </c>
    </row>
    <row r="105" spans="1:14" x14ac:dyDescent="0.2">
      <c r="A105" t="str">
        <f ca="1">表_网址[[#This Row],[1级]]&amp;"-"&amp;表_网址[[#This Row],[2级]]&amp;"-"&amp;表_网址[[#This Row],[3级]]&amp;"-"&amp;表_网址[[#This Row],[级内]]</f>
        <v>4001-11-12-102</v>
      </c>
      <c r="B105">
        <f ca="1">MATCH(表_网址[[#This Row],[版层分类]],序列_版层分类,0)*1000+MATCH(表_网址[[#This Row],[首要关键词]],序列_首要关键词,0)</f>
        <v>4001</v>
      </c>
      <c r="C105">
        <f ca="1">IF(表_网址[[#This Row],[次要关键词]]="",10,MATCH(表_网址[[#This Row],[次要关键词]],序列_次要关键词,0)+10)</f>
        <v>11</v>
      </c>
      <c r="D105">
        <f ca="1">IF(表_网址[[#This Row],[重点关键词]]="",10,MATCH(表_网址[[#This Row],[重点关键词]],序列_重点关键词,0)+10)</f>
        <v>12</v>
      </c>
      <c r="E105">
        <f>IF(AND(表_网址[[#This Row],[首要关键词]]=K104,表_网址[[#This Row],[次要关键词]]=L104,表_网址[[#This Row],[重点关键词]]=M104),E104+1,IF(表_网址[[#This Row],[重点关键词]]="",100,101))</f>
        <v>102</v>
      </c>
      <c r="F105" t="s">
        <v>907</v>
      </c>
      <c r="G105" t="s">
        <v>908</v>
      </c>
      <c r="J105" t="s">
        <v>1780</v>
      </c>
      <c r="K105" t="s">
        <v>886</v>
      </c>
      <c r="L105" t="s">
        <v>1784</v>
      </c>
      <c r="M105" t="s">
        <v>1791</v>
      </c>
      <c r="N105">
        <v>999</v>
      </c>
    </row>
    <row r="106" spans="1:14" x14ac:dyDescent="0.2">
      <c r="A106" t="str">
        <f ca="1">表_网址[[#This Row],[1级]]&amp;"-"&amp;表_网址[[#This Row],[2级]]&amp;"-"&amp;表_网址[[#This Row],[3级]]&amp;"-"&amp;表_网址[[#This Row],[级内]]</f>
        <v>4001-11-13-101</v>
      </c>
      <c r="B106">
        <f ca="1">MATCH(表_网址[[#This Row],[版层分类]],序列_版层分类,0)*1000+MATCH(表_网址[[#This Row],[首要关键词]],序列_首要关键词,0)</f>
        <v>4001</v>
      </c>
      <c r="C106">
        <f ca="1">IF(表_网址[[#This Row],[次要关键词]]="",10,MATCH(表_网址[[#This Row],[次要关键词]],序列_次要关键词,0)+10)</f>
        <v>11</v>
      </c>
      <c r="D106">
        <f ca="1">IF(表_网址[[#This Row],[重点关键词]]="",10,MATCH(表_网址[[#This Row],[重点关键词]],序列_重点关键词,0)+10)</f>
        <v>13</v>
      </c>
      <c r="E106">
        <f>IF(AND(表_网址[[#This Row],[首要关键词]]=K105,表_网址[[#This Row],[次要关键词]]=L105,表_网址[[#This Row],[重点关键词]]=M105),E105+1,IF(表_网址[[#This Row],[重点关键词]]="",100,101))</f>
        <v>101</v>
      </c>
      <c r="F106" t="s">
        <v>1800</v>
      </c>
      <c r="G106" t="s">
        <v>900</v>
      </c>
      <c r="J106" t="s">
        <v>1780</v>
      </c>
      <c r="K106" t="s">
        <v>886</v>
      </c>
      <c r="L106" t="s">
        <v>1784</v>
      </c>
      <c r="M106" t="s">
        <v>1793</v>
      </c>
      <c r="N106">
        <v>999</v>
      </c>
    </row>
    <row r="107" spans="1:14" x14ac:dyDescent="0.2">
      <c r="A107" t="str">
        <f ca="1">表_网址[[#This Row],[1级]]&amp;"-"&amp;表_网址[[#This Row],[2级]]&amp;"-"&amp;表_网址[[#This Row],[3级]]&amp;"-"&amp;表_网址[[#This Row],[级内]]</f>
        <v>4001-11-14-101</v>
      </c>
      <c r="B107">
        <f ca="1">MATCH(表_网址[[#This Row],[版层分类]],序列_版层分类,0)*1000+MATCH(表_网址[[#This Row],[首要关键词]],序列_首要关键词,0)</f>
        <v>4001</v>
      </c>
      <c r="C107">
        <f ca="1">IF(表_网址[[#This Row],[次要关键词]]="",10,MATCH(表_网址[[#This Row],[次要关键词]],序列_次要关键词,0)+10)</f>
        <v>11</v>
      </c>
      <c r="D107">
        <f ca="1">IF(表_网址[[#This Row],[重点关键词]]="",10,MATCH(表_网址[[#This Row],[重点关键词]],序列_重点关键词,0)+10)</f>
        <v>14</v>
      </c>
      <c r="E107">
        <f>IF(AND(表_网址[[#This Row],[首要关键词]]=K106,表_网址[[#This Row],[次要关键词]]=L106,表_网址[[#This Row],[重点关键词]]=M106),E106+1,IF(表_网址[[#This Row],[重点关键词]]="",100,101))</f>
        <v>101</v>
      </c>
      <c r="F107" t="s">
        <v>1799</v>
      </c>
      <c r="G107" t="s">
        <v>901</v>
      </c>
      <c r="J107" t="s">
        <v>1780</v>
      </c>
      <c r="K107" t="s">
        <v>886</v>
      </c>
      <c r="L107" t="s">
        <v>1784</v>
      </c>
      <c r="M107" t="s">
        <v>1787</v>
      </c>
      <c r="N107">
        <v>999</v>
      </c>
    </row>
    <row r="108" spans="1:14" x14ac:dyDescent="0.2">
      <c r="A108" t="str">
        <f ca="1">表_网址[[#This Row],[1级]]&amp;"-"&amp;表_网址[[#This Row],[2级]]&amp;"-"&amp;表_网址[[#This Row],[3级]]&amp;"-"&amp;表_网址[[#This Row],[级内]]</f>
        <v>4001-11-14-102</v>
      </c>
      <c r="B108">
        <f ca="1">MATCH(表_网址[[#This Row],[版层分类]],序列_版层分类,0)*1000+MATCH(表_网址[[#This Row],[首要关键词]],序列_首要关键词,0)</f>
        <v>4001</v>
      </c>
      <c r="C108">
        <f ca="1">IF(表_网址[[#This Row],[次要关键词]]="",10,MATCH(表_网址[[#This Row],[次要关键词]],序列_次要关键词,0)+10)</f>
        <v>11</v>
      </c>
      <c r="D108">
        <f ca="1">IF(表_网址[[#This Row],[重点关键词]]="",10,MATCH(表_网址[[#This Row],[重点关键词]],序列_重点关键词,0)+10)</f>
        <v>14</v>
      </c>
      <c r="E108">
        <f>IF(AND(表_网址[[#This Row],[首要关键词]]=K107,表_网址[[#This Row],[次要关键词]]=L107,表_网址[[#This Row],[重点关键词]]=M107),E107+1,IF(表_网址[[#This Row],[重点关键词]]="",100,101))</f>
        <v>102</v>
      </c>
      <c r="F108" t="s">
        <v>1789</v>
      </c>
      <c r="G108" t="s">
        <v>965</v>
      </c>
      <c r="J108" t="s">
        <v>1780</v>
      </c>
      <c r="K108" t="s">
        <v>886</v>
      </c>
      <c r="L108" t="s">
        <v>1784</v>
      </c>
      <c r="M108" t="s">
        <v>1788</v>
      </c>
      <c r="N108">
        <v>999</v>
      </c>
    </row>
    <row r="109" spans="1:14" x14ac:dyDescent="0.2">
      <c r="A109" t="str">
        <f ca="1">表_网址[[#This Row],[1级]]&amp;"-"&amp;表_网址[[#This Row],[2级]]&amp;"-"&amp;表_网址[[#This Row],[3级]]&amp;"-"&amp;表_网址[[#This Row],[级内]]</f>
        <v>4001-11-15-101</v>
      </c>
      <c r="B109">
        <f ca="1">MATCH(表_网址[[#This Row],[版层分类]],序列_版层分类,0)*1000+MATCH(表_网址[[#This Row],[首要关键词]],序列_首要关键词,0)</f>
        <v>4001</v>
      </c>
      <c r="C109">
        <f ca="1">IF(表_网址[[#This Row],[次要关键词]]="",10,MATCH(表_网址[[#This Row],[次要关键词]],序列_次要关键词,0)+10)</f>
        <v>11</v>
      </c>
      <c r="D109">
        <f ca="1">IF(表_网址[[#This Row],[重点关键词]]="",10,MATCH(表_网址[[#This Row],[重点关键词]],序列_重点关键词,0)+10)</f>
        <v>15</v>
      </c>
      <c r="E109">
        <f>IF(AND(表_网址[[#This Row],[首要关键词]]=K108,表_网址[[#This Row],[次要关键词]]=L108,表_网址[[#This Row],[重点关键词]]=M108),E108+1,IF(表_网址[[#This Row],[重点关键词]]="",100,101))</f>
        <v>101</v>
      </c>
      <c r="F109" t="s">
        <v>950</v>
      </c>
      <c r="G109" t="s">
        <v>951</v>
      </c>
      <c r="J109" t="s">
        <v>1780</v>
      </c>
      <c r="K109" t="s">
        <v>886</v>
      </c>
      <c r="L109" t="s">
        <v>1784</v>
      </c>
      <c r="M109" t="s">
        <v>1794</v>
      </c>
      <c r="N109">
        <v>999</v>
      </c>
    </row>
    <row r="110" spans="1:14" x14ac:dyDescent="0.2">
      <c r="A110" t="str">
        <f ca="1">表_网址[[#This Row],[1级]]&amp;"-"&amp;表_网址[[#This Row],[2级]]&amp;"-"&amp;表_网址[[#This Row],[3级]]&amp;"-"&amp;表_网址[[#This Row],[级内]]</f>
        <v>4001-11-16-101</v>
      </c>
      <c r="B110">
        <f ca="1">MATCH(表_网址[[#This Row],[版层分类]],序列_版层分类,0)*1000+MATCH(表_网址[[#This Row],[首要关键词]],序列_首要关键词,0)</f>
        <v>4001</v>
      </c>
      <c r="C110">
        <f ca="1">IF(表_网址[[#This Row],[次要关键词]]="",10,MATCH(表_网址[[#This Row],[次要关键词]],序列_次要关键词,0)+10)</f>
        <v>11</v>
      </c>
      <c r="D110">
        <f ca="1">IF(表_网址[[#This Row],[重点关键词]]="",10,MATCH(表_网址[[#This Row],[重点关键词]],序列_重点关键词,0)+10)</f>
        <v>16</v>
      </c>
      <c r="E110">
        <f>IF(AND(表_网址[[#This Row],[首要关键词]]=K109,表_网址[[#This Row],[次要关键词]]=L109,表_网址[[#This Row],[重点关键词]]=M109),E109+1,IF(表_网址[[#This Row],[重点关键词]]="",100,101))</f>
        <v>101</v>
      </c>
      <c r="F110" t="s">
        <v>970</v>
      </c>
      <c r="G110" t="s">
        <v>971</v>
      </c>
      <c r="J110" t="s">
        <v>1780</v>
      </c>
      <c r="K110" t="s">
        <v>886</v>
      </c>
      <c r="L110" t="s">
        <v>1784</v>
      </c>
      <c r="M110" t="s">
        <v>1798</v>
      </c>
      <c r="N110">
        <v>999</v>
      </c>
    </row>
    <row r="111" spans="1:14" x14ac:dyDescent="0.2">
      <c r="A111" t="str">
        <f ca="1">表_网址[[#This Row],[1级]]&amp;"-"&amp;表_网址[[#This Row],[2级]]&amp;"-"&amp;表_网址[[#This Row],[3级]]&amp;"-"&amp;表_网址[[#This Row],[级内]]</f>
        <v>4001-11-17-101</v>
      </c>
      <c r="B111">
        <f ca="1">MATCH(表_网址[[#This Row],[版层分类]],序列_版层分类,0)*1000+MATCH(表_网址[[#This Row],[首要关键词]],序列_首要关键词,0)</f>
        <v>4001</v>
      </c>
      <c r="C111">
        <f ca="1">IF(表_网址[[#This Row],[次要关键词]]="",10,MATCH(表_网址[[#This Row],[次要关键词]],序列_次要关键词,0)+10)</f>
        <v>11</v>
      </c>
      <c r="D111">
        <f ca="1">IF(表_网址[[#This Row],[重点关键词]]="",10,MATCH(表_网址[[#This Row],[重点关键词]],序列_重点关键词,0)+10)</f>
        <v>17</v>
      </c>
      <c r="E111">
        <f>IF(AND(表_网址[[#This Row],[首要关键词]]=K110,表_网址[[#This Row],[次要关键词]]=L110,表_网址[[#This Row],[重点关键词]]=M110),E110+1,IF(表_网址[[#This Row],[重点关键词]]="",100,101))</f>
        <v>101</v>
      </c>
      <c r="F111" t="s">
        <v>984</v>
      </c>
      <c r="G111" t="s">
        <v>985</v>
      </c>
      <c r="J111" t="s">
        <v>1780</v>
      </c>
      <c r="K111" t="s">
        <v>886</v>
      </c>
      <c r="L111" t="s">
        <v>1784</v>
      </c>
      <c r="M111" t="s">
        <v>1786</v>
      </c>
      <c r="N111">
        <v>999</v>
      </c>
    </row>
    <row r="112" spans="1:14" x14ac:dyDescent="0.2">
      <c r="A112" t="str">
        <f ca="1">表_网址[[#This Row],[1级]]&amp;"-"&amp;表_网址[[#This Row],[2级]]&amp;"-"&amp;表_网址[[#This Row],[3级]]&amp;"-"&amp;表_网址[[#This Row],[级内]]</f>
        <v>4001-11-17-102</v>
      </c>
      <c r="B112">
        <f ca="1">MATCH(表_网址[[#This Row],[版层分类]],序列_版层分类,0)*1000+MATCH(表_网址[[#This Row],[首要关键词]],序列_首要关键词,0)</f>
        <v>4001</v>
      </c>
      <c r="C112">
        <f ca="1">IF(表_网址[[#This Row],[次要关键词]]="",10,MATCH(表_网址[[#This Row],[次要关键词]],序列_次要关键词,0)+10)</f>
        <v>11</v>
      </c>
      <c r="D112">
        <f ca="1">IF(表_网址[[#This Row],[重点关键词]]="",10,MATCH(表_网址[[#This Row],[重点关键词]],序列_重点关键词,0)+10)</f>
        <v>17</v>
      </c>
      <c r="E112">
        <f>IF(AND(表_网址[[#This Row],[首要关键词]]=K111,表_网址[[#This Row],[次要关键词]]=L111,表_网址[[#This Row],[重点关键词]]=M111),E111+1,IF(表_网址[[#This Row],[重点关键词]]="",100,101))</f>
        <v>102</v>
      </c>
      <c r="F112" t="s">
        <v>1037</v>
      </c>
      <c r="G112" t="s">
        <v>1038</v>
      </c>
      <c r="H112" t="s">
        <v>1039</v>
      </c>
      <c r="J112" t="s">
        <v>1780</v>
      </c>
      <c r="K112" t="s">
        <v>886</v>
      </c>
      <c r="L112" t="s">
        <v>1784</v>
      </c>
      <c r="M112" t="s">
        <v>1786</v>
      </c>
      <c r="N112">
        <v>999</v>
      </c>
    </row>
    <row r="113" spans="1:14" x14ac:dyDescent="0.2">
      <c r="A113" t="str">
        <f ca="1">表_网址[[#This Row],[1级]]&amp;"-"&amp;表_网址[[#This Row],[2级]]&amp;"-"&amp;表_网址[[#This Row],[3级]]&amp;"-"&amp;表_网址[[#This Row],[级内]]</f>
        <v>4001-12-10-100</v>
      </c>
      <c r="B113">
        <f ca="1">MATCH(表_网址[[#This Row],[版层分类]],序列_版层分类,0)*1000+MATCH(表_网址[[#This Row],[首要关键词]],序列_首要关键词,0)</f>
        <v>4001</v>
      </c>
      <c r="C113">
        <f ca="1">IF(表_网址[[#This Row],[次要关键词]]="",10,MATCH(表_网址[[#This Row],[次要关键词]],序列_次要关键词,0)+10)</f>
        <v>12</v>
      </c>
      <c r="D113">
        <f>IF(表_网址[[#This Row],[重点关键词]]="",10,MATCH(表_网址[[#This Row],[重点关键词]],序列_重点关键词,0)+10)</f>
        <v>10</v>
      </c>
      <c r="E113">
        <f>IF(AND(表_网址[[#This Row],[首要关键词]]=K112,表_网址[[#This Row],[次要关键词]]=L112,表_网址[[#This Row],[重点关键词]]=M112),E112+1,IF(表_网址[[#This Row],[重点关键词]]="",100,101))</f>
        <v>100</v>
      </c>
      <c r="F113" t="s">
        <v>935</v>
      </c>
      <c r="G113" t="s">
        <v>936</v>
      </c>
      <c r="J113" t="s">
        <v>1780</v>
      </c>
      <c r="K113" t="s">
        <v>886</v>
      </c>
      <c r="L113" t="s">
        <v>937</v>
      </c>
      <c r="N113">
        <v>999</v>
      </c>
    </row>
    <row r="114" spans="1:14" x14ac:dyDescent="0.2">
      <c r="A114" t="str">
        <f ca="1">表_网址[[#This Row],[1级]]&amp;"-"&amp;表_网址[[#This Row],[2级]]&amp;"-"&amp;表_网址[[#This Row],[3级]]&amp;"-"&amp;表_网址[[#This Row],[级内]]</f>
        <v>4001-12-10-101</v>
      </c>
      <c r="B114">
        <f ca="1">MATCH(表_网址[[#This Row],[版层分类]],序列_版层分类,0)*1000+MATCH(表_网址[[#This Row],[首要关键词]],序列_首要关键词,0)</f>
        <v>4001</v>
      </c>
      <c r="C114">
        <f ca="1">IF(表_网址[[#This Row],[次要关键词]]="",10,MATCH(表_网址[[#This Row],[次要关键词]],序列_次要关键词,0)+10)</f>
        <v>12</v>
      </c>
      <c r="D114">
        <f>IF(表_网址[[#This Row],[重点关键词]]="",10,MATCH(表_网址[[#This Row],[重点关键词]],序列_重点关键词,0)+10)</f>
        <v>10</v>
      </c>
      <c r="E114">
        <f>IF(AND(表_网址[[#This Row],[首要关键词]]=K113,表_网址[[#This Row],[次要关键词]]=L113,表_网址[[#This Row],[重点关键词]]=M113),E113+1,IF(表_网址[[#This Row],[重点关键词]]="",100,101))</f>
        <v>101</v>
      </c>
      <c r="F114" t="s">
        <v>938</v>
      </c>
      <c r="G114" t="s">
        <v>939</v>
      </c>
      <c r="J114" t="s">
        <v>1780</v>
      </c>
      <c r="K114" t="s">
        <v>886</v>
      </c>
      <c r="L114" t="s">
        <v>937</v>
      </c>
      <c r="N114">
        <v>999</v>
      </c>
    </row>
    <row r="115" spans="1:14" x14ac:dyDescent="0.2">
      <c r="A115" t="str">
        <f ca="1">表_网址[[#This Row],[1级]]&amp;"-"&amp;表_网址[[#This Row],[2级]]&amp;"-"&amp;表_网址[[#This Row],[3级]]&amp;"-"&amp;表_网址[[#This Row],[级内]]</f>
        <v>4001-13-10-100</v>
      </c>
      <c r="B115">
        <f ca="1">MATCH(表_网址[[#This Row],[版层分类]],序列_版层分类,0)*1000+MATCH(表_网址[[#This Row],[首要关键词]],序列_首要关键词,0)</f>
        <v>4001</v>
      </c>
      <c r="C115">
        <f ca="1">IF(表_网址[[#This Row],[次要关键词]]="",10,MATCH(表_网址[[#This Row],[次要关键词]],序列_次要关键词,0)+10)</f>
        <v>13</v>
      </c>
      <c r="D115">
        <f>IF(表_网址[[#This Row],[重点关键词]]="",10,MATCH(表_网址[[#This Row],[重点关键词]],序列_重点关键词,0)+10)</f>
        <v>10</v>
      </c>
      <c r="E115">
        <f>IF(AND(表_网址[[#This Row],[首要关键词]]=K114,表_网址[[#This Row],[次要关键词]]=L114,表_网址[[#This Row],[重点关键词]]=M114),E114+1,IF(表_网址[[#This Row],[重点关键词]]="",100,101))</f>
        <v>100</v>
      </c>
      <c r="F115" t="s">
        <v>940</v>
      </c>
      <c r="G115" t="s">
        <v>941</v>
      </c>
      <c r="J115" t="s">
        <v>1780</v>
      </c>
      <c r="K115" t="s">
        <v>886</v>
      </c>
      <c r="L115" t="s">
        <v>942</v>
      </c>
      <c r="N115">
        <v>999</v>
      </c>
    </row>
    <row r="116" spans="1:14" x14ac:dyDescent="0.2">
      <c r="A116" t="str">
        <f ca="1">表_网址[[#This Row],[1级]]&amp;"-"&amp;表_网址[[#This Row],[2级]]&amp;"-"&amp;表_网址[[#This Row],[3级]]&amp;"-"&amp;表_网址[[#This Row],[级内]]</f>
        <v>4001-14-10-100</v>
      </c>
      <c r="B116">
        <f ca="1">MATCH(表_网址[[#This Row],[版层分类]],序列_版层分类,0)*1000+MATCH(表_网址[[#This Row],[首要关键词]],序列_首要关键词,0)</f>
        <v>4001</v>
      </c>
      <c r="C116">
        <f ca="1">IF(表_网址[[#This Row],[次要关键词]]="",10,MATCH(表_网址[[#This Row],[次要关键词]],序列_次要关键词,0)+10)</f>
        <v>14</v>
      </c>
      <c r="D116">
        <f>IF(表_网址[[#This Row],[重点关键词]]="",10,MATCH(表_网址[[#This Row],[重点关键词]],序列_重点关键词,0)+10)</f>
        <v>10</v>
      </c>
      <c r="E116">
        <f>IF(AND(表_网址[[#This Row],[首要关键词]]=K115,表_网址[[#This Row],[次要关键词]]=L115,表_网址[[#This Row],[重点关键词]]=M115),E115+1,IF(表_网址[[#This Row],[重点关键词]]="",100,101))</f>
        <v>100</v>
      </c>
      <c r="F116" t="s">
        <v>943</v>
      </c>
      <c r="G116" t="s">
        <v>944</v>
      </c>
      <c r="J116" t="s">
        <v>1780</v>
      </c>
      <c r="K116" t="s">
        <v>886</v>
      </c>
      <c r="L116" t="s">
        <v>945</v>
      </c>
      <c r="N116">
        <v>999</v>
      </c>
    </row>
    <row r="117" spans="1:14" x14ac:dyDescent="0.2">
      <c r="A117" t="str">
        <f ca="1">表_网址[[#This Row],[1级]]&amp;"-"&amp;表_网址[[#This Row],[2级]]&amp;"-"&amp;表_网址[[#This Row],[3级]]&amp;"-"&amp;表_网址[[#This Row],[级内]]</f>
        <v>4001-15-10-100</v>
      </c>
      <c r="B117">
        <f ca="1">MATCH(表_网址[[#This Row],[版层分类]],序列_版层分类,0)*1000+MATCH(表_网址[[#This Row],[首要关键词]],序列_首要关键词,0)</f>
        <v>4001</v>
      </c>
      <c r="C117">
        <f ca="1">IF(表_网址[[#This Row],[次要关键词]]="",10,MATCH(表_网址[[#This Row],[次要关键词]],序列_次要关键词,0)+10)</f>
        <v>15</v>
      </c>
      <c r="D117">
        <f>IF(表_网址[[#This Row],[重点关键词]]="",10,MATCH(表_网址[[#This Row],[重点关键词]],序列_重点关键词,0)+10)</f>
        <v>10</v>
      </c>
      <c r="E117">
        <f>IF(AND(表_网址[[#This Row],[首要关键词]]=K116,表_网址[[#This Row],[次要关键词]]=L116,表_网址[[#This Row],[重点关键词]]=M116),E116+1,IF(表_网址[[#This Row],[重点关键词]]="",100,101))</f>
        <v>100</v>
      </c>
      <c r="F117" t="s">
        <v>946</v>
      </c>
      <c r="G117" t="s">
        <v>947</v>
      </c>
      <c r="H117" t="s">
        <v>948</v>
      </c>
      <c r="J117" t="s">
        <v>1780</v>
      </c>
      <c r="K117" t="s">
        <v>886</v>
      </c>
      <c r="L117" t="s">
        <v>949</v>
      </c>
      <c r="N117">
        <v>999</v>
      </c>
    </row>
    <row r="118" spans="1:14" x14ac:dyDescent="0.2">
      <c r="A118" t="str">
        <f ca="1">表_网址[[#This Row],[1级]]&amp;"-"&amp;表_网址[[#This Row],[2级]]&amp;"-"&amp;表_网址[[#This Row],[3级]]&amp;"-"&amp;表_网址[[#This Row],[级内]]</f>
        <v>4001-17-10-100</v>
      </c>
      <c r="B118">
        <f ca="1">MATCH(表_网址[[#This Row],[版层分类]],序列_版层分类,0)*1000+MATCH(表_网址[[#This Row],[首要关键词]],序列_首要关键词,0)</f>
        <v>4001</v>
      </c>
      <c r="C118">
        <f ca="1">IF(表_网址[[#This Row],[次要关键词]]="",10,MATCH(表_网址[[#This Row],[次要关键词]],序列_次要关键词,0)+10)</f>
        <v>17</v>
      </c>
      <c r="D118">
        <f>IF(表_网址[[#This Row],[重点关键词]]="",10,MATCH(表_网址[[#This Row],[重点关键词]],序列_重点关键词,0)+10)</f>
        <v>10</v>
      </c>
      <c r="E118">
        <f>IF(AND(表_网址[[#This Row],[首要关键词]]=K117,表_网址[[#This Row],[次要关键词]]=L117,表_网址[[#This Row],[重点关键词]]=M117),E117+1,IF(表_网址[[#This Row],[重点关键词]]="",100,101))</f>
        <v>100</v>
      </c>
      <c r="F118" t="s">
        <v>953</v>
      </c>
      <c r="G118" t="s">
        <v>954</v>
      </c>
      <c r="J118" t="s">
        <v>1780</v>
      </c>
      <c r="K118" t="s">
        <v>886</v>
      </c>
      <c r="L118" t="s">
        <v>955</v>
      </c>
      <c r="N118">
        <v>999</v>
      </c>
    </row>
    <row r="119" spans="1:14" x14ac:dyDescent="0.2">
      <c r="A119" t="str">
        <f ca="1">表_网址[[#This Row],[1级]]&amp;"-"&amp;表_网址[[#This Row],[2级]]&amp;"-"&amp;表_网址[[#This Row],[3级]]&amp;"-"&amp;表_网址[[#This Row],[级内]]</f>
        <v>4001-18-10-100</v>
      </c>
      <c r="B119">
        <f ca="1">MATCH(表_网址[[#This Row],[版层分类]],序列_版层分类,0)*1000+MATCH(表_网址[[#This Row],[首要关键词]],序列_首要关键词,0)</f>
        <v>4001</v>
      </c>
      <c r="C119">
        <f ca="1">IF(表_网址[[#This Row],[次要关键词]]="",10,MATCH(表_网址[[#This Row],[次要关键词]],序列_次要关键词,0)+10)</f>
        <v>18</v>
      </c>
      <c r="D119">
        <f>IF(表_网址[[#This Row],[重点关键词]]="",10,MATCH(表_网址[[#This Row],[重点关键词]],序列_重点关键词,0)+10)</f>
        <v>10</v>
      </c>
      <c r="E119">
        <f>IF(AND(表_网址[[#This Row],[首要关键词]]=K118,表_网址[[#This Row],[次要关键词]]=L118,表_网址[[#This Row],[重点关键词]]=M118),E118+1,IF(表_网址[[#This Row],[重点关键词]]="",100,101))</f>
        <v>100</v>
      </c>
      <c r="F119" t="s">
        <v>956</v>
      </c>
      <c r="G119" t="s">
        <v>957</v>
      </c>
      <c r="J119" t="s">
        <v>1780</v>
      </c>
      <c r="K119" t="s">
        <v>886</v>
      </c>
      <c r="L119" t="s">
        <v>956</v>
      </c>
      <c r="N119">
        <v>999</v>
      </c>
    </row>
    <row r="120" spans="1:14" x14ac:dyDescent="0.2">
      <c r="A120" t="str">
        <f ca="1">表_网址[[#This Row],[1级]]&amp;"-"&amp;表_网址[[#This Row],[2级]]&amp;"-"&amp;表_网址[[#This Row],[3级]]&amp;"-"&amp;表_网址[[#This Row],[级内]]</f>
        <v>4001-18-10-101</v>
      </c>
      <c r="B120">
        <f ca="1">MATCH(表_网址[[#This Row],[版层分类]],序列_版层分类,0)*1000+MATCH(表_网址[[#This Row],[首要关键词]],序列_首要关键词,0)</f>
        <v>4001</v>
      </c>
      <c r="C120">
        <f ca="1">IF(表_网址[[#This Row],[次要关键词]]="",10,MATCH(表_网址[[#This Row],[次要关键词]],序列_次要关键词,0)+10)</f>
        <v>18</v>
      </c>
      <c r="D120">
        <f>IF(表_网址[[#This Row],[重点关键词]]="",10,MATCH(表_网址[[#This Row],[重点关键词]],序列_重点关键词,0)+10)</f>
        <v>10</v>
      </c>
      <c r="E120">
        <f>IF(AND(表_网址[[#This Row],[首要关键词]]=K119,表_网址[[#This Row],[次要关键词]]=L119,表_网址[[#This Row],[重点关键词]]=M119),E119+1,IF(表_网址[[#This Row],[重点关键词]]="",100,101))</f>
        <v>101</v>
      </c>
      <c r="F120" t="s">
        <v>958</v>
      </c>
      <c r="G120" t="s">
        <v>959</v>
      </c>
      <c r="J120" t="s">
        <v>1780</v>
      </c>
      <c r="K120" t="s">
        <v>886</v>
      </c>
      <c r="L120" t="s">
        <v>956</v>
      </c>
      <c r="N120">
        <v>999</v>
      </c>
    </row>
    <row r="121" spans="1:14" x14ac:dyDescent="0.2">
      <c r="A121" t="str">
        <f ca="1">表_网址[[#This Row],[1级]]&amp;"-"&amp;表_网址[[#This Row],[2级]]&amp;"-"&amp;表_网址[[#This Row],[3级]]&amp;"-"&amp;表_网址[[#This Row],[级内]]</f>
        <v>4001-19-10-100</v>
      </c>
      <c r="B121">
        <f ca="1">MATCH(表_网址[[#This Row],[版层分类]],序列_版层分类,0)*1000+MATCH(表_网址[[#This Row],[首要关键词]],序列_首要关键词,0)</f>
        <v>4001</v>
      </c>
      <c r="C121">
        <f ca="1">IF(表_网址[[#This Row],[次要关键词]]="",10,MATCH(表_网址[[#This Row],[次要关键词]],序列_次要关键词,0)+10)</f>
        <v>19</v>
      </c>
      <c r="D121">
        <f>IF(表_网址[[#This Row],[重点关键词]]="",10,MATCH(表_网址[[#This Row],[重点关键词]],序列_重点关键词,0)+10)</f>
        <v>10</v>
      </c>
      <c r="E121">
        <f>IF(AND(表_网址[[#This Row],[首要关键词]]=K120,表_网址[[#This Row],[次要关键词]]=L120,表_网址[[#This Row],[重点关键词]]=M120),E120+1,IF(表_网址[[#This Row],[重点关键词]]="",100,101))</f>
        <v>100</v>
      </c>
      <c r="F121" t="s">
        <v>960</v>
      </c>
      <c r="G121" t="s">
        <v>961</v>
      </c>
      <c r="J121" t="s">
        <v>1780</v>
      </c>
      <c r="K121" t="s">
        <v>886</v>
      </c>
      <c r="L121" t="s">
        <v>962</v>
      </c>
      <c r="N121">
        <v>999</v>
      </c>
    </row>
    <row r="122" spans="1:14" x14ac:dyDescent="0.2">
      <c r="A122" t="str">
        <f ca="1">表_网址[[#This Row],[1级]]&amp;"-"&amp;表_网址[[#This Row],[2级]]&amp;"-"&amp;表_网址[[#This Row],[3级]]&amp;"-"&amp;表_网址[[#This Row],[级内]]</f>
        <v>4001-19-10-101</v>
      </c>
      <c r="B122">
        <f ca="1">MATCH(表_网址[[#This Row],[版层分类]],序列_版层分类,0)*1000+MATCH(表_网址[[#This Row],[首要关键词]],序列_首要关键词,0)</f>
        <v>4001</v>
      </c>
      <c r="C122">
        <f ca="1">IF(表_网址[[#This Row],[次要关键词]]="",10,MATCH(表_网址[[#This Row],[次要关键词]],序列_次要关键词,0)+10)</f>
        <v>19</v>
      </c>
      <c r="D122">
        <f>IF(表_网址[[#This Row],[重点关键词]]="",10,MATCH(表_网址[[#This Row],[重点关键词]],序列_重点关键词,0)+10)</f>
        <v>10</v>
      </c>
      <c r="E122">
        <f>IF(AND(表_网址[[#This Row],[首要关键词]]=K121,表_网址[[#This Row],[次要关键词]]=L121,表_网址[[#This Row],[重点关键词]]=M121),E121+1,IF(表_网址[[#This Row],[重点关键词]]="",100,101))</f>
        <v>101</v>
      </c>
      <c r="F122" t="s">
        <v>963</v>
      </c>
      <c r="G122" t="s">
        <v>964</v>
      </c>
      <c r="J122" t="s">
        <v>1780</v>
      </c>
      <c r="K122" t="s">
        <v>886</v>
      </c>
      <c r="L122" t="s">
        <v>962</v>
      </c>
      <c r="N122">
        <v>999</v>
      </c>
    </row>
    <row r="123" spans="1:14" x14ac:dyDescent="0.2">
      <c r="A123" t="str">
        <f ca="1">表_网址[[#This Row],[1级]]&amp;"-"&amp;表_网址[[#This Row],[2级]]&amp;"-"&amp;表_网址[[#This Row],[3级]]&amp;"-"&amp;表_网址[[#This Row],[级内]]</f>
        <v>4001-21-10-100</v>
      </c>
      <c r="B123">
        <f ca="1">MATCH(表_网址[[#This Row],[版层分类]],序列_版层分类,0)*1000+MATCH(表_网址[[#This Row],[首要关键词]],序列_首要关键词,0)</f>
        <v>4001</v>
      </c>
      <c r="C123">
        <f ca="1">IF(表_网址[[#This Row],[次要关键词]]="",10,MATCH(表_网址[[#This Row],[次要关键词]],序列_次要关键词,0)+10)</f>
        <v>21</v>
      </c>
      <c r="D123">
        <f>IF(表_网址[[#This Row],[重点关键词]]="",10,MATCH(表_网址[[#This Row],[重点关键词]],序列_重点关键词,0)+10)</f>
        <v>10</v>
      </c>
      <c r="E123">
        <f>IF(AND(表_网址[[#This Row],[首要关键词]]=K122,表_网址[[#This Row],[次要关键词]]=L122,表_网址[[#This Row],[重点关键词]]=M122),E122+1,IF(表_网址[[#This Row],[重点关键词]]="",100,101))</f>
        <v>100</v>
      </c>
      <c r="F123" t="s">
        <v>967</v>
      </c>
      <c r="G123" t="s">
        <v>968</v>
      </c>
      <c r="J123" t="s">
        <v>1780</v>
      </c>
      <c r="K123" t="s">
        <v>886</v>
      </c>
      <c r="L123" t="s">
        <v>969</v>
      </c>
      <c r="N123">
        <v>999</v>
      </c>
    </row>
    <row r="124" spans="1:14" x14ac:dyDescent="0.2">
      <c r="A124" t="str">
        <f ca="1">表_网址[[#This Row],[1级]]&amp;"-"&amp;表_网址[[#This Row],[2级]]&amp;"-"&amp;表_网址[[#This Row],[3级]]&amp;"-"&amp;表_网址[[#This Row],[级内]]</f>
        <v>4001-23-10-100</v>
      </c>
      <c r="B124">
        <f ca="1">MATCH(表_网址[[#This Row],[版层分类]],序列_版层分类,0)*1000+MATCH(表_网址[[#This Row],[首要关键词]],序列_首要关键词,0)</f>
        <v>4001</v>
      </c>
      <c r="C124">
        <f ca="1">IF(表_网址[[#This Row],[次要关键词]]="",10,MATCH(表_网址[[#This Row],[次要关键词]],序列_次要关键词,0)+10)</f>
        <v>23</v>
      </c>
      <c r="D124">
        <f>IF(表_网址[[#This Row],[重点关键词]]="",10,MATCH(表_网址[[#This Row],[重点关键词]],序列_重点关键词,0)+10)</f>
        <v>10</v>
      </c>
      <c r="E124">
        <f>IF(AND(表_网址[[#This Row],[首要关键词]]=K123,表_网址[[#This Row],[次要关键词]]=L123,表_网址[[#This Row],[重点关键词]]=M123),E123+1,IF(表_网址[[#This Row],[重点关键词]]="",100,101))</f>
        <v>100</v>
      </c>
      <c r="F124" t="s">
        <v>973</v>
      </c>
      <c r="G124" t="s">
        <v>974</v>
      </c>
      <c r="J124" t="s">
        <v>1780</v>
      </c>
      <c r="K124" t="s">
        <v>886</v>
      </c>
      <c r="L124" t="s">
        <v>975</v>
      </c>
      <c r="N124">
        <v>999</v>
      </c>
    </row>
    <row r="125" spans="1:14" x14ac:dyDescent="0.2">
      <c r="A125" t="str">
        <f ca="1">表_网址[[#This Row],[1级]]&amp;"-"&amp;表_网址[[#This Row],[2级]]&amp;"-"&amp;表_网址[[#This Row],[3级]]&amp;"-"&amp;表_网址[[#This Row],[级内]]</f>
        <v>4001-24-10-100</v>
      </c>
      <c r="B125">
        <f ca="1">MATCH(表_网址[[#This Row],[版层分类]],序列_版层分类,0)*1000+MATCH(表_网址[[#This Row],[首要关键词]],序列_首要关键词,0)</f>
        <v>4001</v>
      </c>
      <c r="C125">
        <f ca="1">IF(表_网址[[#This Row],[次要关键词]]="",10,MATCH(表_网址[[#This Row],[次要关键词]],序列_次要关键词,0)+10)</f>
        <v>24</v>
      </c>
      <c r="D125">
        <f>IF(表_网址[[#This Row],[重点关键词]]="",10,MATCH(表_网址[[#This Row],[重点关键词]],序列_重点关键词,0)+10)</f>
        <v>10</v>
      </c>
      <c r="E125">
        <f>IF(AND(表_网址[[#This Row],[首要关键词]]=K124,表_网址[[#This Row],[次要关键词]]=L124,表_网址[[#This Row],[重点关键词]]=M124),E124+1,IF(表_网址[[#This Row],[重点关键词]]="",100,101))</f>
        <v>100</v>
      </c>
      <c r="F125" t="s">
        <v>976</v>
      </c>
      <c r="G125" t="s">
        <v>977</v>
      </c>
      <c r="J125" t="s">
        <v>1780</v>
      </c>
      <c r="K125" t="s">
        <v>886</v>
      </c>
      <c r="L125" t="s">
        <v>978</v>
      </c>
      <c r="N125">
        <v>999</v>
      </c>
    </row>
    <row r="126" spans="1:14" x14ac:dyDescent="0.2">
      <c r="A126" t="str">
        <f ca="1">表_网址[[#This Row],[1级]]&amp;"-"&amp;表_网址[[#This Row],[2级]]&amp;"-"&amp;表_网址[[#This Row],[3级]]&amp;"-"&amp;表_网址[[#This Row],[级内]]</f>
        <v>4001-25-10-100</v>
      </c>
      <c r="B126">
        <f ca="1">MATCH(表_网址[[#This Row],[版层分类]],序列_版层分类,0)*1000+MATCH(表_网址[[#This Row],[首要关键词]],序列_首要关键词,0)</f>
        <v>4001</v>
      </c>
      <c r="C126">
        <f ca="1">IF(表_网址[[#This Row],[次要关键词]]="",10,MATCH(表_网址[[#This Row],[次要关键词]],序列_次要关键词,0)+10)</f>
        <v>25</v>
      </c>
      <c r="D126">
        <f>IF(表_网址[[#This Row],[重点关键词]]="",10,MATCH(表_网址[[#This Row],[重点关键词]],序列_重点关键词,0)+10)</f>
        <v>10</v>
      </c>
      <c r="E126">
        <f>IF(AND(表_网址[[#This Row],[首要关键词]]=K125,表_网址[[#This Row],[次要关键词]]=L125,表_网址[[#This Row],[重点关键词]]=M125),E125+1,IF(表_网址[[#This Row],[重点关键词]]="",100,101))</f>
        <v>100</v>
      </c>
      <c r="F126" t="s">
        <v>979</v>
      </c>
      <c r="G126" t="s">
        <v>980</v>
      </c>
      <c r="J126" t="s">
        <v>1780</v>
      </c>
      <c r="K126" t="s">
        <v>886</v>
      </c>
      <c r="L126" t="s">
        <v>981</v>
      </c>
      <c r="N126">
        <v>999</v>
      </c>
    </row>
    <row r="127" spans="1:14" x14ac:dyDescent="0.2">
      <c r="A127" t="str">
        <f ca="1">表_网址[[#This Row],[1级]]&amp;"-"&amp;表_网址[[#This Row],[2级]]&amp;"-"&amp;表_网址[[#This Row],[3级]]&amp;"-"&amp;表_网址[[#This Row],[级内]]</f>
        <v>4001-25-10-101</v>
      </c>
      <c r="B127">
        <f ca="1">MATCH(表_网址[[#This Row],[版层分类]],序列_版层分类,0)*1000+MATCH(表_网址[[#This Row],[首要关键词]],序列_首要关键词,0)</f>
        <v>4001</v>
      </c>
      <c r="C127">
        <f ca="1">IF(表_网址[[#This Row],[次要关键词]]="",10,MATCH(表_网址[[#This Row],[次要关键词]],序列_次要关键词,0)+10)</f>
        <v>25</v>
      </c>
      <c r="D127">
        <f>IF(表_网址[[#This Row],[重点关键词]]="",10,MATCH(表_网址[[#This Row],[重点关键词]],序列_重点关键词,0)+10)</f>
        <v>10</v>
      </c>
      <c r="E127">
        <f>IF(AND(表_网址[[#This Row],[首要关键词]]=K126,表_网址[[#This Row],[次要关键词]]=L126,表_网址[[#This Row],[重点关键词]]=M126),E126+1,IF(表_网址[[#This Row],[重点关键词]]="",100,101))</f>
        <v>101</v>
      </c>
      <c r="F127" t="s">
        <v>982</v>
      </c>
      <c r="G127" t="s">
        <v>983</v>
      </c>
      <c r="J127" t="s">
        <v>1780</v>
      </c>
      <c r="K127" t="s">
        <v>886</v>
      </c>
      <c r="L127" t="s">
        <v>981</v>
      </c>
      <c r="N127">
        <v>999</v>
      </c>
    </row>
    <row r="128" spans="1:14" x14ac:dyDescent="0.2">
      <c r="A128" t="str">
        <f ca="1">表_网址[[#This Row],[1级]]&amp;"-"&amp;表_网址[[#This Row],[2级]]&amp;"-"&amp;表_网址[[#This Row],[3级]]&amp;"-"&amp;表_网址[[#This Row],[级内]]</f>
        <v>4001-27-10-100</v>
      </c>
      <c r="B128">
        <f ca="1">MATCH(表_网址[[#This Row],[版层分类]],序列_版层分类,0)*1000+MATCH(表_网址[[#This Row],[首要关键词]],序列_首要关键词,0)</f>
        <v>4001</v>
      </c>
      <c r="C128">
        <f ca="1">IF(表_网址[[#This Row],[次要关键词]]="",10,MATCH(表_网址[[#This Row],[次要关键词]],序列_次要关键词,0)+10)</f>
        <v>27</v>
      </c>
      <c r="D128">
        <f>IF(表_网址[[#This Row],[重点关键词]]="",10,MATCH(表_网址[[#This Row],[重点关键词]],序列_重点关键词,0)+10)</f>
        <v>10</v>
      </c>
      <c r="E128">
        <f>IF(AND(表_网址[[#This Row],[首要关键词]]=K127,表_网址[[#This Row],[次要关键词]]=L127,表_网址[[#This Row],[重点关键词]]=M127),E127+1,IF(表_网址[[#This Row],[重点关键词]]="",100,101))</f>
        <v>100</v>
      </c>
      <c r="F128" t="s">
        <v>987</v>
      </c>
      <c r="G128" t="s">
        <v>988</v>
      </c>
      <c r="J128" t="s">
        <v>1780</v>
      </c>
      <c r="K128" t="s">
        <v>886</v>
      </c>
      <c r="L128" t="s">
        <v>989</v>
      </c>
      <c r="N128">
        <v>999</v>
      </c>
    </row>
    <row r="129" spans="1:17" x14ac:dyDescent="0.2">
      <c r="A129" t="str">
        <f ca="1">表_网址[[#This Row],[1级]]&amp;"-"&amp;表_网址[[#This Row],[2级]]&amp;"-"&amp;表_网址[[#This Row],[3级]]&amp;"-"&amp;表_网址[[#This Row],[级内]]</f>
        <v>4001-27-10-101</v>
      </c>
      <c r="B129">
        <f ca="1">MATCH(表_网址[[#This Row],[版层分类]],序列_版层分类,0)*1000+MATCH(表_网址[[#This Row],[首要关键词]],序列_首要关键词,0)</f>
        <v>4001</v>
      </c>
      <c r="C129">
        <f ca="1">IF(表_网址[[#This Row],[次要关键词]]="",10,MATCH(表_网址[[#This Row],[次要关键词]],序列_次要关键词,0)+10)</f>
        <v>27</v>
      </c>
      <c r="D129">
        <f>IF(表_网址[[#This Row],[重点关键词]]="",10,MATCH(表_网址[[#This Row],[重点关键词]],序列_重点关键词,0)+10)</f>
        <v>10</v>
      </c>
      <c r="E129">
        <f>IF(AND(表_网址[[#This Row],[首要关键词]]=K128,表_网址[[#This Row],[次要关键词]]=L128,表_网址[[#This Row],[重点关键词]]=M128),E128+1,IF(表_网址[[#This Row],[重点关键词]]="",100,101))</f>
        <v>101</v>
      </c>
      <c r="F129" t="s">
        <v>990</v>
      </c>
      <c r="G129" t="s">
        <v>991</v>
      </c>
      <c r="H129" t="s">
        <v>992</v>
      </c>
      <c r="J129" t="s">
        <v>1780</v>
      </c>
      <c r="K129" t="s">
        <v>886</v>
      </c>
      <c r="L129" t="s">
        <v>989</v>
      </c>
      <c r="N129">
        <v>999</v>
      </c>
    </row>
    <row r="130" spans="1:17" x14ac:dyDescent="0.2">
      <c r="A130" t="str">
        <f ca="1">表_网址[[#This Row],[1级]]&amp;"-"&amp;表_网址[[#This Row],[2级]]&amp;"-"&amp;表_网址[[#This Row],[3级]]&amp;"-"&amp;表_网址[[#This Row],[级内]]</f>
        <v>4001-27-10-102</v>
      </c>
      <c r="B130">
        <f ca="1">MATCH(表_网址[[#This Row],[版层分类]],序列_版层分类,0)*1000+MATCH(表_网址[[#This Row],[首要关键词]],序列_首要关键词,0)</f>
        <v>4001</v>
      </c>
      <c r="C130">
        <f ca="1">IF(表_网址[[#This Row],[次要关键词]]="",10,MATCH(表_网址[[#This Row],[次要关键词]],序列_次要关键词,0)+10)</f>
        <v>27</v>
      </c>
      <c r="D130">
        <f>IF(表_网址[[#This Row],[重点关键词]]="",10,MATCH(表_网址[[#This Row],[重点关键词]],序列_重点关键词,0)+10)</f>
        <v>10</v>
      </c>
      <c r="E130">
        <f>IF(AND(表_网址[[#This Row],[首要关键词]]=K129,表_网址[[#This Row],[次要关键词]]=L129,表_网址[[#This Row],[重点关键词]]=M129),E129+1,IF(表_网址[[#This Row],[重点关键词]]="",100,101))</f>
        <v>102</v>
      </c>
      <c r="F130" t="s">
        <v>993</v>
      </c>
      <c r="G130" t="s">
        <v>994</v>
      </c>
      <c r="H130" t="s">
        <v>995</v>
      </c>
      <c r="J130" t="s">
        <v>1780</v>
      </c>
      <c r="K130" t="s">
        <v>886</v>
      </c>
      <c r="L130" t="s">
        <v>989</v>
      </c>
      <c r="N130">
        <v>999</v>
      </c>
    </row>
    <row r="131" spans="1:17" x14ac:dyDescent="0.2">
      <c r="A131" t="str">
        <f ca="1">表_网址[[#This Row],[1级]]&amp;"-"&amp;表_网址[[#This Row],[2级]]&amp;"-"&amp;表_网址[[#This Row],[3级]]&amp;"-"&amp;表_网址[[#This Row],[级内]]</f>
        <v>4001-28-10-100</v>
      </c>
      <c r="B131">
        <f ca="1">MATCH(表_网址[[#This Row],[版层分类]],序列_版层分类,0)*1000+MATCH(表_网址[[#This Row],[首要关键词]],序列_首要关键词,0)</f>
        <v>4001</v>
      </c>
      <c r="C131">
        <f ca="1">IF(表_网址[[#This Row],[次要关键词]]="",10,MATCH(表_网址[[#This Row],[次要关键词]],序列_次要关键词,0)+10)</f>
        <v>28</v>
      </c>
      <c r="D131">
        <f>IF(表_网址[[#This Row],[重点关键词]]="",10,MATCH(表_网址[[#This Row],[重点关键词]],序列_重点关键词,0)+10)</f>
        <v>10</v>
      </c>
      <c r="E131">
        <f>IF(AND(表_网址[[#This Row],[首要关键词]]=K130,表_网址[[#This Row],[次要关键词]]=L130,表_网址[[#This Row],[重点关键词]]=M130),E130+1,IF(表_网址[[#This Row],[重点关键词]]="",100,101))</f>
        <v>100</v>
      </c>
      <c r="F131" t="s">
        <v>932</v>
      </c>
      <c r="G131" t="s">
        <v>933</v>
      </c>
      <c r="J131" t="s">
        <v>1780</v>
      </c>
      <c r="K131" t="s">
        <v>886</v>
      </c>
      <c r="L131" t="s">
        <v>934</v>
      </c>
      <c r="N131">
        <v>999</v>
      </c>
    </row>
    <row r="132" spans="1:17" x14ac:dyDescent="0.2">
      <c r="A132" t="str">
        <f ca="1">表_网址[[#This Row],[1级]]&amp;"-"&amp;表_网址[[#This Row],[2级]]&amp;"-"&amp;表_网址[[#This Row],[3级]]&amp;"-"&amp;表_网址[[#This Row],[级内]]</f>
        <v>4002-10-10-100</v>
      </c>
      <c r="B132">
        <f ca="1">MATCH(表_网址[[#This Row],[版层分类]],序列_版层分类,0)*1000+MATCH(表_网址[[#This Row],[首要关键词]],序列_首要关键词,0)</f>
        <v>4002</v>
      </c>
      <c r="C132">
        <f>IF(表_网址[[#This Row],[次要关键词]]="",10,MATCH(表_网址[[#This Row],[次要关键词]],序列_次要关键词,0)+10)</f>
        <v>10</v>
      </c>
      <c r="D132">
        <f>IF(表_网址[[#This Row],[重点关键词]]="",10,MATCH(表_网址[[#This Row],[重点关键词]],序列_重点关键词,0)+10)</f>
        <v>10</v>
      </c>
      <c r="E132">
        <f>IF(AND(表_网址[[#This Row],[首要关键词]]=K131,表_网址[[#This Row],[次要关键词]]=L131,表_网址[[#This Row],[重点关键词]]=M131),E131+1,IF(表_网址[[#This Row],[重点关键词]]="",100,101))</f>
        <v>100</v>
      </c>
      <c r="F132" t="s">
        <v>996</v>
      </c>
      <c r="G132" t="s">
        <v>997</v>
      </c>
      <c r="H132" t="s">
        <v>998</v>
      </c>
      <c r="J132" t="s">
        <v>1780</v>
      </c>
      <c r="K132" t="s">
        <v>999</v>
      </c>
      <c r="N132">
        <v>999</v>
      </c>
    </row>
    <row r="133" spans="1:17" x14ac:dyDescent="0.2">
      <c r="A133" t="str">
        <f ca="1">表_网址[[#This Row],[1级]]&amp;"-"&amp;表_网址[[#This Row],[2级]]&amp;"-"&amp;表_网址[[#This Row],[3级]]&amp;"-"&amp;表_网址[[#This Row],[级内]]</f>
        <v>4002-11-10-100</v>
      </c>
      <c r="B133">
        <f ca="1">MATCH(表_网址[[#This Row],[版层分类]],序列_版层分类,0)*1000+MATCH(表_网址[[#This Row],[首要关键词]],序列_首要关键词,0)</f>
        <v>4002</v>
      </c>
      <c r="C133">
        <f ca="1">IF(表_网址[[#This Row],[次要关键词]]="",10,MATCH(表_网址[[#This Row],[次要关键词]],序列_次要关键词,0)+10)</f>
        <v>11</v>
      </c>
      <c r="D133">
        <f>IF(表_网址[[#This Row],[重点关键词]]="",10,MATCH(表_网址[[#This Row],[重点关键词]],序列_重点关键词,0)+10)</f>
        <v>10</v>
      </c>
      <c r="E133">
        <f>IF(AND(表_网址[[#This Row],[首要关键词]]=K132,表_网址[[#This Row],[次要关键词]]=L132,表_网址[[#This Row],[重点关键词]]=M132),E132+1,IF(表_网址[[#This Row],[重点关键词]]="",100,101))</f>
        <v>100</v>
      </c>
      <c r="F133" t="s">
        <v>1000</v>
      </c>
      <c r="G133" t="s">
        <v>1001</v>
      </c>
      <c r="J133" t="s">
        <v>1780</v>
      </c>
      <c r="K133" t="s">
        <v>999</v>
      </c>
      <c r="L133" t="s">
        <v>996</v>
      </c>
      <c r="N133">
        <v>999</v>
      </c>
    </row>
    <row r="134" spans="1:17" x14ac:dyDescent="0.2">
      <c r="A134" t="str">
        <f ca="1">表_网址[[#This Row],[1级]]&amp;"-"&amp;表_网址[[#This Row],[2级]]&amp;"-"&amp;表_网址[[#This Row],[3级]]&amp;"-"&amp;表_网址[[#This Row],[级内]]</f>
        <v>4003-10-10-100</v>
      </c>
      <c r="B134">
        <f ca="1">MATCH(表_网址[[#This Row],[版层分类]],序列_版层分类,0)*1000+MATCH(表_网址[[#This Row],[首要关键词]],序列_首要关键词,0)</f>
        <v>4003</v>
      </c>
      <c r="C134">
        <f>IF(表_网址[[#This Row],[次要关键词]]="",10,MATCH(表_网址[[#This Row],[次要关键词]],序列_次要关键词,0)+10)</f>
        <v>10</v>
      </c>
      <c r="D134">
        <f>IF(表_网址[[#This Row],[重点关键词]]="",10,MATCH(表_网址[[#This Row],[重点关键词]],序列_重点关键词,0)+10)</f>
        <v>10</v>
      </c>
      <c r="E134">
        <f>IF(AND(表_网址[[#This Row],[首要关键词]]=K133,表_网址[[#This Row],[次要关键词]]=L133,表_网址[[#This Row],[重点关键词]]=M133),E133+1,IF(表_网址[[#This Row],[重点关键词]]="",100,101))</f>
        <v>100</v>
      </c>
      <c r="F134" t="s">
        <v>1002</v>
      </c>
      <c r="G134" t="s">
        <v>1003</v>
      </c>
      <c r="I134" t="s">
        <v>1004</v>
      </c>
      <c r="J134" t="s">
        <v>1780</v>
      </c>
      <c r="K134" t="s">
        <v>1005</v>
      </c>
      <c r="N134">
        <v>999</v>
      </c>
    </row>
    <row r="135" spans="1:17" x14ac:dyDescent="0.2">
      <c r="A135" t="str">
        <f ca="1">表_网址[[#This Row],[1级]]&amp;"-"&amp;表_网址[[#This Row],[2级]]&amp;"-"&amp;表_网址[[#This Row],[3级]]&amp;"-"&amp;表_网址[[#This Row],[级内]]</f>
        <v>4003-10-10-101</v>
      </c>
      <c r="B135">
        <f ca="1">MATCH(表_网址[[#This Row],[版层分类]],序列_版层分类,0)*1000+MATCH(表_网址[[#This Row],[首要关键词]],序列_首要关键词,0)</f>
        <v>4003</v>
      </c>
      <c r="C135">
        <f>IF(表_网址[[#This Row],[次要关键词]]="",10,MATCH(表_网址[[#This Row],[次要关键词]],序列_次要关键词,0)+10)</f>
        <v>10</v>
      </c>
      <c r="D135">
        <f>IF(表_网址[[#This Row],[重点关键词]]="",10,MATCH(表_网址[[#This Row],[重点关键词]],序列_重点关键词,0)+10)</f>
        <v>10</v>
      </c>
      <c r="E135">
        <f>IF(AND(表_网址[[#This Row],[首要关键词]]=K134,表_网址[[#This Row],[次要关键词]]=L134,表_网址[[#This Row],[重点关键词]]=M134),E134+1,IF(表_网址[[#This Row],[重点关键词]]="",100,101))</f>
        <v>101</v>
      </c>
      <c r="F135" t="s">
        <v>1006</v>
      </c>
      <c r="G135" t="s">
        <v>1007</v>
      </c>
      <c r="I135" t="s">
        <v>1008</v>
      </c>
      <c r="J135" t="s">
        <v>1780</v>
      </c>
      <c r="K135" t="s">
        <v>1005</v>
      </c>
      <c r="N135">
        <v>999</v>
      </c>
    </row>
    <row r="136" spans="1:17" x14ac:dyDescent="0.2">
      <c r="A136" t="str">
        <f ca="1">表_网址[[#This Row],[1级]]&amp;"-"&amp;表_网址[[#This Row],[2级]]&amp;"-"&amp;表_网址[[#This Row],[3级]]&amp;"-"&amp;表_网址[[#This Row],[级内]]</f>
        <v>4003-10-10-102</v>
      </c>
      <c r="B136">
        <f ca="1">MATCH(表_网址[[#This Row],[版层分类]],序列_版层分类,0)*1000+MATCH(表_网址[[#This Row],[首要关键词]],序列_首要关键词,0)</f>
        <v>4003</v>
      </c>
      <c r="C136">
        <f>IF(表_网址[[#This Row],[次要关键词]]="",10,MATCH(表_网址[[#This Row],[次要关键词]],序列_次要关键词,0)+10)</f>
        <v>10</v>
      </c>
      <c r="D136">
        <f>IF(表_网址[[#This Row],[重点关键词]]="",10,MATCH(表_网址[[#This Row],[重点关键词]],序列_重点关键词,0)+10)</f>
        <v>10</v>
      </c>
      <c r="E136">
        <f>IF(AND(表_网址[[#This Row],[首要关键词]]=K135,表_网址[[#This Row],[次要关键词]]=L135,表_网址[[#This Row],[重点关键词]]=M135),E135+1,IF(表_网址[[#This Row],[重点关键词]]="",100,101))</f>
        <v>102</v>
      </c>
      <c r="F136" t="s">
        <v>1009</v>
      </c>
      <c r="G136" t="s">
        <v>1010</v>
      </c>
      <c r="I136" t="s">
        <v>1011</v>
      </c>
      <c r="J136" t="s">
        <v>1780</v>
      </c>
      <c r="K136" t="s">
        <v>1005</v>
      </c>
      <c r="N136">
        <v>999</v>
      </c>
    </row>
    <row r="137" spans="1:17" x14ac:dyDescent="0.2">
      <c r="A137" t="str">
        <f ca="1">表_网址[[#This Row],[1级]]&amp;"-"&amp;表_网址[[#This Row],[2级]]&amp;"-"&amp;表_网址[[#This Row],[3级]]&amp;"-"&amp;表_网址[[#This Row],[级内]]</f>
        <v>4003-10-10-103</v>
      </c>
      <c r="B137">
        <f ca="1">MATCH(表_网址[[#This Row],[版层分类]],序列_版层分类,0)*1000+MATCH(表_网址[[#This Row],[首要关键词]],序列_首要关键词,0)</f>
        <v>4003</v>
      </c>
      <c r="C137">
        <f>IF(表_网址[[#This Row],[次要关键词]]="",10,MATCH(表_网址[[#This Row],[次要关键词]],序列_次要关键词,0)+10)</f>
        <v>10</v>
      </c>
      <c r="D137">
        <f>IF(表_网址[[#This Row],[重点关键词]]="",10,MATCH(表_网址[[#This Row],[重点关键词]],序列_重点关键词,0)+10)</f>
        <v>10</v>
      </c>
      <c r="E137">
        <f>IF(AND(表_网址[[#This Row],[首要关键词]]=K136,表_网址[[#This Row],[次要关键词]]=L136,表_网址[[#This Row],[重点关键词]]=M136),E136+1,IF(表_网址[[#This Row],[重点关键词]]="",100,101))</f>
        <v>103</v>
      </c>
      <c r="F137" t="s">
        <v>1012</v>
      </c>
      <c r="G137" t="s">
        <v>1013</v>
      </c>
      <c r="I137" t="s">
        <v>1014</v>
      </c>
      <c r="J137" t="s">
        <v>1780</v>
      </c>
      <c r="K137" t="s">
        <v>1005</v>
      </c>
      <c r="N137">
        <v>999</v>
      </c>
    </row>
    <row r="138" spans="1:17" x14ac:dyDescent="0.2">
      <c r="A138" t="str">
        <f ca="1">表_网址[[#This Row],[1级]]&amp;"-"&amp;表_网址[[#This Row],[2级]]&amp;"-"&amp;表_网址[[#This Row],[3级]]&amp;"-"&amp;表_网址[[#This Row],[级内]]</f>
        <v>4003-10-10-104</v>
      </c>
      <c r="B138">
        <f ca="1">MATCH(表_网址[[#This Row],[版层分类]],序列_版层分类,0)*1000+MATCH(表_网址[[#This Row],[首要关键词]],序列_首要关键词,0)</f>
        <v>4003</v>
      </c>
      <c r="C138">
        <f>IF(表_网址[[#This Row],[次要关键词]]="",10,MATCH(表_网址[[#This Row],[次要关键词]],序列_次要关键词,0)+10)</f>
        <v>10</v>
      </c>
      <c r="D138">
        <f>IF(表_网址[[#This Row],[重点关键词]]="",10,MATCH(表_网址[[#This Row],[重点关键词]],序列_重点关键词,0)+10)</f>
        <v>10</v>
      </c>
      <c r="E138">
        <f>IF(AND(表_网址[[#This Row],[首要关键词]]=K137,表_网址[[#This Row],[次要关键词]]=L137,表_网址[[#This Row],[重点关键词]]=M137),E137+1,IF(表_网址[[#This Row],[重点关键词]]="",100,101))</f>
        <v>104</v>
      </c>
      <c r="F138" t="s">
        <v>1015</v>
      </c>
      <c r="G138" t="s">
        <v>1016</v>
      </c>
      <c r="J138" t="s">
        <v>1780</v>
      </c>
      <c r="K138" t="s">
        <v>1005</v>
      </c>
      <c r="N138">
        <v>999</v>
      </c>
    </row>
    <row r="139" spans="1:17" x14ac:dyDescent="0.2">
      <c r="A139" t="str">
        <f ca="1">表_网址[[#This Row],[1级]]&amp;"-"&amp;表_网址[[#This Row],[2级]]&amp;"-"&amp;表_网址[[#This Row],[3级]]&amp;"-"&amp;表_网址[[#This Row],[级内]]</f>
        <v>4003-10-10-105</v>
      </c>
      <c r="B139">
        <f ca="1">MATCH(表_网址[[#This Row],[版层分类]],序列_版层分类,0)*1000+MATCH(表_网址[[#This Row],[首要关键词]],序列_首要关键词,0)</f>
        <v>4003</v>
      </c>
      <c r="C139">
        <f>IF(表_网址[[#This Row],[次要关键词]]="",10,MATCH(表_网址[[#This Row],[次要关键词]],序列_次要关键词,0)+10)</f>
        <v>10</v>
      </c>
      <c r="D139">
        <f>IF(表_网址[[#This Row],[重点关键词]]="",10,MATCH(表_网址[[#This Row],[重点关键词]],序列_重点关键词,0)+10)</f>
        <v>10</v>
      </c>
      <c r="E139">
        <f>IF(AND(表_网址[[#This Row],[首要关键词]]=K138,表_网址[[#This Row],[次要关键词]]=L138,表_网址[[#This Row],[重点关键词]]=M138),E138+1,IF(表_网址[[#This Row],[重点关键词]]="",100,101))</f>
        <v>105</v>
      </c>
      <c r="F139" t="s">
        <v>1017</v>
      </c>
      <c r="G139" t="s">
        <v>1018</v>
      </c>
      <c r="J139" t="s">
        <v>1780</v>
      </c>
      <c r="K139" t="s">
        <v>1005</v>
      </c>
      <c r="N139">
        <v>999</v>
      </c>
    </row>
    <row r="140" spans="1:17" x14ac:dyDescent="0.2">
      <c r="A140" t="str">
        <f ca="1">表_网址[[#This Row],[1级]]&amp;"-"&amp;表_网址[[#This Row],[2级]]&amp;"-"&amp;表_网址[[#This Row],[3级]]&amp;"-"&amp;表_网址[[#This Row],[级内]]</f>
        <v>4003-10-10-106</v>
      </c>
      <c r="B140">
        <f ca="1">MATCH(表_网址[[#This Row],[版层分类]],序列_版层分类,0)*1000+MATCH(表_网址[[#This Row],[首要关键词]],序列_首要关键词,0)</f>
        <v>4003</v>
      </c>
      <c r="C140">
        <f>IF(表_网址[[#This Row],[次要关键词]]="",10,MATCH(表_网址[[#This Row],[次要关键词]],序列_次要关键词,0)+10)</f>
        <v>10</v>
      </c>
      <c r="D140">
        <f>IF(表_网址[[#This Row],[重点关键词]]="",10,MATCH(表_网址[[#This Row],[重点关键词]],序列_重点关键词,0)+10)</f>
        <v>10</v>
      </c>
      <c r="E140">
        <f>IF(AND(表_网址[[#This Row],[首要关键词]]=K139,表_网址[[#This Row],[次要关键词]]=L139,表_网址[[#This Row],[重点关键词]]=M139),E139+1,IF(表_网址[[#This Row],[重点关键词]]="",100,101))</f>
        <v>106</v>
      </c>
      <c r="F140" t="s">
        <v>1019</v>
      </c>
      <c r="G140" t="s">
        <v>1020</v>
      </c>
      <c r="H140" t="s">
        <v>1021</v>
      </c>
      <c r="J140" t="s">
        <v>1780</v>
      </c>
      <c r="K140" t="s">
        <v>1005</v>
      </c>
      <c r="N140">
        <v>999</v>
      </c>
    </row>
    <row r="141" spans="1:17" x14ac:dyDescent="0.2">
      <c r="A141" t="str">
        <f ca="1">表_网址[[#This Row],[1级]]&amp;"-"&amp;表_网址[[#This Row],[2级]]&amp;"-"&amp;表_网址[[#This Row],[3级]]&amp;"-"&amp;表_网址[[#This Row],[级内]]</f>
        <v>4004-10-10-100</v>
      </c>
      <c r="B141">
        <f ca="1">MATCH(表_网址[[#This Row],[版层分类]],序列_版层分类,0)*1000+MATCH(表_网址[[#This Row],[首要关键词]],序列_首要关键词,0)</f>
        <v>4004</v>
      </c>
      <c r="C141">
        <f>IF(表_网址[[#This Row],[次要关键词]]="",10,MATCH(表_网址[[#This Row],[次要关键词]],序列_次要关键词,0)+10)</f>
        <v>10</v>
      </c>
      <c r="D141">
        <f>IF(表_网址[[#This Row],[重点关键词]]="",10,MATCH(表_网址[[#This Row],[重点关键词]],序列_重点关键词,0)+10)</f>
        <v>10</v>
      </c>
      <c r="E141">
        <f>IF(AND(表_网址[[#This Row],[首要关键词]]=K140,表_网址[[#This Row],[次要关键词]]=L140,表_网址[[#This Row],[重点关键词]]=M140),E140+1,IF(表_网址[[#This Row],[重点关键词]]="",100,101))</f>
        <v>100</v>
      </c>
      <c r="F141" t="s">
        <v>1022</v>
      </c>
      <c r="G141" t="s">
        <v>1023</v>
      </c>
      <c r="I141" t="s">
        <v>1024</v>
      </c>
      <c r="J141" t="s">
        <v>1780</v>
      </c>
      <c r="K141" t="s">
        <v>1025</v>
      </c>
      <c r="N141">
        <v>999</v>
      </c>
      <c r="O141">
        <v>999</v>
      </c>
      <c r="Q141">
        <v>16</v>
      </c>
    </row>
    <row r="142" spans="1:17" x14ac:dyDescent="0.2">
      <c r="A142" t="str">
        <f ca="1">表_网址[[#This Row],[1级]]&amp;"-"&amp;表_网址[[#This Row],[2级]]&amp;"-"&amp;表_网址[[#This Row],[3级]]&amp;"-"&amp;表_网址[[#This Row],[级内]]</f>
        <v>4004-10-10-101</v>
      </c>
      <c r="B142">
        <f ca="1">MATCH(表_网址[[#This Row],[版层分类]],序列_版层分类,0)*1000+MATCH(表_网址[[#This Row],[首要关键词]],序列_首要关键词,0)</f>
        <v>4004</v>
      </c>
      <c r="C142">
        <f>IF(表_网址[[#This Row],[次要关键词]]="",10,MATCH(表_网址[[#This Row],[次要关键词]],序列_次要关键词,0)+10)</f>
        <v>10</v>
      </c>
      <c r="D142">
        <f>IF(表_网址[[#This Row],[重点关键词]]="",10,MATCH(表_网址[[#This Row],[重点关键词]],序列_重点关键词,0)+10)</f>
        <v>10</v>
      </c>
      <c r="E142">
        <f>IF(AND(表_网址[[#This Row],[首要关键词]]=K141,表_网址[[#This Row],[次要关键词]]=L141,表_网址[[#This Row],[重点关键词]]=M141),E141+1,IF(表_网址[[#This Row],[重点关键词]]="",100,101))</f>
        <v>101</v>
      </c>
      <c r="F142" t="s">
        <v>1026</v>
      </c>
      <c r="G142" t="s">
        <v>1027</v>
      </c>
      <c r="H142" t="s">
        <v>29</v>
      </c>
      <c r="J142" t="s">
        <v>1780</v>
      </c>
      <c r="K142" t="s">
        <v>1025</v>
      </c>
      <c r="N142">
        <v>999</v>
      </c>
    </row>
    <row r="143" spans="1:17" x14ac:dyDescent="0.2">
      <c r="A143" t="str">
        <f ca="1">表_网址[[#This Row],[1级]]&amp;"-"&amp;表_网址[[#This Row],[2级]]&amp;"-"&amp;表_网址[[#This Row],[3级]]&amp;"-"&amp;表_网址[[#This Row],[级内]]</f>
        <v>4004-10-10-102</v>
      </c>
      <c r="B143">
        <f ca="1">MATCH(表_网址[[#This Row],[版层分类]],序列_版层分类,0)*1000+MATCH(表_网址[[#This Row],[首要关键词]],序列_首要关键词,0)</f>
        <v>4004</v>
      </c>
      <c r="C143">
        <f>IF(表_网址[[#This Row],[次要关键词]]="",10,MATCH(表_网址[[#This Row],[次要关键词]],序列_次要关键词,0)+10)</f>
        <v>10</v>
      </c>
      <c r="D143">
        <f>IF(表_网址[[#This Row],[重点关键词]]="",10,MATCH(表_网址[[#This Row],[重点关键词]],序列_重点关键词,0)+10)</f>
        <v>10</v>
      </c>
      <c r="E143">
        <f>IF(AND(表_网址[[#This Row],[首要关键词]]=K142,表_网址[[#This Row],[次要关键词]]=L142,表_网址[[#This Row],[重点关键词]]=M142),E142+1,IF(表_网址[[#This Row],[重点关键词]]="",100,101))</f>
        <v>102</v>
      </c>
      <c r="F143" t="s">
        <v>1028</v>
      </c>
      <c r="G143" t="s">
        <v>1029</v>
      </c>
      <c r="H143" t="s">
        <v>1030</v>
      </c>
      <c r="J143" t="s">
        <v>1780</v>
      </c>
      <c r="K143" t="s">
        <v>1025</v>
      </c>
      <c r="N143">
        <v>999</v>
      </c>
    </row>
    <row r="144" spans="1:17" x14ac:dyDescent="0.2">
      <c r="A144" t="str">
        <f ca="1">表_网址[[#This Row],[1级]]&amp;"-"&amp;表_网址[[#This Row],[2级]]&amp;"-"&amp;表_网址[[#This Row],[3级]]&amp;"-"&amp;表_网址[[#This Row],[级内]]</f>
        <v>4005-10-10-100</v>
      </c>
      <c r="B144">
        <f ca="1">MATCH(表_网址[[#This Row],[版层分类]],序列_版层分类,0)*1000+MATCH(表_网址[[#This Row],[首要关键词]],序列_首要关键词,0)</f>
        <v>4005</v>
      </c>
      <c r="C144">
        <f>IF(表_网址[[#This Row],[次要关键词]]="",10,MATCH(表_网址[[#This Row],[次要关键词]],序列_次要关键词,0)+10)</f>
        <v>10</v>
      </c>
      <c r="D144">
        <f>IF(表_网址[[#This Row],[重点关键词]]="",10,MATCH(表_网址[[#This Row],[重点关键词]],序列_重点关键词,0)+10)</f>
        <v>10</v>
      </c>
      <c r="E144">
        <f>IF(AND(表_网址[[#This Row],[首要关键词]]=K143,表_网址[[#This Row],[次要关键词]]=L143,表_网址[[#This Row],[重点关键词]]=M143),E143+1,IF(表_网址[[#This Row],[重点关键词]]="",100,101))</f>
        <v>100</v>
      </c>
      <c r="F144" t="s">
        <v>1031</v>
      </c>
      <c r="G144" t="s">
        <v>1032</v>
      </c>
      <c r="J144" t="s">
        <v>1780</v>
      </c>
      <c r="K144" t="s">
        <v>1033</v>
      </c>
      <c r="N144">
        <v>999</v>
      </c>
    </row>
    <row r="145" spans="1:18" x14ac:dyDescent="0.2">
      <c r="A145" t="str">
        <f ca="1">表_网址[[#This Row],[1级]]&amp;"-"&amp;表_网址[[#This Row],[2级]]&amp;"-"&amp;表_网址[[#This Row],[3级]]&amp;"-"&amp;表_网址[[#This Row],[级内]]</f>
        <v>4005-11-10-100</v>
      </c>
      <c r="B145">
        <f ca="1">MATCH(表_网址[[#This Row],[版层分类]],序列_版层分类,0)*1000+MATCH(表_网址[[#This Row],[首要关键词]],序列_首要关键词,0)</f>
        <v>4005</v>
      </c>
      <c r="C145">
        <f ca="1">IF(表_网址[[#This Row],[次要关键词]]="",10,MATCH(表_网址[[#This Row],[次要关键词]],序列_次要关键词,0)+10)</f>
        <v>11</v>
      </c>
      <c r="D145">
        <f>IF(表_网址[[#This Row],[重点关键词]]="",10,MATCH(表_网址[[#This Row],[重点关键词]],序列_重点关键词,0)+10)</f>
        <v>10</v>
      </c>
      <c r="E145">
        <f>IF(AND(表_网址[[#This Row],[首要关键词]]=K144,表_网址[[#This Row],[次要关键词]]=L144,表_网址[[#This Row],[重点关键词]]=M144),E144+1,IF(表_网址[[#This Row],[重点关键词]]="",100,101))</f>
        <v>100</v>
      </c>
      <c r="F145" t="s">
        <v>1034</v>
      </c>
      <c r="G145" t="s">
        <v>1035</v>
      </c>
      <c r="J145" t="s">
        <v>1780</v>
      </c>
      <c r="K145" t="s">
        <v>1033</v>
      </c>
      <c r="L145" t="s">
        <v>1036</v>
      </c>
      <c r="N145">
        <v>999</v>
      </c>
    </row>
    <row r="146" spans="1:18" x14ac:dyDescent="0.2">
      <c r="A146" t="str">
        <f ca="1">表_网址[[#This Row],[1级]]&amp;"-"&amp;表_网址[[#This Row],[2级]]&amp;"-"&amp;表_网址[[#This Row],[3级]]&amp;"-"&amp;表_网址[[#This Row],[级内]]</f>
        <v>4005-13-10-100</v>
      </c>
      <c r="B146">
        <f ca="1">MATCH(表_网址[[#This Row],[版层分类]],序列_版层分类,0)*1000+MATCH(表_网址[[#This Row],[首要关键词]],序列_首要关键词,0)</f>
        <v>4005</v>
      </c>
      <c r="C146">
        <f ca="1">IF(表_网址[[#This Row],[次要关键词]]="",10,MATCH(表_网址[[#This Row],[次要关键词]],序列_次要关键词,0)+10)</f>
        <v>13</v>
      </c>
      <c r="D146">
        <f>IF(表_网址[[#This Row],[重点关键词]]="",10,MATCH(表_网址[[#This Row],[重点关键词]],序列_重点关键词,0)+10)</f>
        <v>10</v>
      </c>
      <c r="E146">
        <f>IF(AND(表_网址[[#This Row],[首要关键词]]=K145,表_网址[[#This Row],[次要关键词]]=L145,表_网址[[#This Row],[重点关键词]]=M145),E145+1,IF(表_网址[[#This Row],[重点关键词]]="",100,101))</f>
        <v>100</v>
      </c>
      <c r="F146" t="s">
        <v>1040</v>
      </c>
      <c r="G146" t="s">
        <v>1041</v>
      </c>
      <c r="H146" t="s">
        <v>1042</v>
      </c>
      <c r="J146" t="s">
        <v>1780</v>
      </c>
      <c r="K146" t="s">
        <v>1033</v>
      </c>
      <c r="L146" t="s">
        <v>1043</v>
      </c>
      <c r="N146">
        <v>999</v>
      </c>
    </row>
    <row r="147" spans="1:18" x14ac:dyDescent="0.2">
      <c r="A147" t="str">
        <f ca="1">表_网址[[#This Row],[1级]]&amp;"-"&amp;表_网址[[#This Row],[2级]]&amp;"-"&amp;表_网址[[#This Row],[3级]]&amp;"-"&amp;表_网址[[#This Row],[级内]]</f>
        <v>5001-10-10-100</v>
      </c>
      <c r="B147">
        <f ca="1">MATCH(表_网址[[#This Row],[版层分类]],序列_版层分类,0)*1000+MATCH(表_网址[[#This Row],[首要关键词]],序列_首要关键词,0)</f>
        <v>5001</v>
      </c>
      <c r="C147">
        <f>IF(表_网址[[#This Row],[次要关键词]]="",10,MATCH(表_网址[[#This Row],[次要关键词]],序列_次要关键词,0)+10)</f>
        <v>10</v>
      </c>
      <c r="D147">
        <f>IF(表_网址[[#This Row],[重点关键词]]="",10,MATCH(表_网址[[#This Row],[重点关键词]],序列_重点关键词,0)+10)</f>
        <v>10</v>
      </c>
      <c r="E147">
        <f>IF(AND(表_网址[[#This Row],[首要关键词]]=K146,表_网址[[#This Row],[次要关键词]]=L146,表_网址[[#This Row],[重点关键词]]=M146),E146+1,IF(表_网址[[#This Row],[重点关键词]]="",100,101))</f>
        <v>100</v>
      </c>
      <c r="F147" t="s">
        <v>702</v>
      </c>
      <c r="G147" t="s">
        <v>703</v>
      </c>
      <c r="H147" t="s">
        <v>29</v>
      </c>
      <c r="I147" t="s">
        <v>704</v>
      </c>
      <c r="J147" t="s">
        <v>1746</v>
      </c>
      <c r="K147" t="s">
        <v>1748</v>
      </c>
      <c r="N147">
        <v>999</v>
      </c>
      <c r="O147">
        <v>999</v>
      </c>
    </row>
    <row r="148" spans="1:18" x14ac:dyDescent="0.2">
      <c r="A148" t="str">
        <f ca="1">表_网址[[#This Row],[1级]]&amp;"-"&amp;表_网址[[#This Row],[2级]]&amp;"-"&amp;表_网址[[#This Row],[3级]]&amp;"-"&amp;表_网址[[#This Row],[级内]]</f>
        <v>5001-11-10-100</v>
      </c>
      <c r="B148">
        <f ca="1">MATCH(表_网址[[#This Row],[版层分类]],序列_版层分类,0)*1000+MATCH(表_网址[[#This Row],[首要关键词]],序列_首要关键词,0)</f>
        <v>5001</v>
      </c>
      <c r="C148">
        <f ca="1">IF(表_网址[[#This Row],[次要关键词]]="",10,MATCH(表_网址[[#This Row],[次要关键词]],序列_次要关键词,0)+10)</f>
        <v>11</v>
      </c>
      <c r="D148">
        <f>IF(表_网址[[#This Row],[重点关键词]]="",10,MATCH(表_网址[[#This Row],[重点关键词]],序列_重点关键词,0)+10)</f>
        <v>10</v>
      </c>
      <c r="E148">
        <f>IF(AND(表_网址[[#This Row],[首要关键词]]=K147,表_网址[[#This Row],[次要关键词]]=L147,表_网址[[#This Row],[重点关键词]]=M147),E147+1,IF(表_网址[[#This Row],[重点关键词]]="",100,101))</f>
        <v>100</v>
      </c>
      <c r="F148" t="s">
        <v>108</v>
      </c>
      <c r="G148" t="s">
        <v>109</v>
      </c>
      <c r="H148" t="s">
        <v>29</v>
      </c>
      <c r="I148" t="s">
        <v>110</v>
      </c>
      <c r="J148" t="s">
        <v>1746</v>
      </c>
      <c r="K148" t="s">
        <v>1748</v>
      </c>
      <c r="L148" t="s">
        <v>705</v>
      </c>
      <c r="N148">
        <v>999</v>
      </c>
      <c r="Q148">
        <v>16</v>
      </c>
      <c r="R148" t="s">
        <v>507</v>
      </c>
    </row>
    <row r="149" spans="1:18" x14ac:dyDescent="0.2">
      <c r="A149" t="str">
        <f ca="1">表_网址[[#This Row],[1级]]&amp;"-"&amp;表_网址[[#This Row],[2级]]&amp;"-"&amp;表_网址[[#This Row],[3级]]&amp;"-"&amp;表_网址[[#This Row],[级内]]</f>
        <v>5001-12-10-100</v>
      </c>
      <c r="B149">
        <f ca="1">MATCH(表_网址[[#This Row],[版层分类]],序列_版层分类,0)*1000+MATCH(表_网址[[#This Row],[首要关键词]],序列_首要关键词,0)</f>
        <v>5001</v>
      </c>
      <c r="C149">
        <f ca="1">IF(表_网址[[#This Row],[次要关键词]]="",10,MATCH(表_网址[[#This Row],[次要关键词]],序列_次要关键词,0)+10)</f>
        <v>12</v>
      </c>
      <c r="D149">
        <f>IF(表_网址[[#This Row],[重点关键词]]="",10,MATCH(表_网址[[#This Row],[重点关键词]],序列_重点关键词,0)+10)</f>
        <v>10</v>
      </c>
      <c r="E149">
        <f>IF(AND(表_网址[[#This Row],[首要关键词]]=K148,表_网址[[#This Row],[次要关键词]]=L148,表_网址[[#This Row],[重点关键词]]=M148),E148+1,IF(表_网址[[#This Row],[重点关键词]]="",100,101))</f>
        <v>100</v>
      </c>
      <c r="F149" t="s">
        <v>706</v>
      </c>
      <c r="G149" t="s">
        <v>707</v>
      </c>
      <c r="H149" t="s">
        <v>29</v>
      </c>
      <c r="I149" t="s">
        <v>708</v>
      </c>
      <c r="J149" t="s">
        <v>1746</v>
      </c>
      <c r="K149" t="s">
        <v>1748</v>
      </c>
      <c r="L149" t="s">
        <v>709</v>
      </c>
      <c r="N149">
        <v>999</v>
      </c>
      <c r="Q149">
        <v>64</v>
      </c>
      <c r="R149" t="s">
        <v>507</v>
      </c>
    </row>
    <row r="150" spans="1:18" x14ac:dyDescent="0.2">
      <c r="A150" t="str">
        <f ca="1">表_网址[[#This Row],[1级]]&amp;"-"&amp;表_网址[[#This Row],[2级]]&amp;"-"&amp;表_网址[[#This Row],[3级]]&amp;"-"&amp;表_网址[[#This Row],[级内]]</f>
        <v>5001-12-10-101</v>
      </c>
      <c r="B150">
        <f ca="1">MATCH(表_网址[[#This Row],[版层分类]],序列_版层分类,0)*1000+MATCH(表_网址[[#This Row],[首要关键词]],序列_首要关键词,0)</f>
        <v>5001</v>
      </c>
      <c r="C150">
        <f ca="1">IF(表_网址[[#This Row],[次要关键词]]="",10,MATCH(表_网址[[#This Row],[次要关键词]],序列_次要关键词,0)+10)</f>
        <v>12</v>
      </c>
      <c r="D150">
        <f>IF(表_网址[[#This Row],[重点关键词]]="",10,MATCH(表_网址[[#This Row],[重点关键词]],序列_重点关键词,0)+10)</f>
        <v>10</v>
      </c>
      <c r="E150">
        <f>IF(AND(表_网址[[#This Row],[首要关键词]]=K149,表_网址[[#This Row],[次要关键词]]=L149,表_网址[[#This Row],[重点关键词]]=M149),E149+1,IF(表_网址[[#This Row],[重点关键词]]="",100,101))</f>
        <v>101</v>
      </c>
      <c r="F150" t="s">
        <v>710</v>
      </c>
      <c r="G150" t="s">
        <v>711</v>
      </c>
      <c r="H150" t="s">
        <v>29</v>
      </c>
      <c r="J150" t="s">
        <v>1746</v>
      </c>
      <c r="K150" t="s">
        <v>1748</v>
      </c>
      <c r="L150" t="s">
        <v>709</v>
      </c>
      <c r="N150">
        <v>999</v>
      </c>
      <c r="R150" t="s">
        <v>507</v>
      </c>
    </row>
    <row r="151" spans="1:18" x14ac:dyDescent="0.2">
      <c r="A151" t="str">
        <f ca="1">表_网址[[#This Row],[1级]]&amp;"-"&amp;表_网址[[#This Row],[2级]]&amp;"-"&amp;表_网址[[#This Row],[3级]]&amp;"-"&amp;表_网址[[#This Row],[级内]]</f>
        <v>5001-12-10-102</v>
      </c>
      <c r="B151">
        <f ca="1">MATCH(表_网址[[#This Row],[版层分类]],序列_版层分类,0)*1000+MATCH(表_网址[[#This Row],[首要关键词]],序列_首要关键词,0)</f>
        <v>5001</v>
      </c>
      <c r="C151">
        <f ca="1">IF(表_网址[[#This Row],[次要关键词]]="",10,MATCH(表_网址[[#This Row],[次要关键词]],序列_次要关键词,0)+10)</f>
        <v>12</v>
      </c>
      <c r="D151">
        <f>IF(表_网址[[#This Row],[重点关键词]]="",10,MATCH(表_网址[[#This Row],[重点关键词]],序列_重点关键词,0)+10)</f>
        <v>10</v>
      </c>
      <c r="E151">
        <f>IF(AND(表_网址[[#This Row],[首要关键词]]=K150,表_网址[[#This Row],[次要关键词]]=L150,表_网址[[#This Row],[重点关键词]]=M150),E150+1,IF(表_网址[[#This Row],[重点关键词]]="",100,101))</f>
        <v>102</v>
      </c>
      <c r="F151" t="s">
        <v>712</v>
      </c>
      <c r="G151" t="s">
        <v>713</v>
      </c>
      <c r="H151" t="s">
        <v>29</v>
      </c>
      <c r="J151" t="s">
        <v>1746</v>
      </c>
      <c r="K151" t="s">
        <v>1748</v>
      </c>
      <c r="L151" t="s">
        <v>709</v>
      </c>
      <c r="N151">
        <v>999</v>
      </c>
      <c r="R151" t="s">
        <v>507</v>
      </c>
    </row>
    <row r="152" spans="1:18" x14ac:dyDescent="0.2">
      <c r="A152" t="str">
        <f ca="1">表_网址[[#This Row],[1级]]&amp;"-"&amp;表_网址[[#This Row],[2级]]&amp;"-"&amp;表_网址[[#This Row],[3级]]&amp;"-"&amp;表_网址[[#This Row],[级内]]</f>
        <v>5001-13-10-100</v>
      </c>
      <c r="B152">
        <f ca="1">MATCH(表_网址[[#This Row],[版层分类]],序列_版层分类,0)*1000+MATCH(表_网址[[#This Row],[首要关键词]],序列_首要关键词,0)</f>
        <v>5001</v>
      </c>
      <c r="C152">
        <f ca="1">IF(表_网址[[#This Row],[次要关键词]]="",10,MATCH(表_网址[[#This Row],[次要关键词]],序列_次要关键词,0)+10)</f>
        <v>13</v>
      </c>
      <c r="D152">
        <f>IF(表_网址[[#This Row],[重点关键词]]="",10,MATCH(表_网址[[#This Row],[重点关键词]],序列_重点关键词,0)+10)</f>
        <v>10</v>
      </c>
      <c r="E152">
        <f>IF(AND(表_网址[[#This Row],[首要关键词]]=K151,表_网址[[#This Row],[次要关键词]]=L151,表_网址[[#This Row],[重点关键词]]=M151),E151+1,IF(表_网址[[#This Row],[重点关键词]]="",100,101))</f>
        <v>100</v>
      </c>
      <c r="F152" t="s">
        <v>714</v>
      </c>
      <c r="G152" t="s">
        <v>715</v>
      </c>
      <c r="H152" t="s">
        <v>29</v>
      </c>
      <c r="I152" t="s">
        <v>716</v>
      </c>
      <c r="J152" t="s">
        <v>1746</v>
      </c>
      <c r="K152" t="s">
        <v>1748</v>
      </c>
      <c r="L152" t="s">
        <v>717</v>
      </c>
      <c r="N152">
        <v>999</v>
      </c>
      <c r="R152" t="s">
        <v>507</v>
      </c>
    </row>
    <row r="153" spans="1:18" x14ac:dyDescent="0.2">
      <c r="A153" t="str">
        <f ca="1">表_网址[[#This Row],[1级]]&amp;"-"&amp;表_网址[[#This Row],[2级]]&amp;"-"&amp;表_网址[[#This Row],[3级]]&amp;"-"&amp;表_网址[[#This Row],[级内]]</f>
        <v>5001-14-10-100</v>
      </c>
      <c r="B153">
        <f ca="1">MATCH(表_网址[[#This Row],[版层分类]],序列_版层分类,0)*1000+MATCH(表_网址[[#This Row],[首要关键词]],序列_首要关键词,0)</f>
        <v>5001</v>
      </c>
      <c r="C153">
        <f ca="1">IF(表_网址[[#This Row],[次要关键词]]="",10,MATCH(表_网址[[#This Row],[次要关键词]],序列_次要关键词,0)+10)</f>
        <v>14</v>
      </c>
      <c r="D153">
        <f>IF(表_网址[[#This Row],[重点关键词]]="",10,MATCH(表_网址[[#This Row],[重点关键词]],序列_重点关键词,0)+10)</f>
        <v>10</v>
      </c>
      <c r="E153">
        <f>IF(AND(表_网址[[#This Row],[首要关键词]]=K152,表_网址[[#This Row],[次要关键词]]=L152,表_网址[[#This Row],[重点关键词]]=M152),E152+1,IF(表_网址[[#This Row],[重点关键词]]="",100,101))</f>
        <v>100</v>
      </c>
      <c r="F153" t="s">
        <v>718</v>
      </c>
      <c r="G153" t="s">
        <v>719</v>
      </c>
      <c r="H153" t="s">
        <v>29</v>
      </c>
      <c r="I153" t="s">
        <v>720</v>
      </c>
      <c r="J153" t="s">
        <v>1746</v>
      </c>
      <c r="K153" t="s">
        <v>1748</v>
      </c>
      <c r="L153" t="s">
        <v>721</v>
      </c>
      <c r="N153">
        <v>999</v>
      </c>
      <c r="O153">
        <v>999</v>
      </c>
      <c r="Q153">
        <v>16</v>
      </c>
      <c r="R153" t="s">
        <v>507</v>
      </c>
    </row>
    <row r="154" spans="1:18" x14ac:dyDescent="0.2">
      <c r="A154" t="str">
        <f ca="1">表_网址[[#This Row],[1级]]&amp;"-"&amp;表_网址[[#This Row],[2级]]&amp;"-"&amp;表_网址[[#This Row],[3级]]&amp;"-"&amp;表_网址[[#This Row],[级内]]</f>
        <v>5001-14-10-101</v>
      </c>
      <c r="B154">
        <f ca="1">MATCH(表_网址[[#This Row],[版层分类]],序列_版层分类,0)*1000+MATCH(表_网址[[#This Row],[首要关键词]],序列_首要关键词,0)</f>
        <v>5001</v>
      </c>
      <c r="C154">
        <f ca="1">IF(表_网址[[#This Row],[次要关键词]]="",10,MATCH(表_网址[[#This Row],[次要关键词]],序列_次要关键词,0)+10)</f>
        <v>14</v>
      </c>
      <c r="D154">
        <f>IF(表_网址[[#This Row],[重点关键词]]="",10,MATCH(表_网址[[#This Row],[重点关键词]],序列_重点关键词,0)+10)</f>
        <v>10</v>
      </c>
      <c r="E154">
        <f>IF(AND(表_网址[[#This Row],[首要关键词]]=K153,表_网址[[#This Row],[次要关键词]]=L153,表_网址[[#This Row],[重点关键词]]=M153),E153+1,IF(表_网址[[#This Row],[重点关键词]]="",100,101))</f>
        <v>101</v>
      </c>
      <c r="F154" t="s">
        <v>722</v>
      </c>
      <c r="G154" t="s">
        <v>723</v>
      </c>
      <c r="H154" t="s">
        <v>29</v>
      </c>
      <c r="I154" t="s">
        <v>724</v>
      </c>
      <c r="J154" t="s">
        <v>1746</v>
      </c>
      <c r="K154" t="s">
        <v>1748</v>
      </c>
      <c r="L154" t="s">
        <v>721</v>
      </c>
      <c r="N154">
        <v>999</v>
      </c>
      <c r="R154" t="s">
        <v>507</v>
      </c>
    </row>
    <row r="155" spans="1:18" x14ac:dyDescent="0.2">
      <c r="A155" t="str">
        <f ca="1">表_网址[[#This Row],[1级]]&amp;"-"&amp;表_网址[[#This Row],[2级]]&amp;"-"&amp;表_网址[[#This Row],[3级]]&amp;"-"&amp;表_网址[[#This Row],[级内]]</f>
        <v>5001-14-10-102</v>
      </c>
      <c r="B155">
        <f ca="1">MATCH(表_网址[[#This Row],[版层分类]],序列_版层分类,0)*1000+MATCH(表_网址[[#This Row],[首要关键词]],序列_首要关键词,0)</f>
        <v>5001</v>
      </c>
      <c r="C155">
        <f ca="1">IF(表_网址[[#This Row],[次要关键词]]="",10,MATCH(表_网址[[#This Row],[次要关键词]],序列_次要关键词,0)+10)</f>
        <v>14</v>
      </c>
      <c r="D155">
        <f>IF(表_网址[[#This Row],[重点关键词]]="",10,MATCH(表_网址[[#This Row],[重点关键词]],序列_重点关键词,0)+10)</f>
        <v>10</v>
      </c>
      <c r="E155">
        <f>IF(AND(表_网址[[#This Row],[首要关键词]]=K154,表_网址[[#This Row],[次要关键词]]=L154,表_网址[[#This Row],[重点关键词]]=M154),E154+1,IF(表_网址[[#This Row],[重点关键词]]="",100,101))</f>
        <v>102</v>
      </c>
      <c r="F155" t="s">
        <v>725</v>
      </c>
      <c r="G155" t="s">
        <v>726</v>
      </c>
      <c r="H155" t="s">
        <v>29</v>
      </c>
      <c r="I155" t="s">
        <v>727</v>
      </c>
      <c r="J155" t="s">
        <v>1746</v>
      </c>
      <c r="K155" t="s">
        <v>1748</v>
      </c>
      <c r="L155" t="s">
        <v>721</v>
      </c>
      <c r="N155">
        <v>999</v>
      </c>
      <c r="Q155">
        <v>16</v>
      </c>
      <c r="R155" t="s">
        <v>507</v>
      </c>
    </row>
    <row r="156" spans="1:18" x14ac:dyDescent="0.2">
      <c r="A156" t="str">
        <f ca="1">表_网址[[#This Row],[1级]]&amp;"-"&amp;表_网址[[#This Row],[2级]]&amp;"-"&amp;表_网址[[#This Row],[3级]]&amp;"-"&amp;表_网址[[#This Row],[级内]]</f>
        <v>5001-14-10-103</v>
      </c>
      <c r="B156">
        <f ca="1">MATCH(表_网址[[#This Row],[版层分类]],序列_版层分类,0)*1000+MATCH(表_网址[[#This Row],[首要关键词]],序列_首要关键词,0)</f>
        <v>5001</v>
      </c>
      <c r="C156">
        <f ca="1">IF(表_网址[[#This Row],[次要关键词]]="",10,MATCH(表_网址[[#This Row],[次要关键词]],序列_次要关键词,0)+10)</f>
        <v>14</v>
      </c>
      <c r="D156">
        <f>IF(表_网址[[#This Row],[重点关键词]]="",10,MATCH(表_网址[[#This Row],[重点关键词]],序列_重点关键词,0)+10)</f>
        <v>10</v>
      </c>
      <c r="E156">
        <f>IF(AND(表_网址[[#This Row],[首要关键词]]=K155,表_网址[[#This Row],[次要关键词]]=L155,表_网址[[#This Row],[重点关键词]]=M155),E155+1,IF(表_网址[[#This Row],[重点关键词]]="",100,101))</f>
        <v>103</v>
      </c>
      <c r="F156" t="s">
        <v>728</v>
      </c>
      <c r="G156" t="s">
        <v>729</v>
      </c>
      <c r="H156" t="s">
        <v>29</v>
      </c>
      <c r="I156" t="s">
        <v>730</v>
      </c>
      <c r="J156" t="s">
        <v>1746</v>
      </c>
      <c r="K156" t="s">
        <v>1748</v>
      </c>
      <c r="L156" t="s">
        <v>721</v>
      </c>
      <c r="N156">
        <v>999</v>
      </c>
      <c r="Q156">
        <v>16</v>
      </c>
      <c r="R156" t="s">
        <v>507</v>
      </c>
    </row>
    <row r="157" spans="1:18" x14ac:dyDescent="0.2">
      <c r="A157" t="str">
        <f ca="1">表_网址[[#This Row],[1级]]&amp;"-"&amp;表_网址[[#This Row],[2级]]&amp;"-"&amp;表_网址[[#This Row],[3级]]&amp;"-"&amp;表_网址[[#This Row],[级内]]</f>
        <v>5001-14-10-104</v>
      </c>
      <c r="B157">
        <f ca="1">MATCH(表_网址[[#This Row],[版层分类]],序列_版层分类,0)*1000+MATCH(表_网址[[#This Row],[首要关键词]],序列_首要关键词,0)</f>
        <v>5001</v>
      </c>
      <c r="C157">
        <f ca="1">IF(表_网址[[#This Row],[次要关键词]]="",10,MATCH(表_网址[[#This Row],[次要关键词]],序列_次要关键词,0)+10)</f>
        <v>14</v>
      </c>
      <c r="D157">
        <f>IF(表_网址[[#This Row],[重点关键词]]="",10,MATCH(表_网址[[#This Row],[重点关键词]],序列_重点关键词,0)+10)</f>
        <v>10</v>
      </c>
      <c r="E157">
        <f>IF(AND(表_网址[[#This Row],[首要关键词]]=K156,表_网址[[#This Row],[次要关键词]]=L156,表_网址[[#This Row],[重点关键词]]=M156),E156+1,IF(表_网址[[#This Row],[重点关键词]]="",100,101))</f>
        <v>104</v>
      </c>
      <c r="F157" t="s">
        <v>731</v>
      </c>
      <c r="G157" t="s">
        <v>732</v>
      </c>
      <c r="H157" t="s">
        <v>29</v>
      </c>
      <c r="I157" t="s">
        <v>733</v>
      </c>
      <c r="J157" t="s">
        <v>1746</v>
      </c>
      <c r="K157" t="s">
        <v>1748</v>
      </c>
      <c r="L157" t="s">
        <v>721</v>
      </c>
      <c r="N157">
        <v>999</v>
      </c>
      <c r="O157">
        <v>999</v>
      </c>
      <c r="Q157">
        <v>16</v>
      </c>
      <c r="R157" t="s">
        <v>507</v>
      </c>
    </row>
    <row r="158" spans="1:18" x14ac:dyDescent="0.2">
      <c r="A158" t="str">
        <f ca="1">表_网址[[#This Row],[1级]]&amp;"-"&amp;表_网址[[#This Row],[2级]]&amp;"-"&amp;表_网址[[#This Row],[3级]]&amp;"-"&amp;表_网址[[#This Row],[级内]]</f>
        <v>5001-15-10-100</v>
      </c>
      <c r="B158">
        <f ca="1">MATCH(表_网址[[#This Row],[版层分类]],序列_版层分类,0)*1000+MATCH(表_网址[[#This Row],[首要关键词]],序列_首要关键词,0)</f>
        <v>5001</v>
      </c>
      <c r="C158">
        <f ca="1">IF(表_网址[[#This Row],[次要关键词]]="",10,MATCH(表_网址[[#This Row],[次要关键词]],序列_次要关键词,0)+10)</f>
        <v>15</v>
      </c>
      <c r="D158">
        <f>IF(表_网址[[#This Row],[重点关键词]]="",10,MATCH(表_网址[[#This Row],[重点关键词]],序列_重点关键词,0)+10)</f>
        <v>10</v>
      </c>
      <c r="E158">
        <f>IF(AND(表_网址[[#This Row],[首要关键词]]=K157,表_网址[[#This Row],[次要关键词]]=L157,表_网址[[#This Row],[重点关键词]]=M157),E157+1,IF(表_网址[[#This Row],[重点关键词]]="",100,101))</f>
        <v>100</v>
      </c>
      <c r="F158" t="s">
        <v>702</v>
      </c>
      <c r="G158" t="s">
        <v>703</v>
      </c>
      <c r="H158" t="s">
        <v>29</v>
      </c>
      <c r="I158" t="s">
        <v>704</v>
      </c>
      <c r="J158" t="s">
        <v>1746</v>
      </c>
      <c r="K158" t="s">
        <v>1748</v>
      </c>
      <c r="L158" t="s">
        <v>734</v>
      </c>
      <c r="N158">
        <v>999</v>
      </c>
      <c r="O158">
        <v>999</v>
      </c>
      <c r="Q158">
        <v>48</v>
      </c>
      <c r="R158" t="s">
        <v>507</v>
      </c>
    </row>
    <row r="159" spans="1:18" x14ac:dyDescent="0.2">
      <c r="A159" t="str">
        <f ca="1">表_网址[[#This Row],[1级]]&amp;"-"&amp;表_网址[[#This Row],[2级]]&amp;"-"&amp;表_网址[[#This Row],[3级]]&amp;"-"&amp;表_网址[[#This Row],[级内]]</f>
        <v>5001-15-10-101</v>
      </c>
      <c r="B159">
        <f ca="1">MATCH(表_网址[[#This Row],[版层分类]],序列_版层分类,0)*1000+MATCH(表_网址[[#This Row],[首要关键词]],序列_首要关键词,0)</f>
        <v>5001</v>
      </c>
      <c r="C159">
        <f ca="1">IF(表_网址[[#This Row],[次要关键词]]="",10,MATCH(表_网址[[#This Row],[次要关键词]],序列_次要关键词,0)+10)</f>
        <v>15</v>
      </c>
      <c r="D159">
        <f>IF(表_网址[[#This Row],[重点关键词]]="",10,MATCH(表_网址[[#This Row],[重点关键词]],序列_重点关键词,0)+10)</f>
        <v>10</v>
      </c>
      <c r="E159">
        <f>IF(AND(表_网址[[#This Row],[首要关键词]]=K158,表_网址[[#This Row],[次要关键词]]=L158,表_网址[[#This Row],[重点关键词]]=M158),E158+1,IF(表_网址[[#This Row],[重点关键词]]="",100,101))</f>
        <v>101</v>
      </c>
      <c r="F159" t="s">
        <v>735</v>
      </c>
      <c r="G159" t="s">
        <v>736</v>
      </c>
      <c r="H159" t="s">
        <v>29</v>
      </c>
      <c r="I159" t="s">
        <v>737</v>
      </c>
      <c r="J159" t="s">
        <v>1746</v>
      </c>
      <c r="K159" t="s">
        <v>1748</v>
      </c>
      <c r="L159" t="s">
        <v>734</v>
      </c>
      <c r="N159">
        <v>999</v>
      </c>
      <c r="R159" t="s">
        <v>507</v>
      </c>
    </row>
    <row r="160" spans="1:18" x14ac:dyDescent="0.2">
      <c r="A160" t="str">
        <f ca="1">表_网址[[#This Row],[1级]]&amp;"-"&amp;表_网址[[#This Row],[2级]]&amp;"-"&amp;表_网址[[#This Row],[3级]]&amp;"-"&amp;表_网址[[#This Row],[级内]]</f>
        <v>5001-15-10-102</v>
      </c>
      <c r="B160">
        <f ca="1">MATCH(表_网址[[#This Row],[版层分类]],序列_版层分类,0)*1000+MATCH(表_网址[[#This Row],[首要关键词]],序列_首要关键词,0)</f>
        <v>5001</v>
      </c>
      <c r="C160">
        <f ca="1">IF(表_网址[[#This Row],[次要关键词]]="",10,MATCH(表_网址[[#This Row],[次要关键词]],序列_次要关键词,0)+10)</f>
        <v>15</v>
      </c>
      <c r="D160">
        <f>IF(表_网址[[#This Row],[重点关键词]]="",10,MATCH(表_网址[[#This Row],[重点关键词]],序列_重点关键词,0)+10)</f>
        <v>10</v>
      </c>
      <c r="E160">
        <f>IF(AND(表_网址[[#This Row],[首要关键词]]=K159,表_网址[[#This Row],[次要关键词]]=L159,表_网址[[#This Row],[重点关键词]]=M159),E159+1,IF(表_网址[[#This Row],[重点关键词]]="",100,101))</f>
        <v>102</v>
      </c>
      <c r="F160" t="s">
        <v>738</v>
      </c>
      <c r="G160" t="s">
        <v>739</v>
      </c>
      <c r="H160" t="s">
        <v>29</v>
      </c>
      <c r="I160" t="s">
        <v>740</v>
      </c>
      <c r="J160" t="s">
        <v>1746</v>
      </c>
      <c r="K160" t="s">
        <v>1748</v>
      </c>
      <c r="L160" t="s">
        <v>734</v>
      </c>
      <c r="N160">
        <v>999</v>
      </c>
      <c r="Q160">
        <v>16</v>
      </c>
      <c r="R160" t="s">
        <v>507</v>
      </c>
    </row>
    <row r="161" spans="1:18" x14ac:dyDescent="0.2">
      <c r="A161" t="str">
        <f ca="1">表_网址[[#This Row],[1级]]&amp;"-"&amp;表_网址[[#This Row],[2级]]&amp;"-"&amp;表_网址[[#This Row],[3级]]&amp;"-"&amp;表_网址[[#This Row],[级内]]</f>
        <v>5001-15-10-103</v>
      </c>
      <c r="B161">
        <f ca="1">MATCH(表_网址[[#This Row],[版层分类]],序列_版层分类,0)*1000+MATCH(表_网址[[#This Row],[首要关键词]],序列_首要关键词,0)</f>
        <v>5001</v>
      </c>
      <c r="C161">
        <f ca="1">IF(表_网址[[#This Row],[次要关键词]]="",10,MATCH(表_网址[[#This Row],[次要关键词]],序列_次要关键词,0)+10)</f>
        <v>15</v>
      </c>
      <c r="D161">
        <f>IF(表_网址[[#This Row],[重点关键词]]="",10,MATCH(表_网址[[#This Row],[重点关键词]],序列_重点关键词,0)+10)</f>
        <v>10</v>
      </c>
      <c r="E161">
        <f>IF(AND(表_网址[[#This Row],[首要关键词]]=K160,表_网址[[#This Row],[次要关键词]]=L160,表_网址[[#This Row],[重点关键词]]=M160),E160+1,IF(表_网址[[#This Row],[重点关键词]]="",100,101))</f>
        <v>103</v>
      </c>
      <c r="F161" t="s">
        <v>741</v>
      </c>
      <c r="G161" t="s">
        <v>742</v>
      </c>
      <c r="H161" t="s">
        <v>29</v>
      </c>
      <c r="I161" t="s">
        <v>743</v>
      </c>
      <c r="J161" t="s">
        <v>1746</v>
      </c>
      <c r="K161" t="s">
        <v>1748</v>
      </c>
      <c r="L161" t="s">
        <v>734</v>
      </c>
      <c r="N161">
        <v>999</v>
      </c>
      <c r="O161">
        <v>999</v>
      </c>
      <c r="Q161">
        <v>16</v>
      </c>
      <c r="R161" t="s">
        <v>507</v>
      </c>
    </row>
    <row r="162" spans="1:18" x14ac:dyDescent="0.2">
      <c r="A162" t="str">
        <f ca="1">表_网址[[#This Row],[1级]]&amp;"-"&amp;表_网址[[#This Row],[2级]]&amp;"-"&amp;表_网址[[#This Row],[3级]]&amp;"-"&amp;表_网址[[#This Row],[级内]]</f>
        <v>5001-15-10-104</v>
      </c>
      <c r="B162">
        <f ca="1">MATCH(表_网址[[#This Row],[版层分类]],序列_版层分类,0)*1000+MATCH(表_网址[[#This Row],[首要关键词]],序列_首要关键词,0)</f>
        <v>5001</v>
      </c>
      <c r="C162">
        <f ca="1">IF(表_网址[[#This Row],[次要关键词]]="",10,MATCH(表_网址[[#This Row],[次要关键词]],序列_次要关键词,0)+10)</f>
        <v>15</v>
      </c>
      <c r="D162">
        <f>IF(表_网址[[#This Row],[重点关键词]]="",10,MATCH(表_网址[[#This Row],[重点关键词]],序列_重点关键词,0)+10)</f>
        <v>10</v>
      </c>
      <c r="E162">
        <f>IF(AND(表_网址[[#This Row],[首要关键词]]=K161,表_网址[[#This Row],[次要关键词]]=L161,表_网址[[#This Row],[重点关键词]]=M161),E161+1,IF(表_网址[[#This Row],[重点关键词]]="",100,101))</f>
        <v>104</v>
      </c>
      <c r="F162" t="s">
        <v>744</v>
      </c>
      <c r="G162" t="s">
        <v>745</v>
      </c>
      <c r="H162" t="s">
        <v>29</v>
      </c>
      <c r="I162" t="s">
        <v>746</v>
      </c>
      <c r="J162" t="s">
        <v>1746</v>
      </c>
      <c r="K162" t="s">
        <v>1748</v>
      </c>
      <c r="L162" t="s">
        <v>734</v>
      </c>
      <c r="N162">
        <v>999</v>
      </c>
      <c r="O162">
        <v>999</v>
      </c>
      <c r="Q162">
        <v>16</v>
      </c>
      <c r="R162" t="s">
        <v>507</v>
      </c>
    </row>
    <row r="163" spans="1:18" x14ac:dyDescent="0.2">
      <c r="A163" t="str">
        <f ca="1">表_网址[[#This Row],[1级]]&amp;"-"&amp;表_网址[[#This Row],[2级]]&amp;"-"&amp;表_网址[[#This Row],[3级]]&amp;"-"&amp;表_网址[[#This Row],[级内]]</f>
        <v>5001-15-10-105</v>
      </c>
      <c r="B163">
        <f ca="1">MATCH(表_网址[[#This Row],[版层分类]],序列_版层分类,0)*1000+MATCH(表_网址[[#This Row],[首要关键词]],序列_首要关键词,0)</f>
        <v>5001</v>
      </c>
      <c r="C163">
        <f ca="1">IF(表_网址[[#This Row],[次要关键词]]="",10,MATCH(表_网址[[#This Row],[次要关键词]],序列_次要关键词,0)+10)</f>
        <v>15</v>
      </c>
      <c r="D163">
        <f>IF(表_网址[[#This Row],[重点关键词]]="",10,MATCH(表_网址[[#This Row],[重点关键词]],序列_重点关键词,0)+10)</f>
        <v>10</v>
      </c>
      <c r="E163">
        <f>IF(AND(表_网址[[#This Row],[首要关键词]]=K162,表_网址[[#This Row],[次要关键词]]=L162,表_网址[[#This Row],[重点关键词]]=M162),E162+1,IF(表_网址[[#This Row],[重点关键词]]="",100,101))</f>
        <v>105</v>
      </c>
      <c r="F163" t="s">
        <v>747</v>
      </c>
      <c r="G163" t="s">
        <v>748</v>
      </c>
      <c r="H163" t="s">
        <v>29</v>
      </c>
      <c r="I163" t="s">
        <v>749</v>
      </c>
      <c r="J163" t="s">
        <v>1746</v>
      </c>
      <c r="K163" t="s">
        <v>1748</v>
      </c>
      <c r="L163" t="s">
        <v>734</v>
      </c>
      <c r="N163">
        <v>999</v>
      </c>
      <c r="O163">
        <v>999</v>
      </c>
      <c r="Q163">
        <v>16</v>
      </c>
      <c r="R163" t="s">
        <v>507</v>
      </c>
    </row>
    <row r="164" spans="1:18" x14ac:dyDescent="0.2">
      <c r="A164" t="str">
        <f ca="1">表_网址[[#This Row],[1级]]&amp;"-"&amp;表_网址[[#This Row],[2级]]&amp;"-"&amp;表_网址[[#This Row],[3级]]&amp;"-"&amp;表_网址[[#This Row],[级内]]</f>
        <v>5001-15-10-106</v>
      </c>
      <c r="B164">
        <f ca="1">MATCH(表_网址[[#This Row],[版层分类]],序列_版层分类,0)*1000+MATCH(表_网址[[#This Row],[首要关键词]],序列_首要关键词,0)</f>
        <v>5001</v>
      </c>
      <c r="C164">
        <f ca="1">IF(表_网址[[#This Row],[次要关键词]]="",10,MATCH(表_网址[[#This Row],[次要关键词]],序列_次要关键词,0)+10)</f>
        <v>15</v>
      </c>
      <c r="D164">
        <f>IF(表_网址[[#This Row],[重点关键词]]="",10,MATCH(表_网址[[#This Row],[重点关键词]],序列_重点关键词,0)+10)</f>
        <v>10</v>
      </c>
      <c r="E164">
        <f>IF(AND(表_网址[[#This Row],[首要关键词]]=K163,表_网址[[#This Row],[次要关键词]]=L163,表_网址[[#This Row],[重点关键词]]=M163),E163+1,IF(表_网址[[#This Row],[重点关键词]]="",100,101))</f>
        <v>106</v>
      </c>
      <c r="F164" t="s">
        <v>750</v>
      </c>
      <c r="G164" t="s">
        <v>751</v>
      </c>
      <c r="H164" t="s">
        <v>29</v>
      </c>
      <c r="I164" t="s">
        <v>752</v>
      </c>
      <c r="J164" t="s">
        <v>1746</v>
      </c>
      <c r="K164" t="s">
        <v>1748</v>
      </c>
      <c r="L164" t="s">
        <v>734</v>
      </c>
      <c r="N164">
        <v>999</v>
      </c>
      <c r="O164">
        <v>999</v>
      </c>
      <c r="Q164">
        <v>48</v>
      </c>
      <c r="R164" t="s">
        <v>507</v>
      </c>
    </row>
    <row r="165" spans="1:18" x14ac:dyDescent="0.2">
      <c r="A165" t="str">
        <f ca="1">表_网址[[#This Row],[1级]]&amp;"-"&amp;表_网址[[#This Row],[2级]]&amp;"-"&amp;表_网址[[#This Row],[3级]]&amp;"-"&amp;表_网址[[#This Row],[级内]]</f>
        <v>5001-15-10-107</v>
      </c>
      <c r="B165">
        <f ca="1">MATCH(表_网址[[#This Row],[版层分类]],序列_版层分类,0)*1000+MATCH(表_网址[[#This Row],[首要关键词]],序列_首要关键词,0)</f>
        <v>5001</v>
      </c>
      <c r="C165">
        <f ca="1">IF(表_网址[[#This Row],[次要关键词]]="",10,MATCH(表_网址[[#This Row],[次要关键词]],序列_次要关键词,0)+10)</f>
        <v>15</v>
      </c>
      <c r="D165">
        <f>IF(表_网址[[#This Row],[重点关键词]]="",10,MATCH(表_网址[[#This Row],[重点关键词]],序列_重点关键词,0)+10)</f>
        <v>10</v>
      </c>
      <c r="E165">
        <f>IF(AND(表_网址[[#This Row],[首要关键词]]=K164,表_网址[[#This Row],[次要关键词]]=L164,表_网址[[#This Row],[重点关键词]]=M164),E164+1,IF(表_网址[[#This Row],[重点关键词]]="",100,101))</f>
        <v>107</v>
      </c>
      <c r="F165" t="s">
        <v>753</v>
      </c>
      <c r="G165" t="s">
        <v>754</v>
      </c>
      <c r="H165" t="s">
        <v>29</v>
      </c>
      <c r="I165" t="s">
        <v>755</v>
      </c>
      <c r="J165" t="s">
        <v>1746</v>
      </c>
      <c r="K165" t="s">
        <v>1748</v>
      </c>
      <c r="L165" t="s">
        <v>734</v>
      </c>
      <c r="N165">
        <v>999</v>
      </c>
      <c r="Q165">
        <v>16</v>
      </c>
      <c r="R165" t="s">
        <v>507</v>
      </c>
    </row>
    <row r="166" spans="1:18" x14ac:dyDescent="0.2">
      <c r="A166" t="str">
        <f ca="1">表_网址[[#This Row],[1级]]&amp;"-"&amp;表_网址[[#This Row],[2级]]&amp;"-"&amp;表_网址[[#This Row],[3级]]&amp;"-"&amp;表_网址[[#This Row],[级内]]</f>
        <v>5001-15-10-108</v>
      </c>
      <c r="B166">
        <f ca="1">MATCH(表_网址[[#This Row],[版层分类]],序列_版层分类,0)*1000+MATCH(表_网址[[#This Row],[首要关键词]],序列_首要关键词,0)</f>
        <v>5001</v>
      </c>
      <c r="C166">
        <f ca="1">IF(表_网址[[#This Row],[次要关键词]]="",10,MATCH(表_网址[[#This Row],[次要关键词]],序列_次要关键词,0)+10)</f>
        <v>15</v>
      </c>
      <c r="D166">
        <f>IF(表_网址[[#This Row],[重点关键词]]="",10,MATCH(表_网址[[#This Row],[重点关键词]],序列_重点关键词,0)+10)</f>
        <v>10</v>
      </c>
      <c r="E166">
        <f>IF(AND(表_网址[[#This Row],[首要关键词]]=K165,表_网址[[#This Row],[次要关键词]]=L165,表_网址[[#This Row],[重点关键词]]=M165),E165+1,IF(表_网址[[#This Row],[重点关键词]]="",100,101))</f>
        <v>108</v>
      </c>
      <c r="F166" t="s">
        <v>756</v>
      </c>
      <c r="G166" t="s">
        <v>757</v>
      </c>
      <c r="H166" t="s">
        <v>29</v>
      </c>
      <c r="I166" t="s">
        <v>758</v>
      </c>
      <c r="J166" t="s">
        <v>1746</v>
      </c>
      <c r="K166" t="s">
        <v>1748</v>
      </c>
      <c r="L166" t="s">
        <v>734</v>
      </c>
      <c r="N166">
        <v>999</v>
      </c>
      <c r="O166">
        <v>999</v>
      </c>
      <c r="Q166">
        <v>16</v>
      </c>
      <c r="R166" t="s">
        <v>507</v>
      </c>
    </row>
    <row r="167" spans="1:18" x14ac:dyDescent="0.2">
      <c r="A167" t="str">
        <f ca="1">表_网址[[#This Row],[1级]]&amp;"-"&amp;表_网址[[#This Row],[2级]]&amp;"-"&amp;表_网址[[#This Row],[3级]]&amp;"-"&amp;表_网址[[#This Row],[级内]]</f>
        <v>5001-15-10-109</v>
      </c>
      <c r="B167">
        <f ca="1">MATCH(表_网址[[#This Row],[版层分类]],序列_版层分类,0)*1000+MATCH(表_网址[[#This Row],[首要关键词]],序列_首要关键词,0)</f>
        <v>5001</v>
      </c>
      <c r="C167">
        <f ca="1">IF(表_网址[[#This Row],[次要关键词]]="",10,MATCH(表_网址[[#This Row],[次要关键词]],序列_次要关键词,0)+10)</f>
        <v>15</v>
      </c>
      <c r="D167">
        <f>IF(表_网址[[#This Row],[重点关键词]]="",10,MATCH(表_网址[[#This Row],[重点关键词]],序列_重点关键词,0)+10)</f>
        <v>10</v>
      </c>
      <c r="E167">
        <f>IF(AND(表_网址[[#This Row],[首要关键词]]=K166,表_网址[[#This Row],[次要关键词]]=L166,表_网址[[#This Row],[重点关键词]]=M166),E166+1,IF(表_网址[[#This Row],[重点关键词]]="",100,101))</f>
        <v>109</v>
      </c>
      <c r="F167" t="s">
        <v>759</v>
      </c>
      <c r="G167" t="s">
        <v>760</v>
      </c>
      <c r="H167" t="s">
        <v>29</v>
      </c>
      <c r="I167" t="s">
        <v>761</v>
      </c>
      <c r="J167" t="s">
        <v>1746</v>
      </c>
      <c r="K167" t="s">
        <v>1748</v>
      </c>
      <c r="L167" t="s">
        <v>734</v>
      </c>
      <c r="N167">
        <v>999</v>
      </c>
      <c r="R167" t="s">
        <v>507</v>
      </c>
    </row>
    <row r="168" spans="1:18" x14ac:dyDescent="0.2">
      <c r="A168" t="str">
        <f ca="1">表_网址[[#This Row],[1级]]&amp;"-"&amp;表_网址[[#This Row],[2级]]&amp;"-"&amp;表_网址[[#This Row],[3级]]&amp;"-"&amp;表_网址[[#This Row],[级内]]</f>
        <v>5001-15-10-110</v>
      </c>
      <c r="B168">
        <f ca="1">MATCH(表_网址[[#This Row],[版层分类]],序列_版层分类,0)*1000+MATCH(表_网址[[#This Row],[首要关键词]],序列_首要关键词,0)</f>
        <v>5001</v>
      </c>
      <c r="C168">
        <f ca="1">IF(表_网址[[#This Row],[次要关键词]]="",10,MATCH(表_网址[[#This Row],[次要关键词]],序列_次要关键词,0)+10)</f>
        <v>15</v>
      </c>
      <c r="D168">
        <f>IF(表_网址[[#This Row],[重点关键词]]="",10,MATCH(表_网址[[#This Row],[重点关键词]],序列_重点关键词,0)+10)</f>
        <v>10</v>
      </c>
      <c r="E168">
        <f>IF(AND(表_网址[[#This Row],[首要关键词]]=K167,表_网址[[#This Row],[次要关键词]]=L167,表_网址[[#This Row],[重点关键词]]=M167),E167+1,IF(表_网址[[#This Row],[重点关键词]]="",100,101))</f>
        <v>110</v>
      </c>
      <c r="F168" t="s">
        <v>762</v>
      </c>
      <c r="G168" t="s">
        <v>763</v>
      </c>
      <c r="H168" t="s">
        <v>29</v>
      </c>
      <c r="I168" t="s">
        <v>764</v>
      </c>
      <c r="J168" t="s">
        <v>1746</v>
      </c>
      <c r="K168" t="s">
        <v>1748</v>
      </c>
      <c r="L168" t="s">
        <v>734</v>
      </c>
      <c r="N168">
        <v>999</v>
      </c>
      <c r="R168" t="s">
        <v>507</v>
      </c>
    </row>
    <row r="169" spans="1:18" x14ac:dyDescent="0.2">
      <c r="A169" t="str">
        <f ca="1">表_网址[[#This Row],[1级]]&amp;"-"&amp;表_网址[[#This Row],[2级]]&amp;"-"&amp;表_网址[[#This Row],[3级]]&amp;"-"&amp;表_网址[[#This Row],[级内]]</f>
        <v>5001-15-10-111</v>
      </c>
      <c r="B169">
        <f ca="1">MATCH(表_网址[[#This Row],[版层分类]],序列_版层分类,0)*1000+MATCH(表_网址[[#This Row],[首要关键词]],序列_首要关键词,0)</f>
        <v>5001</v>
      </c>
      <c r="C169">
        <f ca="1">IF(表_网址[[#This Row],[次要关键词]]="",10,MATCH(表_网址[[#This Row],[次要关键词]],序列_次要关键词,0)+10)</f>
        <v>15</v>
      </c>
      <c r="D169">
        <f>IF(表_网址[[#This Row],[重点关键词]]="",10,MATCH(表_网址[[#This Row],[重点关键词]],序列_重点关键词,0)+10)</f>
        <v>10</v>
      </c>
      <c r="E169">
        <f>IF(AND(表_网址[[#This Row],[首要关键词]]=K168,表_网址[[#This Row],[次要关键词]]=L168,表_网址[[#This Row],[重点关键词]]=M168),E168+1,IF(表_网址[[#This Row],[重点关键词]]="",100,101))</f>
        <v>111</v>
      </c>
      <c r="F169" t="s">
        <v>765</v>
      </c>
      <c r="G169" t="s">
        <v>766</v>
      </c>
      <c r="H169" t="s">
        <v>29</v>
      </c>
      <c r="I169" t="s">
        <v>767</v>
      </c>
      <c r="J169" t="s">
        <v>1746</v>
      </c>
      <c r="K169" t="s">
        <v>1748</v>
      </c>
      <c r="L169" t="s">
        <v>734</v>
      </c>
      <c r="N169">
        <v>999</v>
      </c>
      <c r="Q169">
        <v>48</v>
      </c>
      <c r="R169" t="s">
        <v>507</v>
      </c>
    </row>
    <row r="170" spans="1:18" x14ac:dyDescent="0.2">
      <c r="A170" t="str">
        <f ca="1">表_网址[[#This Row],[1级]]&amp;"-"&amp;表_网址[[#This Row],[2级]]&amp;"-"&amp;表_网址[[#This Row],[3级]]&amp;"-"&amp;表_网址[[#This Row],[级内]]</f>
        <v>5001-15-10-112</v>
      </c>
      <c r="B170">
        <f ca="1">MATCH(表_网址[[#This Row],[版层分类]],序列_版层分类,0)*1000+MATCH(表_网址[[#This Row],[首要关键词]],序列_首要关键词,0)</f>
        <v>5001</v>
      </c>
      <c r="C170">
        <f ca="1">IF(表_网址[[#This Row],[次要关键词]]="",10,MATCH(表_网址[[#This Row],[次要关键词]],序列_次要关键词,0)+10)</f>
        <v>15</v>
      </c>
      <c r="D170">
        <f>IF(表_网址[[#This Row],[重点关键词]]="",10,MATCH(表_网址[[#This Row],[重点关键词]],序列_重点关键词,0)+10)</f>
        <v>10</v>
      </c>
      <c r="E170">
        <f>IF(AND(表_网址[[#This Row],[首要关键词]]=K169,表_网址[[#This Row],[次要关键词]]=L169,表_网址[[#This Row],[重点关键词]]=M169),E169+1,IF(表_网址[[#This Row],[重点关键词]]="",100,101))</f>
        <v>112</v>
      </c>
      <c r="F170" t="s">
        <v>768</v>
      </c>
      <c r="G170" t="s">
        <v>769</v>
      </c>
      <c r="H170" t="s">
        <v>29</v>
      </c>
      <c r="I170" t="s">
        <v>770</v>
      </c>
      <c r="J170" t="s">
        <v>1746</v>
      </c>
      <c r="K170" t="s">
        <v>1748</v>
      </c>
      <c r="L170" t="s">
        <v>734</v>
      </c>
      <c r="N170">
        <v>999</v>
      </c>
      <c r="R170" t="s">
        <v>507</v>
      </c>
    </row>
    <row r="171" spans="1:18" x14ac:dyDescent="0.2">
      <c r="A171" t="str">
        <f ca="1">表_网址[[#This Row],[1级]]&amp;"-"&amp;表_网址[[#This Row],[2级]]&amp;"-"&amp;表_网址[[#This Row],[3级]]&amp;"-"&amp;表_网址[[#This Row],[级内]]</f>
        <v>5001-15-10-113</v>
      </c>
      <c r="B171">
        <f ca="1">MATCH(表_网址[[#This Row],[版层分类]],序列_版层分类,0)*1000+MATCH(表_网址[[#This Row],[首要关键词]],序列_首要关键词,0)</f>
        <v>5001</v>
      </c>
      <c r="C171">
        <f ca="1">IF(表_网址[[#This Row],[次要关键词]]="",10,MATCH(表_网址[[#This Row],[次要关键词]],序列_次要关键词,0)+10)</f>
        <v>15</v>
      </c>
      <c r="D171">
        <f>IF(表_网址[[#This Row],[重点关键词]]="",10,MATCH(表_网址[[#This Row],[重点关键词]],序列_重点关键词,0)+10)</f>
        <v>10</v>
      </c>
      <c r="E171">
        <f>IF(AND(表_网址[[#This Row],[首要关键词]]=K170,表_网址[[#This Row],[次要关键词]]=L170,表_网址[[#This Row],[重点关键词]]=M170),E170+1,IF(表_网址[[#This Row],[重点关键词]]="",100,101))</f>
        <v>113</v>
      </c>
      <c r="F171" t="s">
        <v>771</v>
      </c>
      <c r="G171" t="s">
        <v>772</v>
      </c>
      <c r="H171" t="s">
        <v>29</v>
      </c>
      <c r="I171" t="s">
        <v>773</v>
      </c>
      <c r="J171" t="s">
        <v>1746</v>
      </c>
      <c r="K171" t="s">
        <v>1748</v>
      </c>
      <c r="L171" t="s">
        <v>734</v>
      </c>
      <c r="N171">
        <v>999</v>
      </c>
      <c r="Q171">
        <v>32</v>
      </c>
      <c r="R171" t="s">
        <v>507</v>
      </c>
    </row>
    <row r="172" spans="1:18" x14ac:dyDescent="0.2">
      <c r="A172" t="str">
        <f ca="1">表_网址[[#This Row],[1级]]&amp;"-"&amp;表_网址[[#This Row],[2级]]&amp;"-"&amp;表_网址[[#This Row],[3级]]&amp;"-"&amp;表_网址[[#This Row],[级内]]</f>
        <v>5001-15-10-114</v>
      </c>
      <c r="B172">
        <f ca="1">MATCH(表_网址[[#This Row],[版层分类]],序列_版层分类,0)*1000+MATCH(表_网址[[#This Row],[首要关键词]],序列_首要关键词,0)</f>
        <v>5001</v>
      </c>
      <c r="C172">
        <f ca="1">IF(表_网址[[#This Row],[次要关键词]]="",10,MATCH(表_网址[[#This Row],[次要关键词]],序列_次要关键词,0)+10)</f>
        <v>15</v>
      </c>
      <c r="D172">
        <f>IF(表_网址[[#This Row],[重点关键词]]="",10,MATCH(表_网址[[#This Row],[重点关键词]],序列_重点关键词,0)+10)</f>
        <v>10</v>
      </c>
      <c r="E172">
        <f>IF(AND(表_网址[[#This Row],[首要关键词]]=K171,表_网址[[#This Row],[次要关键词]]=L171,表_网址[[#This Row],[重点关键词]]=M171),E171+1,IF(表_网址[[#This Row],[重点关键词]]="",100,101))</f>
        <v>114</v>
      </c>
      <c r="F172" t="s">
        <v>774</v>
      </c>
      <c r="G172" t="s">
        <v>775</v>
      </c>
      <c r="H172" t="s">
        <v>29</v>
      </c>
      <c r="I172" t="s">
        <v>776</v>
      </c>
      <c r="J172" t="s">
        <v>1746</v>
      </c>
      <c r="K172" t="s">
        <v>1748</v>
      </c>
      <c r="L172" t="s">
        <v>734</v>
      </c>
      <c r="N172">
        <v>999</v>
      </c>
      <c r="Q172">
        <v>126</v>
      </c>
      <c r="R172" t="s">
        <v>507</v>
      </c>
    </row>
    <row r="173" spans="1:18" x14ac:dyDescent="0.2">
      <c r="A173" t="str">
        <f ca="1">表_网址[[#This Row],[1级]]&amp;"-"&amp;表_网址[[#This Row],[2级]]&amp;"-"&amp;表_网址[[#This Row],[3级]]&amp;"-"&amp;表_网址[[#This Row],[级内]]</f>
        <v>5001-15-10-115</v>
      </c>
      <c r="B173">
        <f ca="1">MATCH(表_网址[[#This Row],[版层分类]],序列_版层分类,0)*1000+MATCH(表_网址[[#This Row],[首要关键词]],序列_首要关键词,0)</f>
        <v>5001</v>
      </c>
      <c r="C173">
        <f ca="1">IF(表_网址[[#This Row],[次要关键词]]="",10,MATCH(表_网址[[#This Row],[次要关键词]],序列_次要关键词,0)+10)</f>
        <v>15</v>
      </c>
      <c r="D173">
        <f>IF(表_网址[[#This Row],[重点关键词]]="",10,MATCH(表_网址[[#This Row],[重点关键词]],序列_重点关键词,0)+10)</f>
        <v>10</v>
      </c>
      <c r="E173">
        <f>IF(AND(表_网址[[#This Row],[首要关键词]]=K172,表_网址[[#This Row],[次要关键词]]=L172,表_网址[[#This Row],[重点关键词]]=M172),E172+1,IF(表_网址[[#This Row],[重点关键词]]="",100,101))</f>
        <v>115</v>
      </c>
      <c r="F173" t="s">
        <v>777</v>
      </c>
      <c r="G173" t="s">
        <v>778</v>
      </c>
      <c r="H173" t="s">
        <v>29</v>
      </c>
      <c r="I173" t="s">
        <v>779</v>
      </c>
      <c r="J173" t="s">
        <v>1746</v>
      </c>
      <c r="K173" t="s">
        <v>1748</v>
      </c>
      <c r="L173" t="s">
        <v>734</v>
      </c>
      <c r="N173">
        <v>999</v>
      </c>
      <c r="O173">
        <v>999</v>
      </c>
      <c r="Q173">
        <v>16</v>
      </c>
      <c r="R173" t="s">
        <v>507</v>
      </c>
    </row>
    <row r="174" spans="1:18" x14ac:dyDescent="0.2">
      <c r="A174" t="str">
        <f ca="1">表_网址[[#This Row],[1级]]&amp;"-"&amp;表_网址[[#This Row],[2级]]&amp;"-"&amp;表_网址[[#This Row],[3级]]&amp;"-"&amp;表_网址[[#This Row],[级内]]</f>
        <v>5001-15-10-116</v>
      </c>
      <c r="B174">
        <f ca="1">MATCH(表_网址[[#This Row],[版层分类]],序列_版层分类,0)*1000+MATCH(表_网址[[#This Row],[首要关键词]],序列_首要关键词,0)</f>
        <v>5001</v>
      </c>
      <c r="C174">
        <f ca="1">IF(表_网址[[#This Row],[次要关键词]]="",10,MATCH(表_网址[[#This Row],[次要关键词]],序列_次要关键词,0)+10)</f>
        <v>15</v>
      </c>
      <c r="D174">
        <f>IF(表_网址[[#This Row],[重点关键词]]="",10,MATCH(表_网址[[#This Row],[重点关键词]],序列_重点关键词,0)+10)</f>
        <v>10</v>
      </c>
      <c r="E174">
        <f>IF(AND(表_网址[[#This Row],[首要关键词]]=K173,表_网址[[#This Row],[次要关键词]]=L173,表_网址[[#This Row],[重点关键词]]=M173),E173+1,IF(表_网址[[#This Row],[重点关键词]]="",100,101))</f>
        <v>116</v>
      </c>
      <c r="F174" t="s">
        <v>780</v>
      </c>
      <c r="G174" t="s">
        <v>781</v>
      </c>
      <c r="H174" t="s">
        <v>29</v>
      </c>
      <c r="I174" t="s">
        <v>782</v>
      </c>
      <c r="J174" t="s">
        <v>1746</v>
      </c>
      <c r="K174" t="s">
        <v>1748</v>
      </c>
      <c r="L174" t="s">
        <v>734</v>
      </c>
      <c r="N174">
        <v>999</v>
      </c>
      <c r="Q174">
        <v>32</v>
      </c>
      <c r="R174" t="s">
        <v>507</v>
      </c>
    </row>
    <row r="175" spans="1:18" x14ac:dyDescent="0.2">
      <c r="A175" t="str">
        <f ca="1">表_网址[[#This Row],[1级]]&amp;"-"&amp;表_网址[[#This Row],[2级]]&amp;"-"&amp;表_网址[[#This Row],[3级]]&amp;"-"&amp;表_网址[[#This Row],[级内]]</f>
        <v>5001-15-10-117</v>
      </c>
      <c r="B175">
        <f ca="1">MATCH(表_网址[[#This Row],[版层分类]],序列_版层分类,0)*1000+MATCH(表_网址[[#This Row],[首要关键词]],序列_首要关键词,0)</f>
        <v>5001</v>
      </c>
      <c r="C175">
        <f ca="1">IF(表_网址[[#This Row],[次要关键词]]="",10,MATCH(表_网址[[#This Row],[次要关键词]],序列_次要关键词,0)+10)</f>
        <v>15</v>
      </c>
      <c r="D175">
        <f>IF(表_网址[[#This Row],[重点关键词]]="",10,MATCH(表_网址[[#This Row],[重点关键词]],序列_重点关键词,0)+10)</f>
        <v>10</v>
      </c>
      <c r="E175">
        <f>IF(AND(表_网址[[#This Row],[首要关键词]]=K174,表_网址[[#This Row],[次要关键词]]=L174,表_网址[[#This Row],[重点关键词]]=M174),E174+1,IF(表_网址[[#This Row],[重点关键词]]="",100,101))</f>
        <v>117</v>
      </c>
      <c r="F175" t="s">
        <v>783</v>
      </c>
      <c r="G175" t="s">
        <v>784</v>
      </c>
      <c r="H175" t="s">
        <v>29</v>
      </c>
      <c r="I175" t="s">
        <v>785</v>
      </c>
      <c r="J175" t="s">
        <v>1746</v>
      </c>
      <c r="K175" t="s">
        <v>1748</v>
      </c>
      <c r="L175" t="s">
        <v>734</v>
      </c>
      <c r="N175">
        <v>999</v>
      </c>
      <c r="O175">
        <v>999</v>
      </c>
      <c r="Q175">
        <v>16</v>
      </c>
      <c r="R175" t="s">
        <v>507</v>
      </c>
    </row>
    <row r="176" spans="1:18" x14ac:dyDescent="0.2">
      <c r="A176" t="str">
        <f ca="1">表_网址[[#This Row],[1级]]&amp;"-"&amp;表_网址[[#This Row],[2级]]&amp;"-"&amp;表_网址[[#This Row],[3级]]&amp;"-"&amp;表_网址[[#This Row],[级内]]</f>
        <v>5001-15-10-118</v>
      </c>
      <c r="B176">
        <f ca="1">MATCH(表_网址[[#This Row],[版层分类]],序列_版层分类,0)*1000+MATCH(表_网址[[#This Row],[首要关键词]],序列_首要关键词,0)</f>
        <v>5001</v>
      </c>
      <c r="C176">
        <f ca="1">IF(表_网址[[#This Row],[次要关键词]]="",10,MATCH(表_网址[[#This Row],[次要关键词]],序列_次要关键词,0)+10)</f>
        <v>15</v>
      </c>
      <c r="D176">
        <f>IF(表_网址[[#This Row],[重点关键词]]="",10,MATCH(表_网址[[#This Row],[重点关键词]],序列_重点关键词,0)+10)</f>
        <v>10</v>
      </c>
      <c r="E176">
        <f>IF(AND(表_网址[[#This Row],[首要关键词]]=K175,表_网址[[#This Row],[次要关键词]]=L175,表_网址[[#This Row],[重点关键词]]=M175),E175+1,IF(表_网址[[#This Row],[重点关键词]]="",100,101))</f>
        <v>118</v>
      </c>
      <c r="F176" t="s">
        <v>786</v>
      </c>
      <c r="G176" t="s">
        <v>787</v>
      </c>
      <c r="H176" t="s">
        <v>29</v>
      </c>
      <c r="I176" t="s">
        <v>788</v>
      </c>
      <c r="J176" t="s">
        <v>1746</v>
      </c>
      <c r="K176" t="s">
        <v>1748</v>
      </c>
      <c r="L176" t="s">
        <v>734</v>
      </c>
      <c r="N176">
        <v>999</v>
      </c>
      <c r="R176" t="s">
        <v>507</v>
      </c>
    </row>
    <row r="177" spans="1:18" x14ac:dyDescent="0.2">
      <c r="A177" t="str">
        <f ca="1">表_网址[[#This Row],[1级]]&amp;"-"&amp;表_网址[[#This Row],[2级]]&amp;"-"&amp;表_网址[[#This Row],[3级]]&amp;"-"&amp;表_网址[[#This Row],[级内]]</f>
        <v>5001-15-10-119</v>
      </c>
      <c r="B177">
        <f ca="1">MATCH(表_网址[[#This Row],[版层分类]],序列_版层分类,0)*1000+MATCH(表_网址[[#This Row],[首要关键词]],序列_首要关键词,0)</f>
        <v>5001</v>
      </c>
      <c r="C177">
        <f ca="1">IF(表_网址[[#This Row],[次要关键词]]="",10,MATCH(表_网址[[#This Row],[次要关键词]],序列_次要关键词,0)+10)</f>
        <v>15</v>
      </c>
      <c r="D177">
        <f>IF(表_网址[[#This Row],[重点关键词]]="",10,MATCH(表_网址[[#This Row],[重点关键词]],序列_重点关键词,0)+10)</f>
        <v>10</v>
      </c>
      <c r="E177">
        <f>IF(AND(表_网址[[#This Row],[首要关键词]]=K176,表_网址[[#This Row],[次要关键词]]=L176,表_网址[[#This Row],[重点关键词]]=M176),E176+1,IF(表_网址[[#This Row],[重点关键词]]="",100,101))</f>
        <v>119</v>
      </c>
      <c r="F177" t="s">
        <v>789</v>
      </c>
      <c r="G177" t="s">
        <v>790</v>
      </c>
      <c r="H177" t="s">
        <v>29</v>
      </c>
      <c r="I177" t="s">
        <v>791</v>
      </c>
      <c r="J177" t="s">
        <v>1746</v>
      </c>
      <c r="K177" t="s">
        <v>1748</v>
      </c>
      <c r="L177" t="s">
        <v>734</v>
      </c>
      <c r="N177">
        <v>999</v>
      </c>
      <c r="Q177">
        <v>31</v>
      </c>
      <c r="R177" t="s">
        <v>507</v>
      </c>
    </row>
    <row r="178" spans="1:18" x14ac:dyDescent="0.2">
      <c r="A178" t="str">
        <f ca="1">表_网址[[#This Row],[1级]]&amp;"-"&amp;表_网址[[#This Row],[2级]]&amp;"-"&amp;表_网址[[#This Row],[3级]]&amp;"-"&amp;表_网址[[#This Row],[级内]]</f>
        <v>5001-15-10-120</v>
      </c>
      <c r="B178">
        <f ca="1">MATCH(表_网址[[#This Row],[版层分类]],序列_版层分类,0)*1000+MATCH(表_网址[[#This Row],[首要关键词]],序列_首要关键词,0)</f>
        <v>5001</v>
      </c>
      <c r="C178">
        <f ca="1">IF(表_网址[[#This Row],[次要关键词]]="",10,MATCH(表_网址[[#This Row],[次要关键词]],序列_次要关键词,0)+10)</f>
        <v>15</v>
      </c>
      <c r="D178">
        <f>IF(表_网址[[#This Row],[重点关键词]]="",10,MATCH(表_网址[[#This Row],[重点关键词]],序列_重点关键词,0)+10)</f>
        <v>10</v>
      </c>
      <c r="E178">
        <f>IF(AND(表_网址[[#This Row],[首要关键词]]=K177,表_网址[[#This Row],[次要关键词]]=L177,表_网址[[#This Row],[重点关键词]]=M177),E177+1,IF(表_网址[[#This Row],[重点关键词]]="",100,101))</f>
        <v>120</v>
      </c>
      <c r="F178" t="s">
        <v>792</v>
      </c>
      <c r="G178" t="s">
        <v>793</v>
      </c>
      <c r="H178" t="s">
        <v>29</v>
      </c>
      <c r="I178" t="s">
        <v>794</v>
      </c>
      <c r="J178" t="s">
        <v>1746</v>
      </c>
      <c r="K178" t="s">
        <v>1748</v>
      </c>
      <c r="L178" t="s">
        <v>734</v>
      </c>
      <c r="N178">
        <v>999</v>
      </c>
      <c r="Q178">
        <v>16</v>
      </c>
      <c r="R178" t="s">
        <v>507</v>
      </c>
    </row>
    <row r="179" spans="1:18" x14ac:dyDescent="0.2">
      <c r="A179" t="str">
        <f ca="1">表_网址[[#This Row],[1级]]&amp;"-"&amp;表_网址[[#This Row],[2级]]&amp;"-"&amp;表_网址[[#This Row],[3级]]&amp;"-"&amp;表_网址[[#This Row],[级内]]</f>
        <v>5001-15-10-121</v>
      </c>
      <c r="B179">
        <f ca="1">MATCH(表_网址[[#This Row],[版层分类]],序列_版层分类,0)*1000+MATCH(表_网址[[#This Row],[首要关键词]],序列_首要关键词,0)</f>
        <v>5001</v>
      </c>
      <c r="C179">
        <f ca="1">IF(表_网址[[#This Row],[次要关键词]]="",10,MATCH(表_网址[[#This Row],[次要关键词]],序列_次要关键词,0)+10)</f>
        <v>15</v>
      </c>
      <c r="D179">
        <f>IF(表_网址[[#This Row],[重点关键词]]="",10,MATCH(表_网址[[#This Row],[重点关键词]],序列_重点关键词,0)+10)</f>
        <v>10</v>
      </c>
      <c r="E179">
        <f>IF(AND(表_网址[[#This Row],[首要关键词]]=K178,表_网址[[#This Row],[次要关键词]]=L178,表_网址[[#This Row],[重点关键词]]=M178),E178+1,IF(表_网址[[#This Row],[重点关键词]]="",100,101))</f>
        <v>121</v>
      </c>
      <c r="F179" t="s">
        <v>795</v>
      </c>
      <c r="G179" t="s">
        <v>796</v>
      </c>
      <c r="H179" t="s">
        <v>29</v>
      </c>
      <c r="I179" t="s">
        <v>797</v>
      </c>
      <c r="J179" t="s">
        <v>1746</v>
      </c>
      <c r="K179" t="s">
        <v>1748</v>
      </c>
      <c r="L179" t="s">
        <v>734</v>
      </c>
      <c r="N179">
        <v>999</v>
      </c>
      <c r="R179" t="s">
        <v>507</v>
      </c>
    </row>
    <row r="180" spans="1:18" x14ac:dyDescent="0.2">
      <c r="A180" t="str">
        <f ca="1">表_网址[[#This Row],[1级]]&amp;"-"&amp;表_网址[[#This Row],[2级]]&amp;"-"&amp;表_网址[[#This Row],[3级]]&amp;"-"&amp;表_网址[[#This Row],[级内]]</f>
        <v>5001-15-10-122</v>
      </c>
      <c r="B180">
        <f ca="1">MATCH(表_网址[[#This Row],[版层分类]],序列_版层分类,0)*1000+MATCH(表_网址[[#This Row],[首要关键词]],序列_首要关键词,0)</f>
        <v>5001</v>
      </c>
      <c r="C180">
        <f ca="1">IF(表_网址[[#This Row],[次要关键词]]="",10,MATCH(表_网址[[#This Row],[次要关键词]],序列_次要关键词,0)+10)</f>
        <v>15</v>
      </c>
      <c r="D180">
        <f>IF(表_网址[[#This Row],[重点关键词]]="",10,MATCH(表_网址[[#This Row],[重点关键词]],序列_重点关键词,0)+10)</f>
        <v>10</v>
      </c>
      <c r="E180">
        <f>IF(AND(表_网址[[#This Row],[首要关键词]]=K179,表_网址[[#This Row],[次要关键词]]=L179,表_网址[[#This Row],[重点关键词]]=M179),E179+1,IF(表_网址[[#This Row],[重点关键词]]="",100,101))</f>
        <v>122</v>
      </c>
      <c r="F180" t="s">
        <v>798</v>
      </c>
      <c r="G180" t="s">
        <v>799</v>
      </c>
      <c r="H180" t="s">
        <v>29</v>
      </c>
      <c r="I180" t="s">
        <v>800</v>
      </c>
      <c r="J180" t="s">
        <v>1746</v>
      </c>
      <c r="K180" t="s">
        <v>1748</v>
      </c>
      <c r="L180" t="s">
        <v>734</v>
      </c>
      <c r="N180">
        <v>999</v>
      </c>
      <c r="O180">
        <v>999</v>
      </c>
      <c r="R180" t="s">
        <v>507</v>
      </c>
    </row>
    <row r="181" spans="1:18" x14ac:dyDescent="0.2">
      <c r="A181" t="str">
        <f ca="1">表_网址[[#This Row],[1级]]&amp;"-"&amp;表_网址[[#This Row],[2级]]&amp;"-"&amp;表_网址[[#This Row],[3级]]&amp;"-"&amp;表_网址[[#This Row],[级内]]</f>
        <v>5001-15-10-123</v>
      </c>
      <c r="B181">
        <f ca="1">MATCH(表_网址[[#This Row],[版层分类]],序列_版层分类,0)*1000+MATCH(表_网址[[#This Row],[首要关键词]],序列_首要关键词,0)</f>
        <v>5001</v>
      </c>
      <c r="C181">
        <f ca="1">IF(表_网址[[#This Row],[次要关键词]]="",10,MATCH(表_网址[[#This Row],[次要关键词]],序列_次要关键词,0)+10)</f>
        <v>15</v>
      </c>
      <c r="D181">
        <f>IF(表_网址[[#This Row],[重点关键词]]="",10,MATCH(表_网址[[#This Row],[重点关键词]],序列_重点关键词,0)+10)</f>
        <v>10</v>
      </c>
      <c r="E181">
        <f>IF(AND(表_网址[[#This Row],[首要关键词]]=K180,表_网址[[#This Row],[次要关键词]]=L180,表_网址[[#This Row],[重点关键词]]=M180),E180+1,IF(表_网址[[#This Row],[重点关键词]]="",100,101))</f>
        <v>123</v>
      </c>
      <c r="F181" t="s">
        <v>801</v>
      </c>
      <c r="G181" t="s">
        <v>802</v>
      </c>
      <c r="H181" t="s">
        <v>29</v>
      </c>
      <c r="I181" t="s">
        <v>803</v>
      </c>
      <c r="J181" t="s">
        <v>1746</v>
      </c>
      <c r="K181" t="s">
        <v>1748</v>
      </c>
      <c r="L181" t="s">
        <v>734</v>
      </c>
      <c r="N181">
        <v>999</v>
      </c>
      <c r="R181" t="s">
        <v>507</v>
      </c>
    </row>
    <row r="182" spans="1:18" x14ac:dyDescent="0.2">
      <c r="A182" t="str">
        <f ca="1">表_网址[[#This Row],[1级]]&amp;"-"&amp;表_网址[[#This Row],[2级]]&amp;"-"&amp;表_网址[[#This Row],[3级]]&amp;"-"&amp;表_网址[[#This Row],[级内]]</f>
        <v>5001-15-10-124</v>
      </c>
      <c r="B182">
        <f ca="1">MATCH(表_网址[[#This Row],[版层分类]],序列_版层分类,0)*1000+MATCH(表_网址[[#This Row],[首要关键词]],序列_首要关键词,0)</f>
        <v>5001</v>
      </c>
      <c r="C182">
        <f ca="1">IF(表_网址[[#This Row],[次要关键词]]="",10,MATCH(表_网址[[#This Row],[次要关键词]],序列_次要关键词,0)+10)</f>
        <v>15</v>
      </c>
      <c r="D182">
        <f>IF(表_网址[[#This Row],[重点关键词]]="",10,MATCH(表_网址[[#This Row],[重点关键词]],序列_重点关键词,0)+10)</f>
        <v>10</v>
      </c>
      <c r="E182">
        <f>IF(AND(表_网址[[#This Row],[首要关键词]]=K181,表_网址[[#This Row],[次要关键词]]=L181,表_网址[[#This Row],[重点关键词]]=M181),E181+1,IF(表_网址[[#This Row],[重点关键词]]="",100,101))</f>
        <v>124</v>
      </c>
      <c r="F182" t="s">
        <v>804</v>
      </c>
      <c r="G182" t="s">
        <v>805</v>
      </c>
      <c r="H182" t="s">
        <v>29</v>
      </c>
      <c r="I182" t="s">
        <v>806</v>
      </c>
      <c r="J182" t="s">
        <v>1746</v>
      </c>
      <c r="K182" t="s">
        <v>1748</v>
      </c>
      <c r="L182" t="s">
        <v>734</v>
      </c>
      <c r="N182">
        <v>999</v>
      </c>
      <c r="R182" t="s">
        <v>507</v>
      </c>
    </row>
    <row r="183" spans="1:18" x14ac:dyDescent="0.2">
      <c r="A183" t="str">
        <f ca="1">表_网址[[#This Row],[1级]]&amp;"-"&amp;表_网址[[#This Row],[2级]]&amp;"-"&amp;表_网址[[#This Row],[3级]]&amp;"-"&amp;表_网址[[#This Row],[级内]]</f>
        <v>5001-15-10-125</v>
      </c>
      <c r="B183">
        <f ca="1">MATCH(表_网址[[#This Row],[版层分类]],序列_版层分类,0)*1000+MATCH(表_网址[[#This Row],[首要关键词]],序列_首要关键词,0)</f>
        <v>5001</v>
      </c>
      <c r="C183">
        <f ca="1">IF(表_网址[[#This Row],[次要关键词]]="",10,MATCH(表_网址[[#This Row],[次要关键词]],序列_次要关键词,0)+10)</f>
        <v>15</v>
      </c>
      <c r="D183">
        <f>IF(表_网址[[#This Row],[重点关键词]]="",10,MATCH(表_网址[[#This Row],[重点关键词]],序列_重点关键词,0)+10)</f>
        <v>10</v>
      </c>
      <c r="E183">
        <f>IF(AND(表_网址[[#This Row],[首要关键词]]=K182,表_网址[[#This Row],[次要关键词]]=L182,表_网址[[#This Row],[重点关键词]]=M182),E182+1,IF(表_网址[[#This Row],[重点关键词]]="",100,101))</f>
        <v>125</v>
      </c>
      <c r="F183" t="s">
        <v>807</v>
      </c>
      <c r="G183" t="s">
        <v>808</v>
      </c>
      <c r="H183" t="s">
        <v>29</v>
      </c>
      <c r="I183" t="s">
        <v>809</v>
      </c>
      <c r="J183" t="s">
        <v>1746</v>
      </c>
      <c r="K183" t="s">
        <v>1748</v>
      </c>
      <c r="L183" t="s">
        <v>734</v>
      </c>
      <c r="N183">
        <v>999</v>
      </c>
      <c r="Q183">
        <v>64</v>
      </c>
      <c r="R183" t="s">
        <v>507</v>
      </c>
    </row>
    <row r="184" spans="1:18" x14ac:dyDescent="0.2">
      <c r="A184" t="str">
        <f ca="1">表_网址[[#This Row],[1级]]&amp;"-"&amp;表_网址[[#This Row],[2级]]&amp;"-"&amp;表_网址[[#This Row],[3级]]&amp;"-"&amp;表_网址[[#This Row],[级内]]</f>
        <v>5001-15-10-126</v>
      </c>
      <c r="B184">
        <f ca="1">MATCH(表_网址[[#This Row],[版层分类]],序列_版层分类,0)*1000+MATCH(表_网址[[#This Row],[首要关键词]],序列_首要关键词,0)</f>
        <v>5001</v>
      </c>
      <c r="C184">
        <f ca="1">IF(表_网址[[#This Row],[次要关键词]]="",10,MATCH(表_网址[[#This Row],[次要关键词]],序列_次要关键词,0)+10)</f>
        <v>15</v>
      </c>
      <c r="D184">
        <f>IF(表_网址[[#This Row],[重点关键词]]="",10,MATCH(表_网址[[#This Row],[重点关键词]],序列_重点关键词,0)+10)</f>
        <v>10</v>
      </c>
      <c r="E184">
        <f>IF(AND(表_网址[[#This Row],[首要关键词]]=K183,表_网址[[#This Row],[次要关键词]]=L183,表_网址[[#This Row],[重点关键词]]=M183),E183+1,IF(表_网址[[#This Row],[重点关键词]]="",100,101))</f>
        <v>126</v>
      </c>
      <c r="F184" t="s">
        <v>810</v>
      </c>
      <c r="G184" t="s">
        <v>811</v>
      </c>
      <c r="H184" t="s">
        <v>29</v>
      </c>
      <c r="I184" t="s">
        <v>812</v>
      </c>
      <c r="J184" t="s">
        <v>1746</v>
      </c>
      <c r="K184" t="s">
        <v>1748</v>
      </c>
      <c r="L184" t="s">
        <v>734</v>
      </c>
      <c r="N184">
        <v>999</v>
      </c>
      <c r="R184" t="s">
        <v>507</v>
      </c>
    </row>
    <row r="185" spans="1:18" x14ac:dyDescent="0.2">
      <c r="A185" t="str">
        <f ca="1">表_网址[[#This Row],[1级]]&amp;"-"&amp;表_网址[[#This Row],[2级]]&amp;"-"&amp;表_网址[[#This Row],[3级]]&amp;"-"&amp;表_网址[[#This Row],[级内]]</f>
        <v>5001-15-10-127</v>
      </c>
      <c r="B185">
        <f ca="1">MATCH(表_网址[[#This Row],[版层分类]],序列_版层分类,0)*1000+MATCH(表_网址[[#This Row],[首要关键词]],序列_首要关键词,0)</f>
        <v>5001</v>
      </c>
      <c r="C185">
        <f ca="1">IF(表_网址[[#This Row],[次要关键词]]="",10,MATCH(表_网址[[#This Row],[次要关键词]],序列_次要关键词,0)+10)</f>
        <v>15</v>
      </c>
      <c r="D185">
        <f>IF(表_网址[[#This Row],[重点关键词]]="",10,MATCH(表_网址[[#This Row],[重点关键词]],序列_重点关键词,0)+10)</f>
        <v>10</v>
      </c>
      <c r="E185">
        <f>IF(AND(表_网址[[#This Row],[首要关键词]]=K184,表_网址[[#This Row],[次要关键词]]=L184,表_网址[[#This Row],[重点关键词]]=M184),E184+1,IF(表_网址[[#This Row],[重点关键词]]="",100,101))</f>
        <v>127</v>
      </c>
      <c r="F185" t="s">
        <v>813</v>
      </c>
      <c r="G185" t="s">
        <v>814</v>
      </c>
      <c r="H185" t="s">
        <v>29</v>
      </c>
      <c r="I185" t="s">
        <v>815</v>
      </c>
      <c r="J185" t="s">
        <v>1746</v>
      </c>
      <c r="K185" t="s">
        <v>1748</v>
      </c>
      <c r="L185" t="s">
        <v>734</v>
      </c>
      <c r="N185">
        <v>999</v>
      </c>
      <c r="Q185">
        <v>32</v>
      </c>
      <c r="R185" t="s">
        <v>507</v>
      </c>
    </row>
    <row r="186" spans="1:18" x14ac:dyDescent="0.2">
      <c r="A186" t="str">
        <f ca="1">表_网址[[#This Row],[1级]]&amp;"-"&amp;表_网址[[#This Row],[2级]]&amp;"-"&amp;表_网址[[#This Row],[3级]]&amp;"-"&amp;表_网址[[#This Row],[级内]]</f>
        <v>5001-15-10-128</v>
      </c>
      <c r="B186">
        <f ca="1">MATCH(表_网址[[#This Row],[版层分类]],序列_版层分类,0)*1000+MATCH(表_网址[[#This Row],[首要关键词]],序列_首要关键词,0)</f>
        <v>5001</v>
      </c>
      <c r="C186">
        <f ca="1">IF(表_网址[[#This Row],[次要关键词]]="",10,MATCH(表_网址[[#This Row],[次要关键词]],序列_次要关键词,0)+10)</f>
        <v>15</v>
      </c>
      <c r="D186">
        <f>IF(表_网址[[#This Row],[重点关键词]]="",10,MATCH(表_网址[[#This Row],[重点关键词]],序列_重点关键词,0)+10)</f>
        <v>10</v>
      </c>
      <c r="E186">
        <f>IF(AND(表_网址[[#This Row],[首要关键词]]=K185,表_网址[[#This Row],[次要关键词]]=L185,表_网址[[#This Row],[重点关键词]]=M185),E185+1,IF(表_网址[[#This Row],[重点关键词]]="",100,101))</f>
        <v>128</v>
      </c>
      <c r="F186" t="s">
        <v>816</v>
      </c>
      <c r="G186" t="s">
        <v>817</v>
      </c>
      <c r="H186" t="s">
        <v>29</v>
      </c>
      <c r="I186" t="s">
        <v>818</v>
      </c>
      <c r="J186" t="s">
        <v>1746</v>
      </c>
      <c r="K186" t="s">
        <v>1748</v>
      </c>
      <c r="L186" t="s">
        <v>734</v>
      </c>
      <c r="N186">
        <v>999</v>
      </c>
      <c r="O186">
        <v>999</v>
      </c>
      <c r="Q186">
        <v>32</v>
      </c>
      <c r="R186" t="s">
        <v>507</v>
      </c>
    </row>
    <row r="187" spans="1:18" x14ac:dyDescent="0.2">
      <c r="A187" t="str">
        <f ca="1">表_网址[[#This Row],[1级]]&amp;"-"&amp;表_网址[[#This Row],[2级]]&amp;"-"&amp;表_网址[[#This Row],[3级]]&amp;"-"&amp;表_网址[[#This Row],[级内]]</f>
        <v>5001-15-10-129</v>
      </c>
      <c r="B187">
        <f ca="1">MATCH(表_网址[[#This Row],[版层分类]],序列_版层分类,0)*1000+MATCH(表_网址[[#This Row],[首要关键词]],序列_首要关键词,0)</f>
        <v>5001</v>
      </c>
      <c r="C187">
        <f ca="1">IF(表_网址[[#This Row],[次要关键词]]="",10,MATCH(表_网址[[#This Row],[次要关键词]],序列_次要关键词,0)+10)</f>
        <v>15</v>
      </c>
      <c r="D187">
        <f>IF(表_网址[[#This Row],[重点关键词]]="",10,MATCH(表_网址[[#This Row],[重点关键词]],序列_重点关键词,0)+10)</f>
        <v>10</v>
      </c>
      <c r="E187">
        <f>IF(AND(表_网址[[#This Row],[首要关键词]]=K186,表_网址[[#This Row],[次要关键词]]=L186,表_网址[[#This Row],[重点关键词]]=M186),E186+1,IF(表_网址[[#This Row],[重点关键词]]="",100,101))</f>
        <v>129</v>
      </c>
      <c r="F187" t="s">
        <v>819</v>
      </c>
      <c r="G187" t="s">
        <v>820</v>
      </c>
      <c r="H187" t="s">
        <v>29</v>
      </c>
      <c r="I187" t="s">
        <v>821</v>
      </c>
      <c r="J187" t="s">
        <v>1746</v>
      </c>
      <c r="K187" t="s">
        <v>1748</v>
      </c>
      <c r="L187" t="s">
        <v>734</v>
      </c>
      <c r="N187">
        <v>999</v>
      </c>
      <c r="R187" t="s">
        <v>507</v>
      </c>
    </row>
    <row r="188" spans="1:18" x14ac:dyDescent="0.2">
      <c r="A188" t="str">
        <f ca="1">表_网址[[#This Row],[1级]]&amp;"-"&amp;表_网址[[#This Row],[2级]]&amp;"-"&amp;表_网址[[#This Row],[3级]]&amp;"-"&amp;表_网址[[#This Row],[级内]]</f>
        <v>5001-15-10-130</v>
      </c>
      <c r="B188">
        <f ca="1">MATCH(表_网址[[#This Row],[版层分类]],序列_版层分类,0)*1000+MATCH(表_网址[[#This Row],[首要关键词]],序列_首要关键词,0)</f>
        <v>5001</v>
      </c>
      <c r="C188">
        <f ca="1">IF(表_网址[[#This Row],[次要关键词]]="",10,MATCH(表_网址[[#This Row],[次要关键词]],序列_次要关键词,0)+10)</f>
        <v>15</v>
      </c>
      <c r="D188">
        <f>IF(表_网址[[#This Row],[重点关键词]]="",10,MATCH(表_网址[[#This Row],[重点关键词]],序列_重点关键词,0)+10)</f>
        <v>10</v>
      </c>
      <c r="E188">
        <f>IF(AND(表_网址[[#This Row],[首要关键词]]=K187,表_网址[[#This Row],[次要关键词]]=L187,表_网址[[#This Row],[重点关键词]]=M187),E187+1,IF(表_网址[[#This Row],[重点关键词]]="",100,101))</f>
        <v>130</v>
      </c>
      <c r="F188" t="s">
        <v>822</v>
      </c>
      <c r="G188" t="s">
        <v>823</v>
      </c>
      <c r="H188" t="s">
        <v>29</v>
      </c>
      <c r="I188" t="s">
        <v>824</v>
      </c>
      <c r="J188" t="s">
        <v>1746</v>
      </c>
      <c r="K188" t="s">
        <v>1748</v>
      </c>
      <c r="L188" t="s">
        <v>734</v>
      </c>
      <c r="N188">
        <v>999</v>
      </c>
      <c r="R188" t="s">
        <v>507</v>
      </c>
    </row>
    <row r="189" spans="1:18" x14ac:dyDescent="0.2">
      <c r="A189" t="str">
        <f ca="1">表_网址[[#This Row],[1级]]&amp;"-"&amp;表_网址[[#This Row],[2级]]&amp;"-"&amp;表_网址[[#This Row],[3级]]&amp;"-"&amp;表_网址[[#This Row],[级内]]</f>
        <v>5001-15-10-131</v>
      </c>
      <c r="B189">
        <f ca="1">MATCH(表_网址[[#This Row],[版层分类]],序列_版层分类,0)*1000+MATCH(表_网址[[#This Row],[首要关键词]],序列_首要关键词,0)</f>
        <v>5001</v>
      </c>
      <c r="C189">
        <f ca="1">IF(表_网址[[#This Row],[次要关键词]]="",10,MATCH(表_网址[[#This Row],[次要关键词]],序列_次要关键词,0)+10)</f>
        <v>15</v>
      </c>
      <c r="D189">
        <f>IF(表_网址[[#This Row],[重点关键词]]="",10,MATCH(表_网址[[#This Row],[重点关键词]],序列_重点关键词,0)+10)</f>
        <v>10</v>
      </c>
      <c r="E189">
        <f>IF(AND(表_网址[[#This Row],[首要关键词]]=K188,表_网址[[#This Row],[次要关键词]]=L188,表_网址[[#This Row],[重点关键词]]=M188),E188+1,IF(表_网址[[#This Row],[重点关键词]]="",100,101))</f>
        <v>131</v>
      </c>
      <c r="F189" t="s">
        <v>825</v>
      </c>
      <c r="G189" t="s">
        <v>826</v>
      </c>
      <c r="H189" t="s">
        <v>29</v>
      </c>
      <c r="I189" t="s">
        <v>827</v>
      </c>
      <c r="J189" t="s">
        <v>1746</v>
      </c>
      <c r="K189" t="s">
        <v>1749</v>
      </c>
      <c r="L189" t="s">
        <v>734</v>
      </c>
      <c r="N189">
        <v>999</v>
      </c>
      <c r="Q189">
        <v>48</v>
      </c>
      <c r="R189" t="s">
        <v>507</v>
      </c>
    </row>
    <row r="190" spans="1:18" x14ac:dyDescent="0.2">
      <c r="A190" t="str">
        <f ca="1">表_网址[[#This Row],[1级]]&amp;"-"&amp;表_网址[[#This Row],[2级]]&amp;"-"&amp;表_网址[[#This Row],[3级]]&amp;"-"&amp;表_网址[[#This Row],[级内]]</f>
        <v>5002-10-10-100</v>
      </c>
      <c r="B190">
        <f ca="1">MATCH(表_网址[[#This Row],[版层分类]],序列_版层分类,0)*1000+MATCH(表_网址[[#This Row],[首要关键词]],序列_首要关键词,0)</f>
        <v>5002</v>
      </c>
      <c r="C190">
        <f>IF(表_网址[[#This Row],[次要关键词]]="",10,MATCH(表_网址[[#This Row],[次要关键词]],序列_次要关键词,0)+10)</f>
        <v>10</v>
      </c>
      <c r="D190">
        <f>IF(表_网址[[#This Row],[重点关键词]]="",10,MATCH(表_网址[[#This Row],[重点关键词]],序列_重点关键词,0)+10)</f>
        <v>10</v>
      </c>
      <c r="E190">
        <f>IF(AND(表_网址[[#This Row],[首要关键词]]=K189,表_网址[[#This Row],[次要关键词]]=L189,表_网址[[#This Row],[重点关键词]]=M189),E189+1,IF(表_网址[[#This Row],[重点关键词]]="",100,101))</f>
        <v>100</v>
      </c>
      <c r="F190" t="s">
        <v>828</v>
      </c>
      <c r="G190" t="s">
        <v>829</v>
      </c>
      <c r="H190" t="s">
        <v>29</v>
      </c>
      <c r="I190" t="s">
        <v>830</v>
      </c>
      <c r="J190" t="s">
        <v>1746</v>
      </c>
      <c r="K190" t="s">
        <v>1750</v>
      </c>
      <c r="N190">
        <v>999</v>
      </c>
      <c r="O190">
        <v>999</v>
      </c>
      <c r="Q190">
        <v>32</v>
      </c>
      <c r="R190" t="s">
        <v>507</v>
      </c>
    </row>
    <row r="191" spans="1:18" x14ac:dyDescent="0.2">
      <c r="A191" t="str">
        <f ca="1">表_网址[[#This Row],[1级]]&amp;"-"&amp;表_网址[[#This Row],[2级]]&amp;"-"&amp;表_网址[[#This Row],[3级]]&amp;"-"&amp;表_网址[[#This Row],[级内]]</f>
        <v>5002-10-10-101</v>
      </c>
      <c r="B191">
        <f ca="1">MATCH(表_网址[[#This Row],[版层分类]],序列_版层分类,0)*1000+MATCH(表_网址[[#This Row],[首要关键词]],序列_首要关键词,0)</f>
        <v>5002</v>
      </c>
      <c r="C191">
        <f>IF(表_网址[[#This Row],[次要关键词]]="",10,MATCH(表_网址[[#This Row],[次要关键词]],序列_次要关键词,0)+10)</f>
        <v>10</v>
      </c>
      <c r="D191">
        <f>IF(表_网址[[#This Row],[重点关键词]]="",10,MATCH(表_网址[[#This Row],[重点关键词]],序列_重点关键词,0)+10)</f>
        <v>10</v>
      </c>
      <c r="E191">
        <f>IF(AND(表_网址[[#This Row],[首要关键词]]=K190,表_网址[[#This Row],[次要关键词]]=L190,表_网址[[#This Row],[重点关键词]]=M190),E190+1,IF(表_网址[[#This Row],[重点关键词]]="",100,101))</f>
        <v>101</v>
      </c>
      <c r="F191" t="s">
        <v>831</v>
      </c>
      <c r="G191" t="s">
        <v>832</v>
      </c>
      <c r="H191" t="s">
        <v>29</v>
      </c>
      <c r="I191" t="s">
        <v>833</v>
      </c>
      <c r="J191" t="s">
        <v>1746</v>
      </c>
      <c r="K191" t="s">
        <v>1750</v>
      </c>
      <c r="N191">
        <v>999</v>
      </c>
      <c r="R191" t="s">
        <v>507</v>
      </c>
    </row>
    <row r="192" spans="1:18" x14ac:dyDescent="0.2">
      <c r="A192" t="str">
        <f ca="1">表_网址[[#This Row],[1级]]&amp;"-"&amp;表_网址[[#This Row],[2级]]&amp;"-"&amp;表_网址[[#This Row],[3级]]&amp;"-"&amp;表_网址[[#This Row],[级内]]</f>
        <v>5002-10-10-102</v>
      </c>
      <c r="B192">
        <f ca="1">MATCH(表_网址[[#This Row],[版层分类]],序列_版层分类,0)*1000+MATCH(表_网址[[#This Row],[首要关键词]],序列_首要关键词,0)</f>
        <v>5002</v>
      </c>
      <c r="C192">
        <f>IF(表_网址[[#This Row],[次要关键词]]="",10,MATCH(表_网址[[#This Row],[次要关键词]],序列_次要关键词,0)+10)</f>
        <v>10</v>
      </c>
      <c r="D192">
        <f>IF(表_网址[[#This Row],[重点关键词]]="",10,MATCH(表_网址[[#This Row],[重点关键词]],序列_重点关键词,0)+10)</f>
        <v>10</v>
      </c>
      <c r="E192">
        <f>IF(AND(表_网址[[#This Row],[首要关键词]]=K191,表_网址[[#This Row],[次要关键词]]=L191,表_网址[[#This Row],[重点关键词]]=M191),E191+1,IF(表_网址[[#This Row],[重点关键词]]="",100,101))</f>
        <v>102</v>
      </c>
      <c r="F192" t="s">
        <v>834</v>
      </c>
      <c r="G192" t="s">
        <v>835</v>
      </c>
      <c r="H192" t="s">
        <v>29</v>
      </c>
      <c r="I192" t="s">
        <v>836</v>
      </c>
      <c r="J192" t="s">
        <v>1746</v>
      </c>
      <c r="K192" t="s">
        <v>1750</v>
      </c>
      <c r="N192">
        <v>999</v>
      </c>
      <c r="O192">
        <v>999</v>
      </c>
      <c r="Q192">
        <v>16</v>
      </c>
      <c r="R192" t="s">
        <v>507</v>
      </c>
    </row>
    <row r="193" spans="1:18" x14ac:dyDescent="0.2">
      <c r="A193" t="str">
        <f ca="1">表_网址[[#This Row],[1级]]&amp;"-"&amp;表_网址[[#This Row],[2级]]&amp;"-"&amp;表_网址[[#This Row],[3级]]&amp;"-"&amp;表_网址[[#This Row],[级内]]</f>
        <v>5002-10-10-103</v>
      </c>
      <c r="B193">
        <f ca="1">MATCH(表_网址[[#This Row],[版层分类]],序列_版层分类,0)*1000+MATCH(表_网址[[#This Row],[首要关键词]],序列_首要关键词,0)</f>
        <v>5002</v>
      </c>
      <c r="C193">
        <f>IF(表_网址[[#This Row],[次要关键词]]="",10,MATCH(表_网址[[#This Row],[次要关键词]],序列_次要关键词,0)+10)</f>
        <v>10</v>
      </c>
      <c r="D193">
        <f>IF(表_网址[[#This Row],[重点关键词]]="",10,MATCH(表_网址[[#This Row],[重点关键词]],序列_重点关键词,0)+10)</f>
        <v>10</v>
      </c>
      <c r="E193">
        <f>IF(AND(表_网址[[#This Row],[首要关键词]]=K192,表_网址[[#This Row],[次要关键词]]=L192,表_网址[[#This Row],[重点关键词]]=M192),E192+1,IF(表_网址[[#This Row],[重点关键词]]="",100,101))</f>
        <v>103</v>
      </c>
      <c r="F193" t="s">
        <v>837</v>
      </c>
      <c r="G193" t="s">
        <v>838</v>
      </c>
      <c r="H193" t="s">
        <v>29</v>
      </c>
      <c r="I193" t="s">
        <v>839</v>
      </c>
      <c r="J193" t="s">
        <v>1746</v>
      </c>
      <c r="K193" t="s">
        <v>1750</v>
      </c>
      <c r="N193">
        <v>999</v>
      </c>
      <c r="O193">
        <v>999</v>
      </c>
      <c r="R193" t="s">
        <v>507</v>
      </c>
    </row>
    <row r="194" spans="1:18" x14ac:dyDescent="0.2">
      <c r="A194" t="str">
        <f ca="1">表_网址[[#This Row],[1级]]&amp;"-"&amp;表_网址[[#This Row],[2级]]&amp;"-"&amp;表_网址[[#This Row],[3级]]&amp;"-"&amp;表_网址[[#This Row],[级内]]</f>
        <v>5002-10-10-104</v>
      </c>
      <c r="B194">
        <f ca="1">MATCH(表_网址[[#This Row],[版层分类]],序列_版层分类,0)*1000+MATCH(表_网址[[#This Row],[首要关键词]],序列_首要关键词,0)</f>
        <v>5002</v>
      </c>
      <c r="C194">
        <f>IF(表_网址[[#This Row],[次要关键词]]="",10,MATCH(表_网址[[#This Row],[次要关键词]],序列_次要关键词,0)+10)</f>
        <v>10</v>
      </c>
      <c r="D194">
        <f>IF(表_网址[[#This Row],[重点关键词]]="",10,MATCH(表_网址[[#This Row],[重点关键词]],序列_重点关键词,0)+10)</f>
        <v>10</v>
      </c>
      <c r="E194">
        <f>IF(AND(表_网址[[#This Row],[首要关键词]]=K193,表_网址[[#This Row],[次要关键词]]=L193,表_网址[[#This Row],[重点关键词]]=M193),E193+1,IF(表_网址[[#This Row],[重点关键词]]="",100,101))</f>
        <v>104</v>
      </c>
      <c r="F194" t="s">
        <v>840</v>
      </c>
      <c r="G194" t="s">
        <v>841</v>
      </c>
      <c r="H194" t="s">
        <v>29</v>
      </c>
      <c r="I194" t="s">
        <v>842</v>
      </c>
      <c r="J194" t="s">
        <v>1746</v>
      </c>
      <c r="K194" t="s">
        <v>1750</v>
      </c>
      <c r="N194">
        <v>999</v>
      </c>
      <c r="O194">
        <v>999</v>
      </c>
      <c r="Q194">
        <v>16</v>
      </c>
      <c r="R194" t="s">
        <v>507</v>
      </c>
    </row>
    <row r="195" spans="1:18" x14ac:dyDescent="0.2">
      <c r="A195" t="str">
        <f ca="1">表_网址[[#This Row],[1级]]&amp;"-"&amp;表_网址[[#This Row],[2级]]&amp;"-"&amp;表_网址[[#This Row],[3级]]&amp;"-"&amp;表_网址[[#This Row],[级内]]</f>
        <v>5002-10-10-105</v>
      </c>
      <c r="B195">
        <f ca="1">MATCH(表_网址[[#This Row],[版层分类]],序列_版层分类,0)*1000+MATCH(表_网址[[#This Row],[首要关键词]],序列_首要关键词,0)</f>
        <v>5002</v>
      </c>
      <c r="C195">
        <f>IF(表_网址[[#This Row],[次要关键词]]="",10,MATCH(表_网址[[#This Row],[次要关键词]],序列_次要关键词,0)+10)</f>
        <v>10</v>
      </c>
      <c r="D195">
        <f>IF(表_网址[[#This Row],[重点关键词]]="",10,MATCH(表_网址[[#This Row],[重点关键词]],序列_重点关键词,0)+10)</f>
        <v>10</v>
      </c>
      <c r="E195">
        <f>IF(AND(表_网址[[#This Row],[首要关键词]]=K194,表_网址[[#This Row],[次要关键词]]=L194,表_网址[[#This Row],[重点关键词]]=M194),E194+1,IF(表_网址[[#This Row],[重点关键词]]="",100,101))</f>
        <v>105</v>
      </c>
      <c r="F195" t="s">
        <v>843</v>
      </c>
      <c r="G195" t="s">
        <v>844</v>
      </c>
      <c r="H195" t="s">
        <v>29</v>
      </c>
      <c r="I195" t="s">
        <v>845</v>
      </c>
      <c r="J195" t="s">
        <v>1746</v>
      </c>
      <c r="K195" t="s">
        <v>1750</v>
      </c>
      <c r="N195">
        <v>999</v>
      </c>
      <c r="O195">
        <v>999</v>
      </c>
      <c r="Q195">
        <v>37</v>
      </c>
      <c r="R195" t="s">
        <v>507</v>
      </c>
    </row>
    <row r="196" spans="1:18" x14ac:dyDescent="0.2">
      <c r="A196" t="str">
        <f ca="1">表_网址[[#This Row],[1级]]&amp;"-"&amp;表_网址[[#This Row],[2级]]&amp;"-"&amp;表_网址[[#This Row],[3级]]&amp;"-"&amp;表_网址[[#This Row],[级内]]</f>
        <v>5002-10-10-106</v>
      </c>
      <c r="B196">
        <f ca="1">MATCH(表_网址[[#This Row],[版层分类]],序列_版层分类,0)*1000+MATCH(表_网址[[#This Row],[首要关键词]],序列_首要关键词,0)</f>
        <v>5002</v>
      </c>
      <c r="C196">
        <f>IF(表_网址[[#This Row],[次要关键词]]="",10,MATCH(表_网址[[#This Row],[次要关键词]],序列_次要关键词,0)+10)</f>
        <v>10</v>
      </c>
      <c r="D196">
        <f>IF(表_网址[[#This Row],[重点关键词]]="",10,MATCH(表_网址[[#This Row],[重点关键词]],序列_重点关键词,0)+10)</f>
        <v>10</v>
      </c>
      <c r="E196">
        <f>IF(AND(表_网址[[#This Row],[首要关键词]]=K195,表_网址[[#This Row],[次要关键词]]=L195,表_网址[[#This Row],[重点关键词]]=M195),E195+1,IF(表_网址[[#This Row],[重点关键词]]="",100,101))</f>
        <v>106</v>
      </c>
      <c r="F196" t="s">
        <v>846</v>
      </c>
      <c r="G196" t="s">
        <v>847</v>
      </c>
      <c r="H196" t="s">
        <v>29</v>
      </c>
      <c r="I196" t="s">
        <v>848</v>
      </c>
      <c r="J196" t="s">
        <v>1746</v>
      </c>
      <c r="K196" t="s">
        <v>1750</v>
      </c>
      <c r="N196">
        <v>999</v>
      </c>
      <c r="O196">
        <v>999</v>
      </c>
      <c r="Q196">
        <v>16</v>
      </c>
      <c r="R196" t="s">
        <v>507</v>
      </c>
    </row>
    <row r="197" spans="1:18" x14ac:dyDescent="0.2">
      <c r="A197" t="str">
        <f ca="1">表_网址[[#This Row],[1级]]&amp;"-"&amp;表_网址[[#This Row],[2级]]&amp;"-"&amp;表_网址[[#This Row],[3级]]&amp;"-"&amp;表_网址[[#This Row],[级内]]</f>
        <v>5003-10-10-100</v>
      </c>
      <c r="B197">
        <f ca="1">MATCH(表_网址[[#This Row],[版层分类]],序列_版层分类,0)*1000+MATCH(表_网址[[#This Row],[首要关键词]],序列_首要关键词,0)</f>
        <v>5003</v>
      </c>
      <c r="C197">
        <f>IF(表_网址[[#This Row],[次要关键词]]="",10,MATCH(表_网址[[#This Row],[次要关键词]],序列_次要关键词,0)+10)</f>
        <v>10</v>
      </c>
      <c r="D197">
        <f>IF(表_网址[[#This Row],[重点关键词]]="",10,MATCH(表_网址[[#This Row],[重点关键词]],序列_重点关键词,0)+10)</f>
        <v>10</v>
      </c>
      <c r="E197">
        <f>IF(AND(表_网址[[#This Row],[首要关键词]]=K196,表_网址[[#This Row],[次要关键词]]=L196,表_网址[[#This Row],[重点关键词]]=M196),E196+1,IF(表_网址[[#This Row],[重点关键词]]="",100,101))</f>
        <v>100</v>
      </c>
      <c r="F197" t="s">
        <v>849</v>
      </c>
      <c r="G197" t="s">
        <v>850</v>
      </c>
      <c r="H197" t="s">
        <v>29</v>
      </c>
      <c r="I197" t="s">
        <v>851</v>
      </c>
      <c r="J197" t="s">
        <v>1746</v>
      </c>
      <c r="K197" t="s">
        <v>1752</v>
      </c>
      <c r="N197">
        <v>999</v>
      </c>
      <c r="O197">
        <v>999</v>
      </c>
      <c r="Q197">
        <v>64</v>
      </c>
      <c r="R197" t="s">
        <v>507</v>
      </c>
    </row>
    <row r="198" spans="1:18" x14ac:dyDescent="0.2">
      <c r="A198" t="str">
        <f ca="1">表_网址[[#This Row],[1级]]&amp;"-"&amp;表_网址[[#This Row],[2级]]&amp;"-"&amp;表_网址[[#This Row],[3级]]&amp;"-"&amp;表_网址[[#This Row],[级内]]</f>
        <v>5003-10-10-101</v>
      </c>
      <c r="B198">
        <f ca="1">MATCH(表_网址[[#This Row],[版层分类]],序列_版层分类,0)*1000+MATCH(表_网址[[#This Row],[首要关键词]],序列_首要关键词,0)</f>
        <v>5003</v>
      </c>
      <c r="C198">
        <f>IF(表_网址[[#This Row],[次要关键词]]="",10,MATCH(表_网址[[#This Row],[次要关键词]],序列_次要关键词,0)+10)</f>
        <v>10</v>
      </c>
      <c r="D198">
        <f>IF(表_网址[[#This Row],[重点关键词]]="",10,MATCH(表_网址[[#This Row],[重点关键词]],序列_重点关键词,0)+10)</f>
        <v>10</v>
      </c>
      <c r="E198">
        <f>IF(AND(表_网址[[#This Row],[首要关键词]]=K197,表_网址[[#This Row],[次要关键词]]=L197,表_网址[[#This Row],[重点关键词]]=M197),E197+1,IF(表_网址[[#This Row],[重点关键词]]="",100,101))</f>
        <v>101</v>
      </c>
      <c r="F198" t="s">
        <v>852</v>
      </c>
      <c r="G198" t="s">
        <v>853</v>
      </c>
      <c r="H198" t="s">
        <v>29</v>
      </c>
      <c r="I198" t="s">
        <v>854</v>
      </c>
      <c r="J198" t="s">
        <v>1746</v>
      </c>
      <c r="K198" t="s">
        <v>1752</v>
      </c>
      <c r="N198">
        <v>999</v>
      </c>
      <c r="R198" t="s">
        <v>507</v>
      </c>
    </row>
    <row r="199" spans="1:18" x14ac:dyDescent="0.2">
      <c r="A199" t="str">
        <f ca="1">表_网址[[#This Row],[1级]]&amp;"-"&amp;表_网址[[#This Row],[2级]]&amp;"-"&amp;表_网址[[#This Row],[3级]]&amp;"-"&amp;表_网址[[#This Row],[级内]]</f>
        <v>5003-10-10-102</v>
      </c>
      <c r="B199">
        <f ca="1">MATCH(表_网址[[#This Row],[版层分类]],序列_版层分类,0)*1000+MATCH(表_网址[[#This Row],[首要关键词]],序列_首要关键词,0)</f>
        <v>5003</v>
      </c>
      <c r="C199">
        <f>IF(表_网址[[#This Row],[次要关键词]]="",10,MATCH(表_网址[[#This Row],[次要关键词]],序列_次要关键词,0)+10)</f>
        <v>10</v>
      </c>
      <c r="D199">
        <f>IF(表_网址[[#This Row],[重点关键词]]="",10,MATCH(表_网址[[#This Row],[重点关键词]],序列_重点关键词,0)+10)</f>
        <v>10</v>
      </c>
      <c r="E199">
        <f>IF(AND(表_网址[[#This Row],[首要关键词]]=K198,表_网址[[#This Row],[次要关键词]]=L198,表_网址[[#This Row],[重点关键词]]=M198),E198+1,IF(表_网址[[#This Row],[重点关键词]]="",100,101))</f>
        <v>102</v>
      </c>
      <c r="F199" t="s">
        <v>855</v>
      </c>
      <c r="G199" t="s">
        <v>856</v>
      </c>
      <c r="H199" t="s">
        <v>29</v>
      </c>
      <c r="I199" t="s">
        <v>857</v>
      </c>
      <c r="J199" t="s">
        <v>1746</v>
      </c>
      <c r="K199" t="s">
        <v>1752</v>
      </c>
      <c r="N199">
        <v>999</v>
      </c>
      <c r="Q199">
        <v>32</v>
      </c>
      <c r="R199" t="s">
        <v>507</v>
      </c>
    </row>
    <row r="200" spans="1:18" x14ac:dyDescent="0.2">
      <c r="A200" t="str">
        <f ca="1">表_网址[[#This Row],[1级]]&amp;"-"&amp;表_网址[[#This Row],[2级]]&amp;"-"&amp;表_网址[[#This Row],[3级]]&amp;"-"&amp;表_网址[[#This Row],[级内]]</f>
        <v>5003-10-10-103</v>
      </c>
      <c r="B200">
        <f ca="1">MATCH(表_网址[[#This Row],[版层分类]],序列_版层分类,0)*1000+MATCH(表_网址[[#This Row],[首要关键词]],序列_首要关键词,0)</f>
        <v>5003</v>
      </c>
      <c r="C200">
        <f>IF(表_网址[[#This Row],[次要关键词]]="",10,MATCH(表_网址[[#This Row],[次要关键词]],序列_次要关键词,0)+10)</f>
        <v>10</v>
      </c>
      <c r="D200">
        <f>IF(表_网址[[#This Row],[重点关键词]]="",10,MATCH(表_网址[[#This Row],[重点关键词]],序列_重点关键词,0)+10)</f>
        <v>10</v>
      </c>
      <c r="E200">
        <f>IF(AND(表_网址[[#This Row],[首要关键词]]=K199,表_网址[[#This Row],[次要关键词]]=L199,表_网址[[#This Row],[重点关键词]]=M199),E199+1,IF(表_网址[[#This Row],[重点关键词]]="",100,101))</f>
        <v>103</v>
      </c>
      <c r="F200" t="s">
        <v>858</v>
      </c>
      <c r="G200" t="s">
        <v>859</v>
      </c>
      <c r="H200" t="s">
        <v>29</v>
      </c>
      <c r="I200" t="s">
        <v>860</v>
      </c>
      <c r="J200" t="s">
        <v>1746</v>
      </c>
      <c r="K200" t="s">
        <v>1752</v>
      </c>
      <c r="N200">
        <v>999</v>
      </c>
      <c r="O200">
        <v>999</v>
      </c>
      <c r="R200" t="s">
        <v>507</v>
      </c>
    </row>
    <row r="201" spans="1:18" x14ac:dyDescent="0.2">
      <c r="A201" t="str">
        <f ca="1">表_网址[[#This Row],[1级]]&amp;"-"&amp;表_网址[[#This Row],[2级]]&amp;"-"&amp;表_网址[[#This Row],[3级]]&amp;"-"&amp;表_网址[[#This Row],[级内]]</f>
        <v>5003-10-10-104</v>
      </c>
      <c r="B201">
        <f ca="1">MATCH(表_网址[[#This Row],[版层分类]],序列_版层分类,0)*1000+MATCH(表_网址[[#This Row],[首要关键词]],序列_首要关键词,0)</f>
        <v>5003</v>
      </c>
      <c r="C201">
        <f>IF(表_网址[[#This Row],[次要关键词]]="",10,MATCH(表_网址[[#This Row],[次要关键词]],序列_次要关键词,0)+10)</f>
        <v>10</v>
      </c>
      <c r="D201">
        <f>IF(表_网址[[#This Row],[重点关键词]]="",10,MATCH(表_网址[[#This Row],[重点关键词]],序列_重点关键词,0)+10)</f>
        <v>10</v>
      </c>
      <c r="E201">
        <f>IF(AND(表_网址[[#This Row],[首要关键词]]=K200,表_网址[[#This Row],[次要关键词]]=L200,表_网址[[#This Row],[重点关键词]]=M200),E200+1,IF(表_网址[[#This Row],[重点关键词]]="",100,101))</f>
        <v>104</v>
      </c>
      <c r="F201" t="s">
        <v>861</v>
      </c>
      <c r="G201" t="s">
        <v>862</v>
      </c>
      <c r="H201" t="s">
        <v>29</v>
      </c>
      <c r="I201" t="s">
        <v>863</v>
      </c>
      <c r="J201" t="s">
        <v>1746</v>
      </c>
      <c r="K201" t="s">
        <v>1753</v>
      </c>
      <c r="N201">
        <v>999</v>
      </c>
      <c r="O201">
        <v>999</v>
      </c>
      <c r="Q201">
        <v>16</v>
      </c>
      <c r="R201" t="s">
        <v>507</v>
      </c>
    </row>
    <row r="202" spans="1:18" x14ac:dyDescent="0.2">
      <c r="A202" t="str">
        <f ca="1">表_网址[[#This Row],[1级]]&amp;"-"&amp;表_网址[[#This Row],[2级]]&amp;"-"&amp;表_网址[[#This Row],[3级]]&amp;"-"&amp;表_网址[[#This Row],[级内]]</f>
        <v>5003-10-10-105</v>
      </c>
      <c r="B202">
        <f ca="1">MATCH(表_网址[[#This Row],[版层分类]],序列_版层分类,0)*1000+MATCH(表_网址[[#This Row],[首要关键词]],序列_首要关键词,0)</f>
        <v>5003</v>
      </c>
      <c r="C202">
        <f>IF(表_网址[[#This Row],[次要关键词]]="",10,MATCH(表_网址[[#This Row],[次要关键词]],序列_次要关键词,0)+10)</f>
        <v>10</v>
      </c>
      <c r="D202">
        <f>IF(表_网址[[#This Row],[重点关键词]]="",10,MATCH(表_网址[[#This Row],[重点关键词]],序列_重点关键词,0)+10)</f>
        <v>10</v>
      </c>
      <c r="E202">
        <f>IF(AND(表_网址[[#This Row],[首要关键词]]=K201,表_网址[[#This Row],[次要关键词]]=L201,表_网址[[#This Row],[重点关键词]]=M201),E201+1,IF(表_网址[[#This Row],[重点关键词]]="",100,101))</f>
        <v>105</v>
      </c>
      <c r="F202" t="s">
        <v>864</v>
      </c>
      <c r="G202" t="s">
        <v>865</v>
      </c>
      <c r="H202" t="s">
        <v>29</v>
      </c>
      <c r="I202" t="s">
        <v>866</v>
      </c>
      <c r="J202" t="s">
        <v>1746</v>
      </c>
      <c r="K202" t="s">
        <v>1752</v>
      </c>
      <c r="N202">
        <v>999</v>
      </c>
      <c r="Q202">
        <v>16</v>
      </c>
      <c r="R202" t="s">
        <v>507</v>
      </c>
    </row>
    <row r="203" spans="1:18" x14ac:dyDescent="0.2">
      <c r="A203" t="str">
        <f ca="1">表_网址[[#This Row],[1级]]&amp;"-"&amp;表_网址[[#This Row],[2级]]&amp;"-"&amp;表_网址[[#This Row],[3级]]&amp;"-"&amp;表_网址[[#This Row],[级内]]</f>
        <v>5003-10-10-106</v>
      </c>
      <c r="B203">
        <f ca="1">MATCH(表_网址[[#This Row],[版层分类]],序列_版层分类,0)*1000+MATCH(表_网址[[#This Row],[首要关键词]],序列_首要关键词,0)</f>
        <v>5003</v>
      </c>
      <c r="C203">
        <f>IF(表_网址[[#This Row],[次要关键词]]="",10,MATCH(表_网址[[#This Row],[次要关键词]],序列_次要关键词,0)+10)</f>
        <v>10</v>
      </c>
      <c r="D203">
        <f>IF(表_网址[[#This Row],[重点关键词]]="",10,MATCH(表_网址[[#This Row],[重点关键词]],序列_重点关键词,0)+10)</f>
        <v>10</v>
      </c>
      <c r="E203">
        <f>IF(AND(表_网址[[#This Row],[首要关键词]]=K202,表_网址[[#This Row],[次要关键词]]=L202,表_网址[[#This Row],[重点关键词]]=M202),E202+1,IF(表_网址[[#This Row],[重点关键词]]="",100,101))</f>
        <v>106</v>
      </c>
      <c r="F203" t="s">
        <v>867</v>
      </c>
      <c r="G203" t="s">
        <v>868</v>
      </c>
      <c r="H203" t="s">
        <v>29</v>
      </c>
      <c r="I203" t="s">
        <v>869</v>
      </c>
      <c r="J203" t="s">
        <v>1746</v>
      </c>
      <c r="K203" t="s">
        <v>1752</v>
      </c>
      <c r="N203">
        <v>999</v>
      </c>
      <c r="O203">
        <v>999</v>
      </c>
      <c r="Q203">
        <v>16</v>
      </c>
      <c r="R203" t="s">
        <v>507</v>
      </c>
    </row>
    <row r="204" spans="1:18" x14ac:dyDescent="0.2">
      <c r="A204" t="str">
        <f ca="1">表_网址[[#This Row],[1级]]&amp;"-"&amp;表_网址[[#This Row],[2级]]&amp;"-"&amp;表_网址[[#This Row],[3级]]&amp;"-"&amp;表_网址[[#This Row],[级内]]</f>
        <v>5003-10-10-107</v>
      </c>
      <c r="B204">
        <f ca="1">MATCH(表_网址[[#This Row],[版层分类]],序列_版层分类,0)*1000+MATCH(表_网址[[#This Row],[首要关键词]],序列_首要关键词,0)</f>
        <v>5003</v>
      </c>
      <c r="C204">
        <f>IF(表_网址[[#This Row],[次要关键词]]="",10,MATCH(表_网址[[#This Row],[次要关键词]],序列_次要关键词,0)+10)</f>
        <v>10</v>
      </c>
      <c r="D204">
        <f>IF(表_网址[[#This Row],[重点关键词]]="",10,MATCH(表_网址[[#This Row],[重点关键词]],序列_重点关键词,0)+10)</f>
        <v>10</v>
      </c>
      <c r="E204">
        <f>IF(AND(表_网址[[#This Row],[首要关键词]]=K203,表_网址[[#This Row],[次要关键词]]=L203,表_网址[[#This Row],[重点关键词]]=M203),E203+1,IF(表_网址[[#This Row],[重点关键词]]="",100,101))</f>
        <v>107</v>
      </c>
      <c r="F204" t="s">
        <v>870</v>
      </c>
      <c r="G204" t="s">
        <v>871</v>
      </c>
      <c r="H204" t="s">
        <v>29</v>
      </c>
      <c r="I204" t="s">
        <v>872</v>
      </c>
      <c r="J204" t="s">
        <v>1746</v>
      </c>
      <c r="K204" t="s">
        <v>1752</v>
      </c>
      <c r="N204">
        <v>999</v>
      </c>
      <c r="O204">
        <v>999</v>
      </c>
      <c r="Q204">
        <v>16</v>
      </c>
      <c r="R204" t="s">
        <v>507</v>
      </c>
    </row>
    <row r="205" spans="1:18" x14ac:dyDescent="0.2">
      <c r="A205" t="str">
        <f ca="1">表_网址[[#This Row],[1级]]&amp;"-"&amp;表_网址[[#This Row],[2级]]&amp;"-"&amp;表_网址[[#This Row],[3级]]&amp;"-"&amp;表_网址[[#This Row],[级内]]</f>
        <v>5003-10-10-108</v>
      </c>
      <c r="B205">
        <f ca="1">MATCH(表_网址[[#This Row],[版层分类]],序列_版层分类,0)*1000+MATCH(表_网址[[#This Row],[首要关键词]],序列_首要关键词,0)</f>
        <v>5003</v>
      </c>
      <c r="C205">
        <f>IF(表_网址[[#This Row],[次要关键词]]="",10,MATCH(表_网址[[#This Row],[次要关键词]],序列_次要关键词,0)+10)</f>
        <v>10</v>
      </c>
      <c r="D205">
        <f>IF(表_网址[[#This Row],[重点关键词]]="",10,MATCH(表_网址[[#This Row],[重点关键词]],序列_重点关键词,0)+10)</f>
        <v>10</v>
      </c>
      <c r="E205">
        <f>IF(AND(表_网址[[#This Row],[首要关键词]]=K204,表_网址[[#This Row],[次要关键词]]=L204,表_网址[[#This Row],[重点关键词]]=M204),E204+1,IF(表_网址[[#This Row],[重点关键词]]="",100,101))</f>
        <v>108</v>
      </c>
      <c r="F205" t="s">
        <v>873</v>
      </c>
      <c r="G205" t="s">
        <v>874</v>
      </c>
      <c r="H205" t="s">
        <v>29</v>
      </c>
      <c r="I205" t="s">
        <v>875</v>
      </c>
      <c r="J205" t="s">
        <v>1746</v>
      </c>
      <c r="K205" t="s">
        <v>1752</v>
      </c>
      <c r="N205">
        <v>999</v>
      </c>
      <c r="O205">
        <v>999</v>
      </c>
      <c r="Q205">
        <v>32</v>
      </c>
      <c r="R205" t="s">
        <v>507</v>
      </c>
    </row>
    <row r="206" spans="1:18" x14ac:dyDescent="0.2">
      <c r="A206" t="str">
        <f ca="1">表_网址[[#This Row],[1级]]&amp;"-"&amp;表_网址[[#This Row],[2级]]&amp;"-"&amp;表_网址[[#This Row],[3级]]&amp;"-"&amp;表_网址[[#This Row],[级内]]</f>
        <v>5003-10-10-109</v>
      </c>
      <c r="B206">
        <f ca="1">MATCH(表_网址[[#This Row],[版层分类]],序列_版层分类,0)*1000+MATCH(表_网址[[#This Row],[首要关键词]],序列_首要关键词,0)</f>
        <v>5003</v>
      </c>
      <c r="C206">
        <f>IF(表_网址[[#This Row],[次要关键词]]="",10,MATCH(表_网址[[#This Row],[次要关键词]],序列_次要关键词,0)+10)</f>
        <v>10</v>
      </c>
      <c r="D206">
        <f>IF(表_网址[[#This Row],[重点关键词]]="",10,MATCH(表_网址[[#This Row],[重点关键词]],序列_重点关键词,0)+10)</f>
        <v>10</v>
      </c>
      <c r="E206">
        <f>IF(AND(表_网址[[#This Row],[首要关键词]]=K205,表_网址[[#This Row],[次要关键词]]=L205,表_网址[[#This Row],[重点关键词]]=M205),E205+1,IF(表_网址[[#This Row],[重点关键词]]="",100,101))</f>
        <v>109</v>
      </c>
      <c r="F206" t="s">
        <v>876</v>
      </c>
      <c r="G206" t="s">
        <v>877</v>
      </c>
      <c r="H206" t="s">
        <v>29</v>
      </c>
      <c r="I206" t="s">
        <v>878</v>
      </c>
      <c r="J206" t="s">
        <v>1746</v>
      </c>
      <c r="K206" t="s">
        <v>1752</v>
      </c>
      <c r="N206">
        <v>999</v>
      </c>
      <c r="Q206">
        <v>16</v>
      </c>
      <c r="R206" t="s">
        <v>507</v>
      </c>
    </row>
    <row r="207" spans="1:18" x14ac:dyDescent="0.2">
      <c r="A207" t="str">
        <f ca="1">表_网址[[#This Row],[1级]]&amp;"-"&amp;表_网址[[#This Row],[2级]]&amp;"-"&amp;表_网址[[#This Row],[3级]]&amp;"-"&amp;表_网址[[#This Row],[级内]]</f>
        <v>5003-10-10-110</v>
      </c>
      <c r="B207">
        <f ca="1">MATCH(表_网址[[#This Row],[版层分类]],序列_版层分类,0)*1000+MATCH(表_网址[[#This Row],[首要关键词]],序列_首要关键词,0)</f>
        <v>5003</v>
      </c>
      <c r="C207">
        <f>IF(表_网址[[#This Row],[次要关键词]]="",10,MATCH(表_网址[[#This Row],[次要关键词]],序列_次要关键词,0)+10)</f>
        <v>10</v>
      </c>
      <c r="D207">
        <f>IF(表_网址[[#This Row],[重点关键词]]="",10,MATCH(表_网址[[#This Row],[重点关键词]],序列_重点关键词,0)+10)</f>
        <v>10</v>
      </c>
      <c r="E207">
        <f>IF(AND(表_网址[[#This Row],[首要关键词]]=K206,表_网址[[#This Row],[次要关键词]]=L206,表_网址[[#This Row],[重点关键词]]=M206),E206+1,IF(表_网址[[#This Row],[重点关键词]]="",100,101))</f>
        <v>110</v>
      </c>
      <c r="F207" t="s">
        <v>879</v>
      </c>
      <c r="G207" t="s">
        <v>880</v>
      </c>
      <c r="H207" t="s">
        <v>29</v>
      </c>
      <c r="I207" t="s">
        <v>881</v>
      </c>
      <c r="J207" t="s">
        <v>1746</v>
      </c>
      <c r="K207" t="s">
        <v>1752</v>
      </c>
      <c r="N207">
        <v>999</v>
      </c>
      <c r="O207">
        <v>999</v>
      </c>
      <c r="R207" t="s">
        <v>507</v>
      </c>
    </row>
    <row r="208" spans="1:18" x14ac:dyDescent="0.2">
      <c r="A208" t="str">
        <f ca="1">表_网址[[#This Row],[1级]]&amp;"-"&amp;表_网址[[#This Row],[2级]]&amp;"-"&amp;表_网址[[#This Row],[3级]]&amp;"-"&amp;表_网址[[#This Row],[级内]]</f>
        <v>6001-10-10-100</v>
      </c>
      <c r="B208">
        <f ca="1">MATCH(表_网址[[#This Row],[版层分类]],序列_版层分类,0)*1000+MATCH(表_网址[[#This Row],[首要关键词]],序列_首要关键词,0)</f>
        <v>6001</v>
      </c>
      <c r="C208">
        <f>IF(表_网址[[#This Row],[次要关键词]]="",10,MATCH(表_网址[[#This Row],[次要关键词]],序列_次要关键词,0)+10)</f>
        <v>10</v>
      </c>
      <c r="D208">
        <f>IF(表_网址[[#This Row],[重点关键词]]="",10,MATCH(表_网址[[#This Row],[重点关键词]],序列_重点关键词,0)+10)</f>
        <v>10</v>
      </c>
      <c r="E208">
        <f>IF(AND(表_网址[[#This Row],[首要关键词]]=K207,表_网址[[#This Row],[次要关键词]]=L207,表_网址[[#This Row],[重点关键词]]=M207),E207+1,IF(表_网址[[#This Row],[重点关键词]]="",100,101))</f>
        <v>100</v>
      </c>
      <c r="F208" t="s">
        <v>1084</v>
      </c>
      <c r="G208" t="s">
        <v>1085</v>
      </c>
      <c r="H208" t="s">
        <v>29</v>
      </c>
      <c r="I208" t="s">
        <v>1086</v>
      </c>
      <c r="J208" t="s">
        <v>734</v>
      </c>
      <c r="K208" t="s">
        <v>1087</v>
      </c>
      <c r="N208">
        <v>999</v>
      </c>
      <c r="O208">
        <v>999</v>
      </c>
      <c r="Q208" t="s">
        <v>1088</v>
      </c>
    </row>
    <row r="209" spans="1:19" x14ac:dyDescent="0.2">
      <c r="A209" t="str">
        <f ca="1">表_网址[[#This Row],[1级]]&amp;"-"&amp;表_网址[[#This Row],[2级]]&amp;"-"&amp;表_网址[[#This Row],[3级]]&amp;"-"&amp;表_网址[[#This Row],[级内]]</f>
        <v>6001-10-10-101</v>
      </c>
      <c r="B209">
        <f ca="1">MATCH(表_网址[[#This Row],[版层分类]],序列_版层分类,0)*1000+MATCH(表_网址[[#This Row],[首要关键词]],序列_首要关键词,0)</f>
        <v>6001</v>
      </c>
      <c r="C209">
        <f>IF(表_网址[[#This Row],[次要关键词]]="",10,MATCH(表_网址[[#This Row],[次要关键词]],序列_次要关键词,0)+10)</f>
        <v>10</v>
      </c>
      <c r="D209">
        <f>IF(表_网址[[#This Row],[重点关键词]]="",10,MATCH(表_网址[[#This Row],[重点关键词]],序列_重点关键词,0)+10)</f>
        <v>10</v>
      </c>
      <c r="E209">
        <f>IF(AND(表_网址[[#This Row],[首要关键词]]=K208,表_网址[[#This Row],[次要关键词]]=L208,表_网址[[#This Row],[重点关键词]]=M208),E208+1,IF(表_网址[[#This Row],[重点关键词]]="",100,101))</f>
        <v>101</v>
      </c>
      <c r="F209" t="s">
        <v>1089</v>
      </c>
      <c r="G209" t="s">
        <v>1090</v>
      </c>
      <c r="H209" t="s">
        <v>29</v>
      </c>
      <c r="I209" t="s">
        <v>1091</v>
      </c>
      <c r="J209" t="s">
        <v>734</v>
      </c>
      <c r="K209" t="s">
        <v>1087</v>
      </c>
      <c r="N209">
        <v>999</v>
      </c>
      <c r="O209">
        <v>999</v>
      </c>
      <c r="Q209">
        <v>16</v>
      </c>
      <c r="R209" t="s">
        <v>507</v>
      </c>
      <c r="S209" t="s">
        <v>508</v>
      </c>
    </row>
    <row r="210" spans="1:19" x14ac:dyDescent="0.2">
      <c r="A210" t="str">
        <f ca="1">表_网址[[#This Row],[1级]]&amp;"-"&amp;表_网址[[#This Row],[2级]]&amp;"-"&amp;表_网址[[#This Row],[3级]]&amp;"-"&amp;表_网址[[#This Row],[级内]]</f>
        <v>6001-10-10-102</v>
      </c>
      <c r="B210">
        <f ca="1">MATCH(表_网址[[#This Row],[版层分类]],序列_版层分类,0)*1000+MATCH(表_网址[[#This Row],[首要关键词]],序列_首要关键词,0)</f>
        <v>6001</v>
      </c>
      <c r="C210">
        <f>IF(表_网址[[#This Row],[次要关键词]]="",10,MATCH(表_网址[[#This Row],[次要关键词]],序列_次要关键词,0)+10)</f>
        <v>10</v>
      </c>
      <c r="D210">
        <f>IF(表_网址[[#This Row],[重点关键词]]="",10,MATCH(表_网址[[#This Row],[重点关键词]],序列_重点关键词,0)+10)</f>
        <v>10</v>
      </c>
      <c r="E210">
        <f>IF(AND(表_网址[[#This Row],[首要关键词]]=K209,表_网址[[#This Row],[次要关键词]]=L209,表_网址[[#This Row],[重点关键词]]=M209),E209+1,IF(表_网址[[#This Row],[重点关键词]]="",100,101))</f>
        <v>102</v>
      </c>
      <c r="F210" t="s">
        <v>1092</v>
      </c>
      <c r="G210" t="s">
        <v>1093</v>
      </c>
      <c r="H210" t="s">
        <v>29</v>
      </c>
      <c r="I210" t="s">
        <v>1094</v>
      </c>
      <c r="J210" t="s">
        <v>734</v>
      </c>
      <c r="K210" t="s">
        <v>1087</v>
      </c>
      <c r="N210">
        <v>999</v>
      </c>
      <c r="O210">
        <v>999</v>
      </c>
      <c r="Q210">
        <v>48</v>
      </c>
      <c r="R210" t="s">
        <v>507</v>
      </c>
      <c r="S210" t="s">
        <v>508</v>
      </c>
    </row>
    <row r="211" spans="1:19" x14ac:dyDescent="0.2">
      <c r="A211" t="str">
        <f ca="1">表_网址[[#This Row],[1级]]&amp;"-"&amp;表_网址[[#This Row],[2级]]&amp;"-"&amp;表_网址[[#This Row],[3级]]&amp;"-"&amp;表_网址[[#This Row],[级内]]</f>
        <v>6001-10-10-103</v>
      </c>
      <c r="B211">
        <f ca="1">MATCH(表_网址[[#This Row],[版层分类]],序列_版层分类,0)*1000+MATCH(表_网址[[#This Row],[首要关键词]],序列_首要关键词,0)</f>
        <v>6001</v>
      </c>
      <c r="C211">
        <f>IF(表_网址[[#This Row],[次要关键词]]="",10,MATCH(表_网址[[#This Row],[次要关键词]],序列_次要关键词,0)+10)</f>
        <v>10</v>
      </c>
      <c r="D211">
        <f>IF(表_网址[[#This Row],[重点关键词]]="",10,MATCH(表_网址[[#This Row],[重点关键词]],序列_重点关键词,0)+10)</f>
        <v>10</v>
      </c>
      <c r="E211">
        <f>IF(AND(表_网址[[#This Row],[首要关键词]]=K210,表_网址[[#This Row],[次要关键词]]=L210,表_网址[[#This Row],[重点关键词]]=M210),E210+1,IF(表_网址[[#This Row],[重点关键词]]="",100,101))</f>
        <v>103</v>
      </c>
      <c r="F211" t="s">
        <v>1095</v>
      </c>
      <c r="G211" t="s">
        <v>1096</v>
      </c>
      <c r="H211" t="s">
        <v>29</v>
      </c>
      <c r="I211" t="s">
        <v>1097</v>
      </c>
      <c r="J211" t="s">
        <v>734</v>
      </c>
      <c r="K211" t="s">
        <v>1087</v>
      </c>
      <c r="N211">
        <v>999</v>
      </c>
      <c r="O211">
        <v>999</v>
      </c>
      <c r="Q211">
        <v>16</v>
      </c>
      <c r="R211" t="s">
        <v>507</v>
      </c>
      <c r="S211" t="s">
        <v>508</v>
      </c>
    </row>
    <row r="212" spans="1:19" x14ac:dyDescent="0.2">
      <c r="A212" t="str">
        <f ca="1">表_网址[[#This Row],[1级]]&amp;"-"&amp;表_网址[[#This Row],[2级]]&amp;"-"&amp;表_网址[[#This Row],[3级]]&amp;"-"&amp;表_网址[[#This Row],[级内]]</f>
        <v>6001-10-10-104</v>
      </c>
      <c r="B212">
        <f ca="1">MATCH(表_网址[[#This Row],[版层分类]],序列_版层分类,0)*1000+MATCH(表_网址[[#This Row],[首要关键词]],序列_首要关键词,0)</f>
        <v>6001</v>
      </c>
      <c r="C212">
        <f>IF(表_网址[[#This Row],[次要关键词]]="",10,MATCH(表_网址[[#This Row],[次要关键词]],序列_次要关键词,0)+10)</f>
        <v>10</v>
      </c>
      <c r="D212">
        <f>IF(表_网址[[#This Row],[重点关键词]]="",10,MATCH(表_网址[[#This Row],[重点关键词]],序列_重点关键词,0)+10)</f>
        <v>10</v>
      </c>
      <c r="E212">
        <f>IF(AND(表_网址[[#This Row],[首要关键词]]=K211,表_网址[[#This Row],[次要关键词]]=L211,表_网址[[#This Row],[重点关键词]]=M211),E211+1,IF(表_网址[[#This Row],[重点关键词]]="",100,101))</f>
        <v>104</v>
      </c>
      <c r="F212" t="s">
        <v>1098</v>
      </c>
      <c r="G212" t="s">
        <v>1099</v>
      </c>
      <c r="H212" t="s">
        <v>29</v>
      </c>
      <c r="I212" t="s">
        <v>1100</v>
      </c>
      <c r="J212" t="s">
        <v>734</v>
      </c>
      <c r="K212" t="s">
        <v>1087</v>
      </c>
      <c r="N212">
        <v>999</v>
      </c>
      <c r="O212">
        <v>999</v>
      </c>
      <c r="Q212">
        <v>48</v>
      </c>
      <c r="R212" t="s">
        <v>507</v>
      </c>
      <c r="S212" t="s">
        <v>508</v>
      </c>
    </row>
    <row r="213" spans="1:19" x14ac:dyDescent="0.2">
      <c r="A213" t="str">
        <f ca="1">表_网址[[#This Row],[1级]]&amp;"-"&amp;表_网址[[#This Row],[2级]]&amp;"-"&amp;表_网址[[#This Row],[3级]]&amp;"-"&amp;表_网址[[#This Row],[级内]]</f>
        <v>6001-10-10-105</v>
      </c>
      <c r="B213">
        <f ca="1">MATCH(表_网址[[#This Row],[版层分类]],序列_版层分类,0)*1000+MATCH(表_网址[[#This Row],[首要关键词]],序列_首要关键词,0)</f>
        <v>6001</v>
      </c>
      <c r="C213">
        <f>IF(表_网址[[#This Row],[次要关键词]]="",10,MATCH(表_网址[[#This Row],[次要关键词]],序列_次要关键词,0)+10)</f>
        <v>10</v>
      </c>
      <c r="D213">
        <f>IF(表_网址[[#This Row],[重点关键词]]="",10,MATCH(表_网址[[#This Row],[重点关键词]],序列_重点关键词,0)+10)</f>
        <v>10</v>
      </c>
      <c r="E213">
        <f>IF(AND(表_网址[[#This Row],[首要关键词]]=K212,表_网址[[#This Row],[次要关键词]]=L212,表_网址[[#This Row],[重点关键词]]=M212),E212+1,IF(表_网址[[#This Row],[重点关键词]]="",100,101))</f>
        <v>105</v>
      </c>
      <c r="F213" t="s">
        <v>1101</v>
      </c>
      <c r="G213" t="s">
        <v>1102</v>
      </c>
      <c r="I213" t="s">
        <v>1103</v>
      </c>
      <c r="J213" t="s">
        <v>734</v>
      </c>
      <c r="K213" t="s">
        <v>1087</v>
      </c>
      <c r="N213">
        <v>999</v>
      </c>
      <c r="O213">
        <v>999</v>
      </c>
      <c r="Q213">
        <v>16</v>
      </c>
      <c r="R213" t="s">
        <v>507</v>
      </c>
      <c r="S213" t="s">
        <v>508</v>
      </c>
    </row>
    <row r="214" spans="1:19" x14ac:dyDescent="0.2">
      <c r="A214" t="str">
        <f ca="1">表_网址[[#This Row],[1级]]&amp;"-"&amp;表_网址[[#This Row],[2级]]&amp;"-"&amp;表_网址[[#This Row],[3级]]&amp;"-"&amp;表_网址[[#This Row],[级内]]</f>
        <v>6001-10-10-106</v>
      </c>
      <c r="B214">
        <f ca="1">MATCH(表_网址[[#This Row],[版层分类]],序列_版层分类,0)*1000+MATCH(表_网址[[#This Row],[首要关键词]],序列_首要关键词,0)</f>
        <v>6001</v>
      </c>
      <c r="C214">
        <f>IF(表_网址[[#This Row],[次要关键词]]="",10,MATCH(表_网址[[#This Row],[次要关键词]],序列_次要关键词,0)+10)</f>
        <v>10</v>
      </c>
      <c r="D214">
        <f>IF(表_网址[[#This Row],[重点关键词]]="",10,MATCH(表_网址[[#This Row],[重点关键词]],序列_重点关键词,0)+10)</f>
        <v>10</v>
      </c>
      <c r="E214">
        <f>IF(AND(表_网址[[#This Row],[首要关键词]]=K213,表_网址[[#This Row],[次要关键词]]=L213,表_网址[[#This Row],[重点关键词]]=M213),E213+1,IF(表_网址[[#This Row],[重点关键词]]="",100,101))</f>
        <v>106</v>
      </c>
      <c r="F214">
        <v>1688</v>
      </c>
      <c r="G214" t="s">
        <v>1104</v>
      </c>
      <c r="I214" t="s">
        <v>1105</v>
      </c>
      <c r="J214" t="s">
        <v>734</v>
      </c>
      <c r="K214" t="s">
        <v>1087</v>
      </c>
      <c r="N214">
        <v>999</v>
      </c>
      <c r="O214">
        <v>999</v>
      </c>
      <c r="Q214">
        <v>16</v>
      </c>
      <c r="R214" t="s">
        <v>507</v>
      </c>
      <c r="S214" t="s">
        <v>508</v>
      </c>
    </row>
    <row r="215" spans="1:19" x14ac:dyDescent="0.2">
      <c r="A215" t="str">
        <f ca="1">表_网址[[#This Row],[1级]]&amp;"-"&amp;表_网址[[#This Row],[2级]]&amp;"-"&amp;表_网址[[#This Row],[3级]]&amp;"-"&amp;表_网址[[#This Row],[级内]]</f>
        <v>6001-10-10-107</v>
      </c>
      <c r="B215">
        <f ca="1">MATCH(表_网址[[#This Row],[版层分类]],序列_版层分类,0)*1000+MATCH(表_网址[[#This Row],[首要关键词]],序列_首要关键词,0)</f>
        <v>6001</v>
      </c>
      <c r="C215">
        <f>IF(表_网址[[#This Row],[次要关键词]]="",10,MATCH(表_网址[[#This Row],[次要关键词]],序列_次要关键词,0)+10)</f>
        <v>10</v>
      </c>
      <c r="D215">
        <f>IF(表_网址[[#This Row],[重点关键词]]="",10,MATCH(表_网址[[#This Row],[重点关键词]],序列_重点关键词,0)+10)</f>
        <v>10</v>
      </c>
      <c r="E215">
        <f>IF(AND(表_网址[[#This Row],[首要关键词]]=K214,表_网址[[#This Row],[次要关键词]]=L214,表_网址[[#This Row],[重点关键词]]=M214),E214+1,IF(表_网址[[#This Row],[重点关键词]]="",100,101))</f>
        <v>107</v>
      </c>
      <c r="F215" t="s">
        <v>1106</v>
      </c>
      <c r="G215" t="s">
        <v>1107</v>
      </c>
      <c r="I215" t="s">
        <v>1108</v>
      </c>
      <c r="J215" t="s">
        <v>734</v>
      </c>
      <c r="K215" t="s">
        <v>1087</v>
      </c>
      <c r="N215">
        <v>999</v>
      </c>
      <c r="O215">
        <v>999</v>
      </c>
      <c r="Q215">
        <v>16</v>
      </c>
      <c r="R215" t="s">
        <v>507</v>
      </c>
      <c r="S215" t="s">
        <v>508</v>
      </c>
    </row>
    <row r="216" spans="1:19" x14ac:dyDescent="0.2">
      <c r="A216" t="str">
        <f ca="1">表_网址[[#This Row],[1级]]&amp;"-"&amp;表_网址[[#This Row],[2级]]&amp;"-"&amp;表_网址[[#This Row],[3级]]&amp;"-"&amp;表_网址[[#This Row],[级内]]</f>
        <v>6001-10-10-108</v>
      </c>
      <c r="B216">
        <f ca="1">MATCH(表_网址[[#This Row],[版层分类]],序列_版层分类,0)*1000+MATCH(表_网址[[#This Row],[首要关键词]],序列_首要关键词,0)</f>
        <v>6001</v>
      </c>
      <c r="C216">
        <f>IF(表_网址[[#This Row],[次要关键词]]="",10,MATCH(表_网址[[#This Row],[次要关键词]],序列_次要关键词,0)+10)</f>
        <v>10</v>
      </c>
      <c r="D216">
        <f>IF(表_网址[[#This Row],[重点关键词]]="",10,MATCH(表_网址[[#This Row],[重点关键词]],序列_重点关键词,0)+10)</f>
        <v>10</v>
      </c>
      <c r="E216">
        <f>IF(AND(表_网址[[#This Row],[首要关键词]]=K215,表_网址[[#This Row],[次要关键词]]=L215,表_网址[[#This Row],[重点关键词]]=M215),E215+1,IF(表_网址[[#This Row],[重点关键词]]="",100,101))</f>
        <v>108</v>
      </c>
      <c r="F216" t="s">
        <v>1109</v>
      </c>
      <c r="G216" t="s">
        <v>1110</v>
      </c>
      <c r="I216" t="s">
        <v>1111</v>
      </c>
      <c r="J216" t="s">
        <v>734</v>
      </c>
      <c r="K216" t="s">
        <v>1087</v>
      </c>
      <c r="N216">
        <v>999</v>
      </c>
      <c r="O216">
        <v>999</v>
      </c>
      <c r="Q216">
        <v>16</v>
      </c>
      <c r="R216" t="s">
        <v>507</v>
      </c>
      <c r="S216" t="s">
        <v>508</v>
      </c>
    </row>
    <row r="217" spans="1:19" x14ac:dyDescent="0.2">
      <c r="A217" t="str">
        <f ca="1">表_网址[[#This Row],[1级]]&amp;"-"&amp;表_网址[[#This Row],[2级]]&amp;"-"&amp;表_网址[[#This Row],[3级]]&amp;"-"&amp;表_网址[[#This Row],[级内]]</f>
        <v>6001-10-10-109</v>
      </c>
      <c r="B217">
        <f ca="1">MATCH(表_网址[[#This Row],[版层分类]],序列_版层分类,0)*1000+MATCH(表_网址[[#This Row],[首要关键词]],序列_首要关键词,0)</f>
        <v>6001</v>
      </c>
      <c r="C217">
        <f>IF(表_网址[[#This Row],[次要关键词]]="",10,MATCH(表_网址[[#This Row],[次要关键词]],序列_次要关键词,0)+10)</f>
        <v>10</v>
      </c>
      <c r="D217">
        <f>IF(表_网址[[#This Row],[重点关键词]]="",10,MATCH(表_网址[[#This Row],[重点关键词]],序列_重点关键词,0)+10)</f>
        <v>10</v>
      </c>
      <c r="E217">
        <f>IF(AND(表_网址[[#This Row],[首要关键词]]=K216,表_网址[[#This Row],[次要关键词]]=L216,表_网址[[#This Row],[重点关键词]]=M216),E216+1,IF(表_网址[[#This Row],[重点关键词]]="",100,101))</f>
        <v>109</v>
      </c>
      <c r="F217" t="s">
        <v>1112</v>
      </c>
      <c r="G217" t="s">
        <v>1113</v>
      </c>
      <c r="I217" t="s">
        <v>1114</v>
      </c>
      <c r="J217" t="s">
        <v>734</v>
      </c>
      <c r="K217" t="s">
        <v>1087</v>
      </c>
      <c r="N217">
        <v>999</v>
      </c>
      <c r="O217">
        <v>999</v>
      </c>
      <c r="Q217">
        <v>16</v>
      </c>
      <c r="R217" t="s">
        <v>507</v>
      </c>
      <c r="S217" t="s">
        <v>508</v>
      </c>
    </row>
    <row r="218" spans="1:19" x14ac:dyDescent="0.2">
      <c r="A218" t="str">
        <f ca="1">表_网址[[#This Row],[1级]]&amp;"-"&amp;表_网址[[#This Row],[2级]]&amp;"-"&amp;表_网址[[#This Row],[3级]]&amp;"-"&amp;表_网址[[#This Row],[级内]]</f>
        <v>6001-10-10-110</v>
      </c>
      <c r="B218">
        <f ca="1">MATCH(表_网址[[#This Row],[版层分类]],序列_版层分类,0)*1000+MATCH(表_网址[[#This Row],[首要关键词]],序列_首要关键词,0)</f>
        <v>6001</v>
      </c>
      <c r="C218">
        <f>IF(表_网址[[#This Row],[次要关键词]]="",10,MATCH(表_网址[[#This Row],[次要关键词]],序列_次要关键词,0)+10)</f>
        <v>10</v>
      </c>
      <c r="D218">
        <f>IF(表_网址[[#This Row],[重点关键词]]="",10,MATCH(表_网址[[#This Row],[重点关键词]],序列_重点关键词,0)+10)</f>
        <v>10</v>
      </c>
      <c r="E218">
        <f>IF(AND(表_网址[[#This Row],[首要关键词]]=K217,表_网址[[#This Row],[次要关键词]]=L217,表_网址[[#This Row],[重点关键词]]=M217),E217+1,IF(表_网址[[#This Row],[重点关键词]]="",100,101))</f>
        <v>110</v>
      </c>
      <c r="F218" t="s">
        <v>1115</v>
      </c>
      <c r="G218" t="s">
        <v>1116</v>
      </c>
      <c r="I218" t="s">
        <v>1117</v>
      </c>
      <c r="J218" t="s">
        <v>734</v>
      </c>
      <c r="K218" t="s">
        <v>1087</v>
      </c>
      <c r="N218">
        <v>999</v>
      </c>
      <c r="O218">
        <v>999</v>
      </c>
      <c r="Q218">
        <v>48</v>
      </c>
      <c r="R218" t="s">
        <v>507</v>
      </c>
      <c r="S218" t="s">
        <v>508</v>
      </c>
    </row>
    <row r="219" spans="1:19" x14ac:dyDescent="0.2">
      <c r="A219" t="str">
        <f ca="1">表_网址[[#This Row],[1级]]&amp;"-"&amp;表_网址[[#This Row],[2级]]&amp;"-"&amp;表_网址[[#This Row],[3级]]&amp;"-"&amp;表_网址[[#This Row],[级内]]</f>
        <v>6002-10-10-100</v>
      </c>
      <c r="B219">
        <f ca="1">MATCH(表_网址[[#This Row],[版层分类]],序列_版层分类,0)*1000+MATCH(表_网址[[#This Row],[首要关键词]],序列_首要关键词,0)</f>
        <v>6002</v>
      </c>
      <c r="C219">
        <f>IF(表_网址[[#This Row],[次要关键词]]="",10,MATCH(表_网址[[#This Row],[次要关键词]],序列_次要关键词,0)+10)</f>
        <v>10</v>
      </c>
      <c r="D219">
        <f>IF(表_网址[[#This Row],[重点关键词]]="",10,MATCH(表_网址[[#This Row],[重点关键词]],序列_重点关键词,0)+10)</f>
        <v>10</v>
      </c>
      <c r="E219">
        <f>IF(AND(表_网址[[#This Row],[首要关键词]]=K218,表_网址[[#This Row],[次要关键词]]=L218,表_网址[[#This Row],[重点关键词]]=M218),E218+1,IF(表_网址[[#This Row],[重点关键词]]="",100,101))</f>
        <v>100</v>
      </c>
      <c r="F219" t="s">
        <v>1142</v>
      </c>
      <c r="G219" t="s">
        <v>1143</v>
      </c>
      <c r="H219" t="s">
        <v>29</v>
      </c>
      <c r="I219" t="s">
        <v>1144</v>
      </c>
      <c r="J219" t="s">
        <v>734</v>
      </c>
      <c r="K219" t="s">
        <v>556</v>
      </c>
      <c r="N219">
        <v>999</v>
      </c>
      <c r="O219">
        <v>999</v>
      </c>
      <c r="Q219">
        <v>32</v>
      </c>
      <c r="R219" t="s">
        <v>507</v>
      </c>
    </row>
    <row r="220" spans="1:19" x14ac:dyDescent="0.2">
      <c r="A220" t="str">
        <f ca="1">表_网址[[#This Row],[1级]]&amp;"-"&amp;表_网址[[#This Row],[2级]]&amp;"-"&amp;表_网址[[#This Row],[3级]]&amp;"-"&amp;表_网址[[#This Row],[级内]]</f>
        <v>6002-11-10-100</v>
      </c>
      <c r="B220">
        <f ca="1">MATCH(表_网址[[#This Row],[版层分类]],序列_版层分类,0)*1000+MATCH(表_网址[[#This Row],[首要关键词]],序列_首要关键词,0)</f>
        <v>6002</v>
      </c>
      <c r="C220">
        <f ca="1">IF(表_网址[[#This Row],[次要关键词]]="",10,MATCH(表_网址[[#This Row],[次要关键词]],序列_次要关键词,0)+10)</f>
        <v>11</v>
      </c>
      <c r="D220">
        <f>IF(表_网址[[#This Row],[重点关键词]]="",10,MATCH(表_网址[[#This Row],[重点关键词]],序列_重点关键词,0)+10)</f>
        <v>10</v>
      </c>
      <c r="E220">
        <f>IF(AND(表_网址[[#This Row],[首要关键词]]=K219,表_网址[[#This Row],[次要关键词]]=L219,表_网址[[#This Row],[重点关键词]]=M219),E219+1,IF(表_网址[[#This Row],[重点关键词]]="",100,101))</f>
        <v>100</v>
      </c>
      <c r="F220" t="s">
        <v>1145</v>
      </c>
      <c r="G220" t="s">
        <v>1146</v>
      </c>
      <c r="H220" t="s">
        <v>29</v>
      </c>
      <c r="I220" t="s">
        <v>1147</v>
      </c>
      <c r="J220" t="s">
        <v>734</v>
      </c>
      <c r="K220" t="s">
        <v>556</v>
      </c>
      <c r="L220" t="s">
        <v>1148</v>
      </c>
      <c r="N220">
        <v>999</v>
      </c>
      <c r="O220">
        <v>999</v>
      </c>
      <c r="Q220">
        <v>32</v>
      </c>
      <c r="R220" t="s">
        <v>507</v>
      </c>
    </row>
    <row r="221" spans="1:19" x14ac:dyDescent="0.2">
      <c r="A221" t="str">
        <f ca="1">表_网址[[#This Row],[1级]]&amp;"-"&amp;表_网址[[#This Row],[2级]]&amp;"-"&amp;表_网址[[#This Row],[3级]]&amp;"-"&amp;表_网址[[#This Row],[级内]]</f>
        <v>6002-11-10-101</v>
      </c>
      <c r="B221">
        <f ca="1">MATCH(表_网址[[#This Row],[版层分类]],序列_版层分类,0)*1000+MATCH(表_网址[[#This Row],[首要关键词]],序列_首要关键词,0)</f>
        <v>6002</v>
      </c>
      <c r="C221">
        <f ca="1">IF(表_网址[[#This Row],[次要关键词]]="",10,MATCH(表_网址[[#This Row],[次要关键词]],序列_次要关键词,0)+10)</f>
        <v>11</v>
      </c>
      <c r="D221">
        <f>IF(表_网址[[#This Row],[重点关键词]]="",10,MATCH(表_网址[[#This Row],[重点关键词]],序列_重点关键词,0)+10)</f>
        <v>10</v>
      </c>
      <c r="E221">
        <f>IF(AND(表_网址[[#This Row],[首要关键词]]=K220,表_网址[[#This Row],[次要关键词]]=L220,表_网址[[#This Row],[重点关键词]]=M220),E220+1,IF(表_网址[[#This Row],[重点关键词]]="",100,101))</f>
        <v>101</v>
      </c>
      <c r="F221" t="s">
        <v>1149</v>
      </c>
      <c r="G221" t="s">
        <v>1150</v>
      </c>
      <c r="H221" t="s">
        <v>1151</v>
      </c>
      <c r="I221" t="s">
        <v>1152</v>
      </c>
      <c r="J221" t="s">
        <v>734</v>
      </c>
      <c r="K221" t="s">
        <v>556</v>
      </c>
      <c r="L221" t="s">
        <v>1148</v>
      </c>
      <c r="N221">
        <v>999</v>
      </c>
      <c r="O221">
        <v>999</v>
      </c>
      <c r="Q221">
        <v>32</v>
      </c>
    </row>
    <row r="222" spans="1:19" x14ac:dyDescent="0.2">
      <c r="A222" t="str">
        <f ca="1">表_网址[[#This Row],[1级]]&amp;"-"&amp;表_网址[[#This Row],[2级]]&amp;"-"&amp;表_网址[[#This Row],[3级]]&amp;"-"&amp;表_网址[[#This Row],[级内]]</f>
        <v>6002-11-10-102</v>
      </c>
      <c r="B222">
        <f ca="1">MATCH(表_网址[[#This Row],[版层分类]],序列_版层分类,0)*1000+MATCH(表_网址[[#This Row],[首要关键词]],序列_首要关键词,0)</f>
        <v>6002</v>
      </c>
      <c r="C222">
        <f ca="1">IF(表_网址[[#This Row],[次要关键词]]="",10,MATCH(表_网址[[#This Row],[次要关键词]],序列_次要关键词,0)+10)</f>
        <v>11</v>
      </c>
      <c r="D222">
        <f>IF(表_网址[[#This Row],[重点关键词]]="",10,MATCH(表_网址[[#This Row],[重点关键词]],序列_重点关键词,0)+10)</f>
        <v>10</v>
      </c>
      <c r="E222">
        <f>IF(AND(表_网址[[#This Row],[首要关键词]]=K221,表_网址[[#This Row],[次要关键词]]=L221,表_网址[[#This Row],[重点关键词]]=M221),E221+1,IF(表_网址[[#This Row],[重点关键词]]="",100,101))</f>
        <v>102</v>
      </c>
      <c r="F222" t="s">
        <v>1153</v>
      </c>
      <c r="G222" t="s">
        <v>1154</v>
      </c>
      <c r="H222" t="s">
        <v>29</v>
      </c>
      <c r="I222" t="s">
        <v>1155</v>
      </c>
      <c r="J222" t="s">
        <v>734</v>
      </c>
      <c r="K222" t="s">
        <v>556</v>
      </c>
      <c r="L222" t="s">
        <v>1148</v>
      </c>
      <c r="N222">
        <v>999</v>
      </c>
      <c r="O222">
        <v>999</v>
      </c>
      <c r="Q222">
        <v>16</v>
      </c>
      <c r="R222" t="s">
        <v>507</v>
      </c>
    </row>
    <row r="223" spans="1:19" x14ac:dyDescent="0.2">
      <c r="A223" t="str">
        <f ca="1">表_网址[[#This Row],[1级]]&amp;"-"&amp;表_网址[[#This Row],[2级]]&amp;"-"&amp;表_网址[[#This Row],[3级]]&amp;"-"&amp;表_网址[[#This Row],[级内]]</f>
        <v>6002-11-10-103</v>
      </c>
      <c r="B223">
        <f ca="1">MATCH(表_网址[[#This Row],[版层分类]],序列_版层分类,0)*1000+MATCH(表_网址[[#This Row],[首要关键词]],序列_首要关键词,0)</f>
        <v>6002</v>
      </c>
      <c r="C223">
        <f ca="1">IF(表_网址[[#This Row],[次要关键词]]="",10,MATCH(表_网址[[#This Row],[次要关键词]],序列_次要关键词,0)+10)</f>
        <v>11</v>
      </c>
      <c r="D223">
        <f>IF(表_网址[[#This Row],[重点关键词]]="",10,MATCH(表_网址[[#This Row],[重点关键词]],序列_重点关键词,0)+10)</f>
        <v>10</v>
      </c>
      <c r="E223">
        <f>IF(AND(表_网址[[#This Row],[首要关键词]]=K222,表_网址[[#This Row],[次要关键词]]=L222,表_网址[[#This Row],[重点关键词]]=M222),E222+1,IF(表_网址[[#This Row],[重点关键词]]="",100,101))</f>
        <v>103</v>
      </c>
      <c r="F223" t="s">
        <v>1156</v>
      </c>
      <c r="G223" t="s">
        <v>1157</v>
      </c>
      <c r="H223" t="s">
        <v>29</v>
      </c>
      <c r="I223" t="s">
        <v>1158</v>
      </c>
      <c r="J223" t="s">
        <v>734</v>
      </c>
      <c r="K223" t="s">
        <v>556</v>
      </c>
      <c r="L223" t="s">
        <v>1148</v>
      </c>
      <c r="N223">
        <v>999</v>
      </c>
      <c r="O223">
        <v>999</v>
      </c>
      <c r="Q223">
        <v>64</v>
      </c>
      <c r="R223" t="s">
        <v>507</v>
      </c>
    </row>
    <row r="224" spans="1:19" x14ac:dyDescent="0.2">
      <c r="A224" t="str">
        <f ca="1">表_网址[[#This Row],[1级]]&amp;"-"&amp;表_网址[[#This Row],[2级]]&amp;"-"&amp;表_网址[[#This Row],[3级]]&amp;"-"&amp;表_网址[[#This Row],[级内]]</f>
        <v>6002-11-10-104</v>
      </c>
      <c r="B224">
        <f ca="1">MATCH(表_网址[[#This Row],[版层分类]],序列_版层分类,0)*1000+MATCH(表_网址[[#This Row],[首要关键词]],序列_首要关键词,0)</f>
        <v>6002</v>
      </c>
      <c r="C224">
        <f ca="1">IF(表_网址[[#This Row],[次要关键词]]="",10,MATCH(表_网址[[#This Row],[次要关键词]],序列_次要关键词,0)+10)</f>
        <v>11</v>
      </c>
      <c r="D224">
        <f>IF(表_网址[[#This Row],[重点关键词]]="",10,MATCH(表_网址[[#This Row],[重点关键词]],序列_重点关键词,0)+10)</f>
        <v>10</v>
      </c>
      <c r="E224">
        <f>IF(AND(表_网址[[#This Row],[首要关键词]]=K223,表_网址[[#This Row],[次要关键词]]=L223,表_网址[[#This Row],[重点关键词]]=M223),E223+1,IF(表_网址[[#This Row],[重点关键词]]="",100,101))</f>
        <v>104</v>
      </c>
      <c r="F224" t="s">
        <v>1159</v>
      </c>
      <c r="G224" t="s">
        <v>1160</v>
      </c>
      <c r="H224" t="s">
        <v>29</v>
      </c>
      <c r="I224" t="s">
        <v>1161</v>
      </c>
      <c r="J224" t="s">
        <v>734</v>
      </c>
      <c r="K224" t="s">
        <v>556</v>
      </c>
      <c r="L224" t="s">
        <v>1148</v>
      </c>
      <c r="N224">
        <v>999</v>
      </c>
      <c r="O224">
        <v>999</v>
      </c>
      <c r="Q224">
        <v>16</v>
      </c>
      <c r="R224" t="s">
        <v>507</v>
      </c>
    </row>
    <row r="225" spans="1:19" x14ac:dyDescent="0.2">
      <c r="A225" t="str">
        <f ca="1">表_网址[[#This Row],[1级]]&amp;"-"&amp;表_网址[[#This Row],[2级]]&amp;"-"&amp;表_网址[[#This Row],[3级]]&amp;"-"&amp;表_网址[[#This Row],[级内]]</f>
        <v>6002-12-10-100</v>
      </c>
      <c r="B225">
        <f ca="1">MATCH(表_网址[[#This Row],[版层分类]],序列_版层分类,0)*1000+MATCH(表_网址[[#This Row],[首要关键词]],序列_首要关键词,0)</f>
        <v>6002</v>
      </c>
      <c r="C225">
        <f ca="1">IF(表_网址[[#This Row],[次要关键词]]="",10,MATCH(表_网址[[#This Row],[次要关键词]],序列_次要关键词,0)+10)</f>
        <v>12</v>
      </c>
      <c r="D225">
        <f>IF(表_网址[[#This Row],[重点关键词]]="",10,MATCH(表_网址[[#This Row],[重点关键词]],序列_重点关键词,0)+10)</f>
        <v>10</v>
      </c>
      <c r="E225">
        <f>IF(AND(表_网址[[#This Row],[首要关键词]]=K224,表_网址[[#This Row],[次要关键词]]=L224,表_网址[[#This Row],[重点关键词]]=M224),E224+1,IF(表_网址[[#This Row],[重点关键词]]="",100,101))</f>
        <v>100</v>
      </c>
      <c r="F225" t="s">
        <v>1162</v>
      </c>
      <c r="G225" t="s">
        <v>1163</v>
      </c>
      <c r="H225" t="s">
        <v>1164</v>
      </c>
      <c r="I225" t="s">
        <v>1165</v>
      </c>
      <c r="J225" t="s">
        <v>734</v>
      </c>
      <c r="K225" t="s">
        <v>556</v>
      </c>
      <c r="L225" t="s">
        <v>1166</v>
      </c>
      <c r="N225">
        <v>999</v>
      </c>
      <c r="O225">
        <v>999</v>
      </c>
      <c r="Q225">
        <v>64</v>
      </c>
    </row>
    <row r="226" spans="1:19" x14ac:dyDescent="0.2">
      <c r="A226" t="str">
        <f ca="1">表_网址[[#This Row],[1级]]&amp;"-"&amp;表_网址[[#This Row],[2级]]&amp;"-"&amp;表_网址[[#This Row],[3级]]&amp;"-"&amp;表_网址[[#This Row],[级内]]</f>
        <v>6002-13-10-100</v>
      </c>
      <c r="B226">
        <f ca="1">MATCH(表_网址[[#This Row],[版层分类]],序列_版层分类,0)*1000+MATCH(表_网址[[#This Row],[首要关键词]],序列_首要关键词,0)</f>
        <v>6002</v>
      </c>
      <c r="C226">
        <f ca="1">IF(表_网址[[#This Row],[次要关键词]]="",10,MATCH(表_网址[[#This Row],[次要关键词]],序列_次要关键词,0)+10)</f>
        <v>13</v>
      </c>
      <c r="D226">
        <f>IF(表_网址[[#This Row],[重点关键词]]="",10,MATCH(表_网址[[#This Row],[重点关键词]],序列_重点关键词,0)+10)</f>
        <v>10</v>
      </c>
      <c r="E226">
        <f>IF(AND(表_网址[[#This Row],[首要关键词]]=K225,表_网址[[#This Row],[次要关键词]]=L225,表_网址[[#This Row],[重点关键词]]=M225),E225+1,IF(表_网址[[#This Row],[重点关键词]]="",100,101))</f>
        <v>100</v>
      </c>
      <c r="F226" t="s">
        <v>1167</v>
      </c>
      <c r="G226" t="s">
        <v>1168</v>
      </c>
      <c r="H226" t="s">
        <v>29</v>
      </c>
      <c r="I226" t="s">
        <v>1169</v>
      </c>
      <c r="J226" t="s">
        <v>734</v>
      </c>
      <c r="K226" t="s">
        <v>556</v>
      </c>
      <c r="L226" t="s">
        <v>1170</v>
      </c>
      <c r="N226">
        <v>999</v>
      </c>
      <c r="O226">
        <v>999</v>
      </c>
      <c r="Q226">
        <v>32</v>
      </c>
      <c r="R226" t="s">
        <v>507</v>
      </c>
    </row>
    <row r="227" spans="1:19" x14ac:dyDescent="0.2">
      <c r="A227" t="str">
        <f ca="1">表_网址[[#This Row],[1级]]&amp;"-"&amp;表_网址[[#This Row],[2级]]&amp;"-"&amp;表_网址[[#This Row],[3级]]&amp;"-"&amp;表_网址[[#This Row],[级内]]</f>
        <v>6002-14-10-100</v>
      </c>
      <c r="B227">
        <f ca="1">MATCH(表_网址[[#This Row],[版层分类]],序列_版层分类,0)*1000+MATCH(表_网址[[#This Row],[首要关键词]],序列_首要关键词,0)</f>
        <v>6002</v>
      </c>
      <c r="C227">
        <f ca="1">IF(表_网址[[#This Row],[次要关键词]]="",10,MATCH(表_网址[[#This Row],[次要关键词]],序列_次要关键词,0)+10)</f>
        <v>14</v>
      </c>
      <c r="D227">
        <f>IF(表_网址[[#This Row],[重点关键词]]="",10,MATCH(表_网址[[#This Row],[重点关键词]],序列_重点关键词,0)+10)</f>
        <v>10</v>
      </c>
      <c r="E227">
        <f>IF(AND(表_网址[[#This Row],[首要关键词]]=K226,表_网址[[#This Row],[次要关键词]]=L226,表_网址[[#This Row],[重点关键词]]=M226),E226+1,IF(表_网址[[#This Row],[重点关键词]]="",100,101))</f>
        <v>100</v>
      </c>
      <c r="F227" t="s">
        <v>1171</v>
      </c>
      <c r="G227" t="s">
        <v>1172</v>
      </c>
      <c r="H227" t="s">
        <v>29</v>
      </c>
      <c r="J227" t="s">
        <v>734</v>
      </c>
      <c r="K227" t="s">
        <v>556</v>
      </c>
      <c r="L227" t="s">
        <v>1173</v>
      </c>
      <c r="N227">
        <v>999</v>
      </c>
      <c r="R227" t="s">
        <v>507</v>
      </c>
    </row>
    <row r="228" spans="1:19" x14ac:dyDescent="0.2">
      <c r="A228" t="str">
        <f ca="1">表_网址[[#This Row],[1级]]&amp;"-"&amp;表_网址[[#This Row],[2级]]&amp;"-"&amp;表_网址[[#This Row],[3级]]&amp;"-"&amp;表_网址[[#This Row],[级内]]</f>
        <v>6003-10-10-100</v>
      </c>
      <c r="B228">
        <f ca="1">MATCH(表_网址[[#This Row],[版层分类]],序列_版层分类,0)*1000+MATCH(表_网址[[#This Row],[首要关键词]],序列_首要关键词,0)</f>
        <v>6003</v>
      </c>
      <c r="C228">
        <f>IF(表_网址[[#This Row],[次要关键词]]="",10,MATCH(表_网址[[#This Row],[次要关键词]],序列_次要关键词,0)+10)</f>
        <v>10</v>
      </c>
      <c r="D228">
        <f>IF(表_网址[[#This Row],[重点关键词]]="",10,MATCH(表_网址[[#This Row],[重点关键词]],序列_重点关键词,0)+10)</f>
        <v>10</v>
      </c>
      <c r="E228">
        <f>IF(AND(表_网址[[#This Row],[首要关键词]]=K227,表_网址[[#This Row],[次要关键词]]=L227,表_网址[[#This Row],[重点关键词]]=M227),E227+1,IF(表_网址[[#This Row],[重点关键词]]="",100,101))</f>
        <v>100</v>
      </c>
      <c r="F228" t="s">
        <v>1174</v>
      </c>
      <c r="G228" t="s">
        <v>1175</v>
      </c>
      <c r="H228" t="s">
        <v>29</v>
      </c>
      <c r="I228" t="s">
        <v>1176</v>
      </c>
      <c r="J228" t="s">
        <v>734</v>
      </c>
      <c r="K228" t="s">
        <v>1177</v>
      </c>
      <c r="N228">
        <v>999</v>
      </c>
      <c r="O228">
        <v>999</v>
      </c>
      <c r="Q228">
        <v>32</v>
      </c>
      <c r="R228" t="s">
        <v>507</v>
      </c>
      <c r="S228" t="s">
        <v>508</v>
      </c>
    </row>
    <row r="229" spans="1:19" x14ac:dyDescent="0.2">
      <c r="A229" t="str">
        <f ca="1">表_网址[[#This Row],[1级]]&amp;"-"&amp;表_网址[[#This Row],[2级]]&amp;"-"&amp;表_网址[[#This Row],[3级]]&amp;"-"&amp;表_网址[[#This Row],[级内]]</f>
        <v>6003-10-10-101</v>
      </c>
      <c r="B229">
        <f ca="1">MATCH(表_网址[[#This Row],[版层分类]],序列_版层分类,0)*1000+MATCH(表_网址[[#This Row],[首要关键词]],序列_首要关键词,0)</f>
        <v>6003</v>
      </c>
      <c r="C229">
        <f>IF(表_网址[[#This Row],[次要关键词]]="",10,MATCH(表_网址[[#This Row],[次要关键词]],序列_次要关键词,0)+10)</f>
        <v>10</v>
      </c>
      <c r="D229">
        <f>IF(表_网址[[#This Row],[重点关键词]]="",10,MATCH(表_网址[[#This Row],[重点关键词]],序列_重点关键词,0)+10)</f>
        <v>10</v>
      </c>
      <c r="E229">
        <f>IF(AND(表_网址[[#This Row],[首要关键词]]=K228,表_网址[[#This Row],[次要关键词]]=L228,表_网址[[#This Row],[重点关键词]]=M228),E228+1,IF(表_网址[[#This Row],[重点关键词]]="",100,101))</f>
        <v>101</v>
      </c>
      <c r="F229" t="s">
        <v>1178</v>
      </c>
      <c r="G229" t="s">
        <v>1179</v>
      </c>
      <c r="H229" t="s">
        <v>29</v>
      </c>
      <c r="I229" t="s">
        <v>1180</v>
      </c>
      <c r="J229" t="s">
        <v>734</v>
      </c>
      <c r="K229" t="s">
        <v>1177</v>
      </c>
      <c r="N229">
        <v>999</v>
      </c>
      <c r="O229">
        <v>999</v>
      </c>
      <c r="Q229">
        <v>32</v>
      </c>
      <c r="R229" t="s">
        <v>507</v>
      </c>
      <c r="S229" t="s">
        <v>508</v>
      </c>
    </row>
    <row r="230" spans="1:19" x14ac:dyDescent="0.2">
      <c r="A230" t="str">
        <f ca="1">表_网址[[#This Row],[1级]]&amp;"-"&amp;表_网址[[#This Row],[2级]]&amp;"-"&amp;表_网址[[#This Row],[3级]]&amp;"-"&amp;表_网址[[#This Row],[级内]]</f>
        <v>6003-10-10-102</v>
      </c>
      <c r="B230">
        <f ca="1">MATCH(表_网址[[#This Row],[版层分类]],序列_版层分类,0)*1000+MATCH(表_网址[[#This Row],[首要关键词]],序列_首要关键词,0)</f>
        <v>6003</v>
      </c>
      <c r="C230">
        <f>IF(表_网址[[#This Row],[次要关键词]]="",10,MATCH(表_网址[[#This Row],[次要关键词]],序列_次要关键词,0)+10)</f>
        <v>10</v>
      </c>
      <c r="D230">
        <f>IF(表_网址[[#This Row],[重点关键词]]="",10,MATCH(表_网址[[#This Row],[重点关键词]],序列_重点关键词,0)+10)</f>
        <v>10</v>
      </c>
      <c r="E230">
        <f>IF(AND(表_网址[[#This Row],[首要关键词]]=K229,表_网址[[#This Row],[次要关键词]]=L229,表_网址[[#This Row],[重点关键词]]=M229),E229+1,IF(表_网址[[#This Row],[重点关键词]]="",100,101))</f>
        <v>102</v>
      </c>
      <c r="F230" t="s">
        <v>1181</v>
      </c>
      <c r="G230" t="s">
        <v>1182</v>
      </c>
      <c r="H230" t="s">
        <v>29</v>
      </c>
      <c r="I230" t="s">
        <v>1183</v>
      </c>
      <c r="J230" t="s">
        <v>734</v>
      </c>
      <c r="K230" t="s">
        <v>1177</v>
      </c>
      <c r="N230">
        <v>999</v>
      </c>
      <c r="O230">
        <v>999</v>
      </c>
      <c r="Q230">
        <v>128</v>
      </c>
      <c r="R230" t="s">
        <v>507</v>
      </c>
      <c r="S230" t="s">
        <v>508</v>
      </c>
    </row>
    <row r="231" spans="1:19" x14ac:dyDescent="0.2">
      <c r="A231" t="str">
        <f ca="1">表_网址[[#This Row],[1级]]&amp;"-"&amp;表_网址[[#This Row],[2级]]&amp;"-"&amp;表_网址[[#This Row],[3级]]&amp;"-"&amp;表_网址[[#This Row],[级内]]</f>
        <v>6003-10-10-103</v>
      </c>
      <c r="B231">
        <f ca="1">MATCH(表_网址[[#This Row],[版层分类]],序列_版层分类,0)*1000+MATCH(表_网址[[#This Row],[首要关键词]],序列_首要关键词,0)</f>
        <v>6003</v>
      </c>
      <c r="C231">
        <f>IF(表_网址[[#This Row],[次要关键词]]="",10,MATCH(表_网址[[#This Row],[次要关键词]],序列_次要关键词,0)+10)</f>
        <v>10</v>
      </c>
      <c r="D231">
        <f>IF(表_网址[[#This Row],[重点关键词]]="",10,MATCH(表_网址[[#This Row],[重点关键词]],序列_重点关键词,0)+10)</f>
        <v>10</v>
      </c>
      <c r="E231">
        <f>IF(AND(表_网址[[#This Row],[首要关键词]]=K230,表_网址[[#This Row],[次要关键词]]=L230,表_网址[[#This Row],[重点关键词]]=M230),E230+1,IF(表_网址[[#This Row],[重点关键词]]="",100,101))</f>
        <v>103</v>
      </c>
      <c r="F231" t="s">
        <v>1184</v>
      </c>
      <c r="G231" t="s">
        <v>1185</v>
      </c>
      <c r="H231" t="s">
        <v>29</v>
      </c>
      <c r="I231" t="s">
        <v>1186</v>
      </c>
      <c r="J231" t="s">
        <v>734</v>
      </c>
      <c r="K231" t="s">
        <v>1177</v>
      </c>
      <c r="N231">
        <v>999</v>
      </c>
      <c r="O231">
        <v>999</v>
      </c>
      <c r="Q231">
        <v>16</v>
      </c>
      <c r="R231" t="s">
        <v>507</v>
      </c>
      <c r="S231" t="s">
        <v>508</v>
      </c>
    </row>
    <row r="232" spans="1:19" x14ac:dyDescent="0.2">
      <c r="A232" t="str">
        <f ca="1">表_网址[[#This Row],[1级]]&amp;"-"&amp;表_网址[[#This Row],[2级]]&amp;"-"&amp;表_网址[[#This Row],[3级]]&amp;"-"&amp;表_网址[[#This Row],[级内]]</f>
        <v>6003-10-10-104</v>
      </c>
      <c r="B232">
        <f ca="1">MATCH(表_网址[[#This Row],[版层分类]],序列_版层分类,0)*1000+MATCH(表_网址[[#This Row],[首要关键词]],序列_首要关键词,0)</f>
        <v>6003</v>
      </c>
      <c r="C232">
        <f>IF(表_网址[[#This Row],[次要关键词]]="",10,MATCH(表_网址[[#This Row],[次要关键词]],序列_次要关键词,0)+10)</f>
        <v>10</v>
      </c>
      <c r="D232">
        <f>IF(表_网址[[#This Row],[重点关键词]]="",10,MATCH(表_网址[[#This Row],[重点关键词]],序列_重点关键词,0)+10)</f>
        <v>10</v>
      </c>
      <c r="E232">
        <f>IF(AND(表_网址[[#This Row],[首要关键词]]=K231,表_网址[[#This Row],[次要关键词]]=L231,表_网址[[#This Row],[重点关键词]]=M231),E231+1,IF(表_网址[[#This Row],[重点关键词]]="",100,101))</f>
        <v>104</v>
      </c>
      <c r="F232" t="s">
        <v>1187</v>
      </c>
      <c r="G232" t="s">
        <v>1188</v>
      </c>
      <c r="H232" t="s">
        <v>29</v>
      </c>
      <c r="I232" t="s">
        <v>1189</v>
      </c>
      <c r="J232" t="s">
        <v>734</v>
      </c>
      <c r="K232" t="s">
        <v>1177</v>
      </c>
      <c r="N232">
        <v>999</v>
      </c>
      <c r="O232">
        <v>999</v>
      </c>
      <c r="Q232">
        <v>16</v>
      </c>
    </row>
    <row r="233" spans="1:19" x14ac:dyDescent="0.2">
      <c r="A233" t="str">
        <f ca="1">表_网址[[#This Row],[1级]]&amp;"-"&amp;表_网址[[#This Row],[2级]]&amp;"-"&amp;表_网址[[#This Row],[3级]]&amp;"-"&amp;表_网址[[#This Row],[级内]]</f>
        <v>6003-10-10-105</v>
      </c>
      <c r="B233">
        <f ca="1">MATCH(表_网址[[#This Row],[版层分类]],序列_版层分类,0)*1000+MATCH(表_网址[[#This Row],[首要关键词]],序列_首要关键词,0)</f>
        <v>6003</v>
      </c>
      <c r="C233">
        <f>IF(表_网址[[#This Row],[次要关键词]]="",10,MATCH(表_网址[[#This Row],[次要关键词]],序列_次要关键词,0)+10)</f>
        <v>10</v>
      </c>
      <c r="D233">
        <f>IF(表_网址[[#This Row],[重点关键词]]="",10,MATCH(表_网址[[#This Row],[重点关键词]],序列_重点关键词,0)+10)</f>
        <v>10</v>
      </c>
      <c r="E233">
        <f>IF(AND(表_网址[[#This Row],[首要关键词]]=K232,表_网址[[#This Row],[次要关键词]]=L232,表_网址[[#This Row],[重点关键词]]=M232),E232+1,IF(表_网址[[#This Row],[重点关键词]]="",100,101))</f>
        <v>105</v>
      </c>
      <c r="F233" t="s">
        <v>1054</v>
      </c>
      <c r="G233" t="s">
        <v>1055</v>
      </c>
      <c r="H233" t="s">
        <v>29</v>
      </c>
      <c r="I233" t="s">
        <v>1056</v>
      </c>
      <c r="J233" t="s">
        <v>734</v>
      </c>
      <c r="K233" t="s">
        <v>1177</v>
      </c>
      <c r="N233">
        <v>999</v>
      </c>
      <c r="O233">
        <v>999</v>
      </c>
      <c r="Q233">
        <v>32</v>
      </c>
    </row>
    <row r="234" spans="1:19" x14ac:dyDescent="0.2">
      <c r="A234" t="str">
        <f ca="1">表_网址[[#This Row],[1级]]&amp;"-"&amp;表_网址[[#This Row],[2级]]&amp;"-"&amp;表_网址[[#This Row],[3级]]&amp;"-"&amp;表_网址[[#This Row],[级内]]</f>
        <v>6004-10-10-100</v>
      </c>
      <c r="B234">
        <f ca="1">MATCH(表_网址[[#This Row],[版层分类]],序列_版层分类,0)*1000+MATCH(表_网址[[#This Row],[首要关键词]],序列_首要关键词,0)</f>
        <v>6004</v>
      </c>
      <c r="C234">
        <f>IF(表_网址[[#This Row],[次要关键词]]="",10,MATCH(表_网址[[#This Row],[次要关键词]],序列_次要关键词,0)+10)</f>
        <v>10</v>
      </c>
      <c r="D234">
        <f>IF(表_网址[[#This Row],[重点关键词]]="",10,MATCH(表_网址[[#This Row],[重点关键词]],序列_重点关键词,0)+10)</f>
        <v>10</v>
      </c>
      <c r="E234">
        <f>IF(AND(表_网址[[#This Row],[首要关键词]]=K233,表_网址[[#This Row],[次要关键词]]=L233,表_网址[[#This Row],[重点关键词]]=M233),E233+1,IF(表_网址[[#This Row],[重点关键词]]="",100,101))</f>
        <v>100</v>
      </c>
      <c r="F234" t="s">
        <v>1190</v>
      </c>
      <c r="G234" t="s">
        <v>1191</v>
      </c>
      <c r="H234" t="s">
        <v>29</v>
      </c>
      <c r="I234" t="s">
        <v>1192</v>
      </c>
      <c r="J234" t="s">
        <v>734</v>
      </c>
      <c r="K234" t="s">
        <v>1193</v>
      </c>
      <c r="N234">
        <v>999</v>
      </c>
      <c r="O234">
        <v>999</v>
      </c>
      <c r="Q234">
        <v>16</v>
      </c>
    </row>
    <row r="235" spans="1:19" x14ac:dyDescent="0.2">
      <c r="A235" t="str">
        <f ca="1">表_网址[[#This Row],[1级]]&amp;"-"&amp;表_网址[[#This Row],[2级]]&amp;"-"&amp;表_网址[[#This Row],[3级]]&amp;"-"&amp;表_网址[[#This Row],[级内]]</f>
        <v>6004-10-10-101</v>
      </c>
      <c r="B235">
        <f ca="1">MATCH(表_网址[[#This Row],[版层分类]],序列_版层分类,0)*1000+MATCH(表_网址[[#This Row],[首要关键词]],序列_首要关键词,0)</f>
        <v>6004</v>
      </c>
      <c r="C235">
        <f>IF(表_网址[[#This Row],[次要关键词]]="",10,MATCH(表_网址[[#This Row],[次要关键词]],序列_次要关键词,0)+10)</f>
        <v>10</v>
      </c>
      <c r="D235">
        <f>IF(表_网址[[#This Row],[重点关键词]]="",10,MATCH(表_网址[[#This Row],[重点关键词]],序列_重点关键词,0)+10)</f>
        <v>10</v>
      </c>
      <c r="E235">
        <f>IF(AND(表_网址[[#This Row],[首要关键词]]=K234,表_网址[[#This Row],[次要关键词]]=L234,表_网址[[#This Row],[重点关键词]]=M234),E234+1,IF(表_网址[[#This Row],[重点关键词]]="",100,101))</f>
        <v>101</v>
      </c>
      <c r="F235" t="s">
        <v>1194</v>
      </c>
      <c r="G235" t="s">
        <v>1195</v>
      </c>
      <c r="H235" t="s">
        <v>29</v>
      </c>
      <c r="I235" t="s">
        <v>1196</v>
      </c>
      <c r="J235" t="s">
        <v>734</v>
      </c>
      <c r="K235" t="s">
        <v>1193</v>
      </c>
      <c r="N235">
        <v>999</v>
      </c>
      <c r="O235">
        <v>999</v>
      </c>
      <c r="Q235">
        <v>64</v>
      </c>
    </row>
    <row r="236" spans="1:19" x14ac:dyDescent="0.2">
      <c r="A236" t="str">
        <f ca="1">表_网址[[#This Row],[1级]]&amp;"-"&amp;表_网址[[#This Row],[2级]]&amp;"-"&amp;表_网址[[#This Row],[3级]]&amp;"-"&amp;表_网址[[#This Row],[级内]]</f>
        <v>6005-10-10-100</v>
      </c>
      <c r="B236">
        <f ca="1">MATCH(表_网址[[#This Row],[版层分类]],序列_版层分类,0)*1000+MATCH(表_网址[[#This Row],[首要关键词]],序列_首要关键词,0)</f>
        <v>6005</v>
      </c>
      <c r="C236">
        <f>IF(表_网址[[#This Row],[次要关键词]]="",10,MATCH(表_网址[[#This Row],[次要关键词]],序列_次要关键词,0)+10)</f>
        <v>10</v>
      </c>
      <c r="D236">
        <f>IF(表_网址[[#This Row],[重点关键词]]="",10,MATCH(表_网址[[#This Row],[重点关键词]],序列_重点关键词,0)+10)</f>
        <v>10</v>
      </c>
      <c r="E236">
        <f>IF(AND(表_网址[[#This Row],[首要关键词]]=K235,表_网址[[#This Row],[次要关键词]]=L235,表_网址[[#This Row],[重点关键词]]=M235),E235+1,IF(表_网址[[#This Row],[重点关键词]]="",100,101))</f>
        <v>100</v>
      </c>
      <c r="F236" t="s">
        <v>1197</v>
      </c>
      <c r="G236" t="s">
        <v>1198</v>
      </c>
      <c r="H236" t="s">
        <v>29</v>
      </c>
      <c r="I236" t="s">
        <v>1199</v>
      </c>
      <c r="J236" t="s">
        <v>734</v>
      </c>
      <c r="K236" t="s">
        <v>1200</v>
      </c>
      <c r="N236">
        <v>999</v>
      </c>
      <c r="O236">
        <v>999</v>
      </c>
      <c r="Q236">
        <v>32</v>
      </c>
    </row>
    <row r="237" spans="1:19" x14ac:dyDescent="0.2">
      <c r="A237" t="str">
        <f ca="1">表_网址[[#This Row],[1级]]&amp;"-"&amp;表_网址[[#This Row],[2级]]&amp;"-"&amp;表_网址[[#This Row],[3级]]&amp;"-"&amp;表_网址[[#This Row],[级内]]</f>
        <v>6005-10-10-101</v>
      </c>
      <c r="B237">
        <f ca="1">MATCH(表_网址[[#This Row],[版层分类]],序列_版层分类,0)*1000+MATCH(表_网址[[#This Row],[首要关键词]],序列_首要关键词,0)</f>
        <v>6005</v>
      </c>
      <c r="C237">
        <f>IF(表_网址[[#This Row],[次要关键词]]="",10,MATCH(表_网址[[#This Row],[次要关键词]],序列_次要关键词,0)+10)</f>
        <v>10</v>
      </c>
      <c r="D237">
        <f>IF(表_网址[[#This Row],[重点关键词]]="",10,MATCH(表_网址[[#This Row],[重点关键词]],序列_重点关键词,0)+10)</f>
        <v>10</v>
      </c>
      <c r="E237">
        <f>IF(AND(表_网址[[#This Row],[首要关键词]]=K236,表_网址[[#This Row],[次要关键词]]=L236,表_网址[[#This Row],[重点关键词]]=M236),E236+1,IF(表_网址[[#This Row],[重点关键词]]="",100,101))</f>
        <v>101</v>
      </c>
      <c r="F237" t="s">
        <v>1201</v>
      </c>
      <c r="G237" t="s">
        <v>1202</v>
      </c>
      <c r="H237" t="s">
        <v>29</v>
      </c>
      <c r="I237" t="s">
        <v>1203</v>
      </c>
      <c r="J237" t="s">
        <v>734</v>
      </c>
      <c r="K237" t="s">
        <v>1200</v>
      </c>
      <c r="N237">
        <v>999</v>
      </c>
      <c r="O237">
        <v>999</v>
      </c>
      <c r="Q237">
        <v>32</v>
      </c>
    </row>
    <row r="238" spans="1:19" x14ac:dyDescent="0.2">
      <c r="A238" t="str">
        <f ca="1">表_网址[[#This Row],[1级]]&amp;"-"&amp;表_网址[[#This Row],[2级]]&amp;"-"&amp;表_网址[[#This Row],[3级]]&amp;"-"&amp;表_网址[[#This Row],[级内]]</f>
        <v>6005-10-10-102</v>
      </c>
      <c r="B238">
        <f ca="1">MATCH(表_网址[[#This Row],[版层分类]],序列_版层分类,0)*1000+MATCH(表_网址[[#This Row],[首要关键词]],序列_首要关键词,0)</f>
        <v>6005</v>
      </c>
      <c r="C238">
        <f>IF(表_网址[[#This Row],[次要关键词]]="",10,MATCH(表_网址[[#This Row],[次要关键词]],序列_次要关键词,0)+10)</f>
        <v>10</v>
      </c>
      <c r="D238">
        <f>IF(表_网址[[#This Row],[重点关键词]]="",10,MATCH(表_网址[[#This Row],[重点关键词]],序列_重点关键词,0)+10)</f>
        <v>10</v>
      </c>
      <c r="E238">
        <f>IF(AND(表_网址[[#This Row],[首要关键词]]=K237,表_网址[[#This Row],[次要关键词]]=L237,表_网址[[#This Row],[重点关键词]]=M237),E237+1,IF(表_网址[[#This Row],[重点关键词]]="",100,101))</f>
        <v>102</v>
      </c>
      <c r="F238" t="s">
        <v>1204</v>
      </c>
      <c r="G238" t="s">
        <v>1205</v>
      </c>
      <c r="H238" t="s">
        <v>29</v>
      </c>
      <c r="I238" t="s">
        <v>1206</v>
      </c>
      <c r="J238" t="s">
        <v>734</v>
      </c>
      <c r="K238" t="s">
        <v>1200</v>
      </c>
      <c r="N238">
        <v>999</v>
      </c>
      <c r="O238">
        <v>999</v>
      </c>
      <c r="Q238">
        <v>32</v>
      </c>
    </row>
    <row r="239" spans="1:19" x14ac:dyDescent="0.2">
      <c r="A239" t="str">
        <f ca="1">表_网址[[#This Row],[1级]]&amp;"-"&amp;表_网址[[#This Row],[2级]]&amp;"-"&amp;表_网址[[#This Row],[3级]]&amp;"-"&amp;表_网址[[#This Row],[级内]]</f>
        <v>6005-10-10-103</v>
      </c>
      <c r="B239">
        <f ca="1">MATCH(表_网址[[#This Row],[版层分类]],序列_版层分类,0)*1000+MATCH(表_网址[[#This Row],[首要关键词]],序列_首要关键词,0)</f>
        <v>6005</v>
      </c>
      <c r="C239">
        <f>IF(表_网址[[#This Row],[次要关键词]]="",10,MATCH(表_网址[[#This Row],[次要关键词]],序列_次要关键词,0)+10)</f>
        <v>10</v>
      </c>
      <c r="D239">
        <f>IF(表_网址[[#This Row],[重点关键词]]="",10,MATCH(表_网址[[#This Row],[重点关键词]],序列_重点关键词,0)+10)</f>
        <v>10</v>
      </c>
      <c r="E239">
        <f>IF(AND(表_网址[[#This Row],[首要关键词]]=K238,表_网址[[#This Row],[次要关键词]]=L238,表_网址[[#This Row],[重点关键词]]=M238),E238+1,IF(表_网址[[#This Row],[重点关键词]]="",100,101))</f>
        <v>103</v>
      </c>
      <c r="F239" t="s">
        <v>1207</v>
      </c>
      <c r="G239" t="s">
        <v>1208</v>
      </c>
      <c r="H239" t="s">
        <v>29</v>
      </c>
      <c r="I239" t="s">
        <v>1209</v>
      </c>
      <c r="J239" t="s">
        <v>734</v>
      </c>
      <c r="K239" t="s">
        <v>1200</v>
      </c>
      <c r="N239">
        <v>999</v>
      </c>
      <c r="O239">
        <v>999</v>
      </c>
      <c r="Q239">
        <v>32</v>
      </c>
    </row>
    <row r="240" spans="1:19" x14ac:dyDescent="0.2">
      <c r="A240" t="str">
        <f ca="1">表_网址[[#This Row],[1级]]&amp;"-"&amp;表_网址[[#This Row],[2级]]&amp;"-"&amp;表_网址[[#This Row],[3级]]&amp;"-"&amp;表_网址[[#This Row],[级内]]</f>
        <v>6005-10-10-104</v>
      </c>
      <c r="B240">
        <f ca="1">MATCH(表_网址[[#This Row],[版层分类]],序列_版层分类,0)*1000+MATCH(表_网址[[#This Row],[首要关键词]],序列_首要关键词,0)</f>
        <v>6005</v>
      </c>
      <c r="C240">
        <f>IF(表_网址[[#This Row],[次要关键词]]="",10,MATCH(表_网址[[#This Row],[次要关键词]],序列_次要关键词,0)+10)</f>
        <v>10</v>
      </c>
      <c r="D240">
        <f>IF(表_网址[[#This Row],[重点关键词]]="",10,MATCH(表_网址[[#This Row],[重点关键词]],序列_重点关键词,0)+10)</f>
        <v>10</v>
      </c>
      <c r="E240">
        <f>IF(AND(表_网址[[#This Row],[首要关键词]]=K239,表_网址[[#This Row],[次要关键词]]=L239,表_网址[[#This Row],[重点关键词]]=M239),E239+1,IF(表_网址[[#This Row],[重点关键词]]="",100,101))</f>
        <v>104</v>
      </c>
      <c r="F240" t="s">
        <v>1210</v>
      </c>
      <c r="G240" t="s">
        <v>1211</v>
      </c>
      <c r="H240" t="s">
        <v>29</v>
      </c>
      <c r="I240" t="s">
        <v>1212</v>
      </c>
      <c r="J240" t="s">
        <v>734</v>
      </c>
      <c r="K240" t="s">
        <v>1200</v>
      </c>
      <c r="N240">
        <v>999</v>
      </c>
      <c r="Q240">
        <v>32</v>
      </c>
    </row>
    <row r="241" spans="1:17" x14ac:dyDescent="0.2">
      <c r="A241" t="str">
        <f ca="1">表_网址[[#This Row],[1级]]&amp;"-"&amp;表_网址[[#This Row],[2级]]&amp;"-"&amp;表_网址[[#This Row],[3级]]&amp;"-"&amp;表_网址[[#This Row],[级内]]</f>
        <v>6005-10-10-105</v>
      </c>
      <c r="B241">
        <f ca="1">MATCH(表_网址[[#This Row],[版层分类]],序列_版层分类,0)*1000+MATCH(表_网址[[#This Row],[首要关键词]],序列_首要关键词,0)</f>
        <v>6005</v>
      </c>
      <c r="C241">
        <f>IF(表_网址[[#This Row],[次要关键词]]="",10,MATCH(表_网址[[#This Row],[次要关键词]],序列_次要关键词,0)+10)</f>
        <v>10</v>
      </c>
      <c r="D241">
        <f>IF(表_网址[[#This Row],[重点关键词]]="",10,MATCH(表_网址[[#This Row],[重点关键词]],序列_重点关键词,0)+10)</f>
        <v>10</v>
      </c>
      <c r="E241">
        <f>IF(AND(表_网址[[#This Row],[首要关键词]]=K240,表_网址[[#This Row],[次要关键词]]=L240,表_网址[[#This Row],[重点关键词]]=M240),E240+1,IF(表_网址[[#This Row],[重点关键词]]="",100,101))</f>
        <v>105</v>
      </c>
      <c r="F241" t="s">
        <v>1213</v>
      </c>
      <c r="G241" t="s">
        <v>1214</v>
      </c>
      <c r="H241" t="s">
        <v>29</v>
      </c>
      <c r="I241" t="s">
        <v>1215</v>
      </c>
      <c r="J241" t="s">
        <v>734</v>
      </c>
      <c r="K241" t="s">
        <v>1200</v>
      </c>
      <c r="N241">
        <v>999</v>
      </c>
      <c r="O241">
        <v>999</v>
      </c>
      <c r="Q241">
        <v>32</v>
      </c>
    </row>
    <row r="242" spans="1:17" x14ac:dyDescent="0.2">
      <c r="A242" t="str">
        <f ca="1">表_网址[[#This Row],[1级]]&amp;"-"&amp;表_网址[[#This Row],[2级]]&amp;"-"&amp;表_网址[[#This Row],[3级]]&amp;"-"&amp;表_网址[[#This Row],[级内]]</f>
        <v>6005-10-10-106</v>
      </c>
      <c r="B242">
        <f ca="1">MATCH(表_网址[[#This Row],[版层分类]],序列_版层分类,0)*1000+MATCH(表_网址[[#This Row],[首要关键词]],序列_首要关键词,0)</f>
        <v>6005</v>
      </c>
      <c r="C242">
        <f>IF(表_网址[[#This Row],[次要关键词]]="",10,MATCH(表_网址[[#This Row],[次要关键词]],序列_次要关键词,0)+10)</f>
        <v>10</v>
      </c>
      <c r="D242">
        <f>IF(表_网址[[#This Row],[重点关键词]]="",10,MATCH(表_网址[[#This Row],[重点关键词]],序列_重点关键词,0)+10)</f>
        <v>10</v>
      </c>
      <c r="E242">
        <f>IF(AND(表_网址[[#This Row],[首要关键词]]=K241,表_网址[[#This Row],[次要关键词]]=L241,表_网址[[#This Row],[重点关键词]]=M241),E241+1,IF(表_网址[[#This Row],[重点关键词]]="",100,101))</f>
        <v>106</v>
      </c>
      <c r="F242" t="s">
        <v>1216</v>
      </c>
      <c r="G242" t="s">
        <v>1217</v>
      </c>
      <c r="H242" t="s">
        <v>1218</v>
      </c>
      <c r="I242" t="s">
        <v>1219</v>
      </c>
      <c r="J242" t="s">
        <v>734</v>
      </c>
      <c r="K242" t="s">
        <v>1200</v>
      </c>
      <c r="N242">
        <v>999</v>
      </c>
      <c r="O242">
        <v>999</v>
      </c>
      <c r="Q242">
        <v>32</v>
      </c>
    </row>
    <row r="243" spans="1:17" x14ac:dyDescent="0.2">
      <c r="A243" t="str">
        <f ca="1">表_网址[[#This Row],[1级]]&amp;"-"&amp;表_网址[[#This Row],[2级]]&amp;"-"&amp;表_网址[[#This Row],[3级]]&amp;"-"&amp;表_网址[[#This Row],[级内]]</f>
        <v>6005-10-10-107</v>
      </c>
      <c r="B243">
        <f ca="1">MATCH(表_网址[[#This Row],[版层分类]],序列_版层分类,0)*1000+MATCH(表_网址[[#This Row],[首要关键词]],序列_首要关键词,0)</f>
        <v>6005</v>
      </c>
      <c r="C243">
        <f>IF(表_网址[[#This Row],[次要关键词]]="",10,MATCH(表_网址[[#This Row],[次要关键词]],序列_次要关键词,0)+10)</f>
        <v>10</v>
      </c>
      <c r="D243">
        <f>IF(表_网址[[#This Row],[重点关键词]]="",10,MATCH(表_网址[[#This Row],[重点关键词]],序列_重点关键词,0)+10)</f>
        <v>10</v>
      </c>
      <c r="E243">
        <f>IF(AND(表_网址[[#This Row],[首要关键词]]=K242,表_网址[[#This Row],[次要关键词]]=L242,表_网址[[#This Row],[重点关键词]]=M242),E242+1,IF(表_网址[[#This Row],[重点关键词]]="",100,101))</f>
        <v>107</v>
      </c>
      <c r="F243" t="s">
        <v>1220</v>
      </c>
      <c r="G243" t="s">
        <v>1221</v>
      </c>
      <c r="I243" t="s">
        <v>1222</v>
      </c>
      <c r="J243" t="s">
        <v>734</v>
      </c>
      <c r="K243" t="s">
        <v>1200</v>
      </c>
      <c r="N243">
        <v>999</v>
      </c>
      <c r="O243">
        <v>999</v>
      </c>
      <c r="Q243">
        <v>32</v>
      </c>
    </row>
    <row r="244" spans="1:17" x14ac:dyDescent="0.2">
      <c r="A244" t="str">
        <f ca="1">表_网址[[#This Row],[1级]]&amp;"-"&amp;表_网址[[#This Row],[2级]]&amp;"-"&amp;表_网址[[#This Row],[3级]]&amp;"-"&amp;表_网址[[#This Row],[级内]]</f>
        <v>6006-10-10-100</v>
      </c>
      <c r="B244">
        <f ca="1">MATCH(表_网址[[#This Row],[版层分类]],序列_版层分类,0)*1000+MATCH(表_网址[[#This Row],[首要关键词]],序列_首要关键词,0)</f>
        <v>6006</v>
      </c>
      <c r="C244">
        <f>IF(表_网址[[#This Row],[次要关键词]]="",10,MATCH(表_网址[[#This Row],[次要关键词]],序列_次要关键词,0)+10)</f>
        <v>10</v>
      </c>
      <c r="D244">
        <f>IF(表_网址[[#This Row],[重点关键词]]="",10,MATCH(表_网址[[#This Row],[重点关键词]],序列_重点关键词,0)+10)</f>
        <v>10</v>
      </c>
      <c r="E244">
        <f>IF(AND(表_网址[[#This Row],[首要关键词]]=K243,表_网址[[#This Row],[次要关键词]]=L243,表_网址[[#This Row],[重点关键词]]=M243),E243+1,IF(表_网址[[#This Row],[重点关键词]]="",100,101))</f>
        <v>100</v>
      </c>
      <c r="F244" t="s">
        <v>1223</v>
      </c>
      <c r="G244" t="s">
        <v>1224</v>
      </c>
      <c r="H244" t="s">
        <v>29</v>
      </c>
      <c r="I244" t="s">
        <v>1225</v>
      </c>
      <c r="J244" t="s">
        <v>734</v>
      </c>
      <c r="K244" t="s">
        <v>1226</v>
      </c>
      <c r="N244">
        <v>999</v>
      </c>
      <c r="Q244">
        <v>16</v>
      </c>
    </row>
    <row r="245" spans="1:17" x14ac:dyDescent="0.2">
      <c r="A245" t="str">
        <f ca="1">表_网址[[#This Row],[1级]]&amp;"-"&amp;表_网址[[#This Row],[2级]]&amp;"-"&amp;表_网址[[#This Row],[3级]]&amp;"-"&amp;表_网址[[#This Row],[级内]]</f>
        <v>6007-10-10-100</v>
      </c>
      <c r="B245">
        <f ca="1">MATCH(表_网址[[#This Row],[版层分类]],序列_版层分类,0)*1000+MATCH(表_网址[[#This Row],[首要关键词]],序列_首要关键词,0)</f>
        <v>6007</v>
      </c>
      <c r="C245">
        <f>IF(表_网址[[#This Row],[次要关键词]]="",10,MATCH(表_网址[[#This Row],[次要关键词]],序列_次要关键词,0)+10)</f>
        <v>10</v>
      </c>
      <c r="D245">
        <f>IF(表_网址[[#This Row],[重点关键词]]="",10,MATCH(表_网址[[#This Row],[重点关键词]],序列_重点关键词,0)+10)</f>
        <v>10</v>
      </c>
      <c r="E245">
        <f>IF(AND(表_网址[[#This Row],[首要关键词]]=K244,表_网址[[#This Row],[次要关键词]]=L244,表_网址[[#This Row],[重点关键词]]=M244),E244+1,IF(表_网址[[#This Row],[重点关键词]]="",100,101))</f>
        <v>100</v>
      </c>
      <c r="F245" t="s">
        <v>1227</v>
      </c>
      <c r="G245" t="s">
        <v>1228</v>
      </c>
      <c r="I245" t="s">
        <v>1229</v>
      </c>
      <c r="J245" t="s">
        <v>734</v>
      </c>
      <c r="K245" t="s">
        <v>1230</v>
      </c>
      <c r="N245">
        <v>999</v>
      </c>
      <c r="O245">
        <v>999</v>
      </c>
      <c r="Q245">
        <v>16</v>
      </c>
    </row>
    <row r="246" spans="1:17" x14ac:dyDescent="0.2">
      <c r="A246" t="str">
        <f ca="1">表_网址[[#This Row],[1级]]&amp;"-"&amp;表_网址[[#This Row],[2级]]&amp;"-"&amp;表_网址[[#This Row],[3级]]&amp;"-"&amp;表_网址[[#This Row],[级内]]</f>
        <v>6007-10-10-101</v>
      </c>
      <c r="B246">
        <f ca="1">MATCH(表_网址[[#This Row],[版层分类]],序列_版层分类,0)*1000+MATCH(表_网址[[#This Row],[首要关键词]],序列_首要关键词,0)</f>
        <v>6007</v>
      </c>
      <c r="C246">
        <f>IF(表_网址[[#This Row],[次要关键词]]="",10,MATCH(表_网址[[#This Row],[次要关键词]],序列_次要关键词,0)+10)</f>
        <v>10</v>
      </c>
      <c r="D246">
        <f>IF(表_网址[[#This Row],[重点关键词]]="",10,MATCH(表_网址[[#This Row],[重点关键词]],序列_重点关键词,0)+10)</f>
        <v>10</v>
      </c>
      <c r="E246">
        <f>IF(AND(表_网址[[#This Row],[首要关键词]]=K245,表_网址[[#This Row],[次要关键词]]=L245,表_网址[[#This Row],[重点关键词]]=M245),E245+1,IF(表_网址[[#This Row],[重点关键词]]="",100,101))</f>
        <v>101</v>
      </c>
      <c r="F246" t="s">
        <v>1231</v>
      </c>
      <c r="G246" t="s">
        <v>1232</v>
      </c>
      <c r="I246" t="s">
        <v>1233</v>
      </c>
      <c r="J246" t="s">
        <v>734</v>
      </c>
      <c r="K246" t="s">
        <v>1230</v>
      </c>
      <c r="N246">
        <v>999</v>
      </c>
      <c r="O246">
        <v>999</v>
      </c>
      <c r="Q246">
        <v>16</v>
      </c>
    </row>
    <row r="247" spans="1:17" x14ac:dyDescent="0.2">
      <c r="A247" t="str">
        <f ca="1">表_网址[[#This Row],[1级]]&amp;"-"&amp;表_网址[[#This Row],[2级]]&amp;"-"&amp;表_网址[[#This Row],[3级]]&amp;"-"&amp;表_网址[[#This Row],[级内]]</f>
        <v>6007-10-10-102</v>
      </c>
      <c r="B247">
        <f ca="1">MATCH(表_网址[[#This Row],[版层分类]],序列_版层分类,0)*1000+MATCH(表_网址[[#This Row],[首要关键词]],序列_首要关键词,0)</f>
        <v>6007</v>
      </c>
      <c r="C247">
        <f>IF(表_网址[[#This Row],[次要关键词]]="",10,MATCH(表_网址[[#This Row],[次要关键词]],序列_次要关键词,0)+10)</f>
        <v>10</v>
      </c>
      <c r="D247">
        <f>IF(表_网址[[#This Row],[重点关键词]]="",10,MATCH(表_网址[[#This Row],[重点关键词]],序列_重点关键词,0)+10)</f>
        <v>10</v>
      </c>
      <c r="E247">
        <f>IF(AND(表_网址[[#This Row],[首要关键词]]=K246,表_网址[[#This Row],[次要关键词]]=L246,表_网址[[#This Row],[重点关键词]]=M246),E246+1,IF(表_网址[[#This Row],[重点关键词]]="",100,101))</f>
        <v>102</v>
      </c>
      <c r="F247" t="s">
        <v>1234</v>
      </c>
      <c r="G247" t="s">
        <v>1235</v>
      </c>
      <c r="I247" t="s">
        <v>1236</v>
      </c>
      <c r="J247" t="s">
        <v>734</v>
      </c>
      <c r="K247" t="s">
        <v>1230</v>
      </c>
      <c r="N247">
        <v>999</v>
      </c>
      <c r="O247">
        <v>999</v>
      </c>
      <c r="Q247">
        <v>32</v>
      </c>
    </row>
    <row r="248" spans="1:17" x14ac:dyDescent="0.2">
      <c r="A248" t="str">
        <f ca="1">表_网址[[#This Row],[1级]]&amp;"-"&amp;表_网址[[#This Row],[2级]]&amp;"-"&amp;表_网址[[#This Row],[3级]]&amp;"-"&amp;表_网址[[#This Row],[级内]]</f>
        <v>6007-10-10-103</v>
      </c>
      <c r="B248">
        <f ca="1">MATCH(表_网址[[#This Row],[版层分类]],序列_版层分类,0)*1000+MATCH(表_网址[[#This Row],[首要关键词]],序列_首要关键词,0)</f>
        <v>6007</v>
      </c>
      <c r="C248">
        <f>IF(表_网址[[#This Row],[次要关键词]]="",10,MATCH(表_网址[[#This Row],[次要关键词]],序列_次要关键词,0)+10)</f>
        <v>10</v>
      </c>
      <c r="D248">
        <f>IF(表_网址[[#This Row],[重点关键词]]="",10,MATCH(表_网址[[#This Row],[重点关键词]],序列_重点关键词,0)+10)</f>
        <v>10</v>
      </c>
      <c r="E248">
        <f>IF(AND(表_网址[[#This Row],[首要关键词]]=K247,表_网址[[#This Row],[次要关键词]]=L247,表_网址[[#This Row],[重点关键词]]=M247),E247+1,IF(表_网址[[#This Row],[重点关键词]]="",100,101))</f>
        <v>103</v>
      </c>
      <c r="F248" t="s">
        <v>1237</v>
      </c>
      <c r="G248" t="s">
        <v>1238</v>
      </c>
      <c r="I248" t="s">
        <v>1239</v>
      </c>
      <c r="J248" t="s">
        <v>734</v>
      </c>
      <c r="K248" t="s">
        <v>1230</v>
      </c>
      <c r="N248">
        <v>999</v>
      </c>
      <c r="O248">
        <v>999</v>
      </c>
      <c r="Q248">
        <v>16</v>
      </c>
    </row>
    <row r="249" spans="1:17" x14ac:dyDescent="0.2">
      <c r="A249" t="str">
        <f ca="1">表_网址[[#This Row],[1级]]&amp;"-"&amp;表_网址[[#This Row],[2级]]&amp;"-"&amp;表_网址[[#This Row],[3级]]&amp;"-"&amp;表_网址[[#This Row],[级内]]</f>
        <v>6007-10-10-104</v>
      </c>
      <c r="B249">
        <f ca="1">MATCH(表_网址[[#This Row],[版层分类]],序列_版层分类,0)*1000+MATCH(表_网址[[#This Row],[首要关键词]],序列_首要关键词,0)</f>
        <v>6007</v>
      </c>
      <c r="C249">
        <f>IF(表_网址[[#This Row],[次要关键词]]="",10,MATCH(表_网址[[#This Row],[次要关键词]],序列_次要关键词,0)+10)</f>
        <v>10</v>
      </c>
      <c r="D249">
        <f>IF(表_网址[[#This Row],[重点关键词]]="",10,MATCH(表_网址[[#This Row],[重点关键词]],序列_重点关键词,0)+10)</f>
        <v>10</v>
      </c>
      <c r="E249">
        <f>IF(AND(表_网址[[#This Row],[首要关键词]]=K248,表_网址[[#This Row],[次要关键词]]=L248,表_网址[[#This Row],[重点关键词]]=M248),E248+1,IF(表_网址[[#This Row],[重点关键词]]="",100,101))</f>
        <v>104</v>
      </c>
      <c r="F249" t="s">
        <v>1240</v>
      </c>
      <c r="G249" t="s">
        <v>1241</v>
      </c>
      <c r="I249" t="s">
        <v>1242</v>
      </c>
      <c r="J249" t="s">
        <v>734</v>
      </c>
      <c r="K249" t="s">
        <v>1230</v>
      </c>
      <c r="N249">
        <v>999</v>
      </c>
      <c r="O249">
        <v>999</v>
      </c>
      <c r="Q249">
        <v>60</v>
      </c>
    </row>
    <row r="250" spans="1:17" x14ac:dyDescent="0.2">
      <c r="A250" t="str">
        <f ca="1">表_网址[[#This Row],[1级]]&amp;"-"&amp;表_网址[[#This Row],[2级]]&amp;"-"&amp;表_网址[[#This Row],[3级]]&amp;"-"&amp;表_网址[[#This Row],[级内]]</f>
        <v>6007-10-10-105</v>
      </c>
      <c r="B250">
        <f ca="1">MATCH(表_网址[[#This Row],[版层分类]],序列_版层分类,0)*1000+MATCH(表_网址[[#This Row],[首要关键词]],序列_首要关键词,0)</f>
        <v>6007</v>
      </c>
      <c r="C250">
        <f>IF(表_网址[[#This Row],[次要关键词]]="",10,MATCH(表_网址[[#This Row],[次要关键词]],序列_次要关键词,0)+10)</f>
        <v>10</v>
      </c>
      <c r="D250">
        <f>IF(表_网址[[#This Row],[重点关键词]]="",10,MATCH(表_网址[[#This Row],[重点关键词]],序列_重点关键词,0)+10)</f>
        <v>10</v>
      </c>
      <c r="E250">
        <f>IF(AND(表_网址[[#This Row],[首要关键词]]=K249,表_网址[[#This Row],[次要关键词]]=L249,表_网址[[#This Row],[重点关键词]]=M249),E249+1,IF(表_网址[[#This Row],[重点关键词]]="",100,101))</f>
        <v>105</v>
      </c>
      <c r="F250" t="s">
        <v>1207</v>
      </c>
      <c r="G250" t="s">
        <v>1243</v>
      </c>
      <c r="I250" t="s">
        <v>1244</v>
      </c>
      <c r="J250" t="s">
        <v>734</v>
      </c>
      <c r="K250" t="s">
        <v>1230</v>
      </c>
      <c r="N250">
        <v>999</v>
      </c>
      <c r="O250">
        <v>999</v>
      </c>
      <c r="Q250">
        <v>64</v>
      </c>
    </row>
    <row r="251" spans="1:17" x14ac:dyDescent="0.2">
      <c r="A251" t="str">
        <f ca="1">表_网址[[#This Row],[1级]]&amp;"-"&amp;表_网址[[#This Row],[2级]]&amp;"-"&amp;表_网址[[#This Row],[3级]]&amp;"-"&amp;表_网址[[#This Row],[级内]]</f>
        <v>6007-10-10-106</v>
      </c>
      <c r="B251">
        <f ca="1">MATCH(表_网址[[#This Row],[版层分类]],序列_版层分类,0)*1000+MATCH(表_网址[[#This Row],[首要关键词]],序列_首要关键词,0)</f>
        <v>6007</v>
      </c>
      <c r="C251">
        <f>IF(表_网址[[#This Row],[次要关键词]]="",10,MATCH(表_网址[[#This Row],[次要关键词]],序列_次要关键词,0)+10)</f>
        <v>10</v>
      </c>
      <c r="D251">
        <f>IF(表_网址[[#This Row],[重点关键词]]="",10,MATCH(表_网址[[#This Row],[重点关键词]],序列_重点关键词,0)+10)</f>
        <v>10</v>
      </c>
      <c r="E251">
        <f>IF(AND(表_网址[[#This Row],[首要关键词]]=K250,表_网址[[#This Row],[次要关键词]]=L250,表_网址[[#This Row],[重点关键词]]=M250),E250+1,IF(表_网址[[#This Row],[重点关键词]]="",100,101))</f>
        <v>106</v>
      </c>
      <c r="F251" t="s">
        <v>1245</v>
      </c>
      <c r="G251" t="s">
        <v>1246</v>
      </c>
      <c r="I251" t="s">
        <v>1247</v>
      </c>
      <c r="J251" t="s">
        <v>734</v>
      </c>
      <c r="K251" t="s">
        <v>1230</v>
      </c>
      <c r="N251">
        <v>999</v>
      </c>
      <c r="O251">
        <v>999</v>
      </c>
      <c r="Q251">
        <v>16</v>
      </c>
    </row>
    <row r="252" spans="1:17" x14ac:dyDescent="0.2">
      <c r="A252" t="str">
        <f ca="1">表_网址[[#This Row],[1级]]&amp;"-"&amp;表_网址[[#This Row],[2级]]&amp;"-"&amp;表_网址[[#This Row],[3级]]&amp;"-"&amp;表_网址[[#This Row],[级内]]</f>
        <v>6007-10-10-107</v>
      </c>
      <c r="B252">
        <f ca="1">MATCH(表_网址[[#This Row],[版层分类]],序列_版层分类,0)*1000+MATCH(表_网址[[#This Row],[首要关键词]],序列_首要关键词,0)</f>
        <v>6007</v>
      </c>
      <c r="C252">
        <f>IF(表_网址[[#This Row],[次要关键词]]="",10,MATCH(表_网址[[#This Row],[次要关键词]],序列_次要关键词,0)+10)</f>
        <v>10</v>
      </c>
      <c r="D252">
        <f>IF(表_网址[[#This Row],[重点关键词]]="",10,MATCH(表_网址[[#This Row],[重点关键词]],序列_重点关键词,0)+10)</f>
        <v>10</v>
      </c>
      <c r="E252">
        <f>IF(AND(表_网址[[#This Row],[首要关键词]]=K251,表_网址[[#This Row],[次要关键词]]=L251,表_网址[[#This Row],[重点关键词]]=M251),E251+1,IF(表_网址[[#This Row],[重点关键词]]="",100,101))</f>
        <v>107</v>
      </c>
      <c r="F252" t="s">
        <v>1248</v>
      </c>
      <c r="G252" t="s">
        <v>1249</v>
      </c>
      <c r="I252" t="s">
        <v>1250</v>
      </c>
      <c r="J252" t="s">
        <v>734</v>
      </c>
      <c r="K252" t="s">
        <v>1230</v>
      </c>
      <c r="N252">
        <v>999</v>
      </c>
      <c r="O252">
        <v>999</v>
      </c>
      <c r="Q252">
        <v>48</v>
      </c>
    </row>
    <row r="253" spans="1:17" x14ac:dyDescent="0.2">
      <c r="A253" t="str">
        <f ca="1">表_网址[[#This Row],[1级]]&amp;"-"&amp;表_网址[[#This Row],[2级]]&amp;"-"&amp;表_网址[[#This Row],[3级]]&amp;"-"&amp;表_网址[[#This Row],[级内]]</f>
        <v>6007-10-10-108</v>
      </c>
      <c r="B253">
        <f ca="1">MATCH(表_网址[[#This Row],[版层分类]],序列_版层分类,0)*1000+MATCH(表_网址[[#This Row],[首要关键词]],序列_首要关键词,0)</f>
        <v>6007</v>
      </c>
      <c r="C253">
        <f>IF(表_网址[[#This Row],[次要关键词]]="",10,MATCH(表_网址[[#This Row],[次要关键词]],序列_次要关键词,0)+10)</f>
        <v>10</v>
      </c>
      <c r="D253">
        <f>IF(表_网址[[#This Row],[重点关键词]]="",10,MATCH(表_网址[[#This Row],[重点关键词]],序列_重点关键词,0)+10)</f>
        <v>10</v>
      </c>
      <c r="E253">
        <f>IF(AND(表_网址[[#This Row],[首要关键词]]=K252,表_网址[[#This Row],[次要关键词]]=L252,表_网址[[#This Row],[重点关键词]]=M252),E252+1,IF(表_网址[[#This Row],[重点关键词]]="",100,101))</f>
        <v>108</v>
      </c>
      <c r="F253" t="s">
        <v>1251</v>
      </c>
      <c r="G253" t="s">
        <v>1252</v>
      </c>
      <c r="I253" t="s">
        <v>1253</v>
      </c>
      <c r="J253" t="s">
        <v>734</v>
      </c>
      <c r="K253" t="s">
        <v>1230</v>
      </c>
      <c r="N253">
        <v>999</v>
      </c>
      <c r="O253">
        <v>999</v>
      </c>
      <c r="Q253">
        <v>16</v>
      </c>
    </row>
    <row r="254" spans="1:17" x14ac:dyDescent="0.2">
      <c r="A254" t="str">
        <f ca="1">表_网址[[#This Row],[1级]]&amp;"-"&amp;表_网址[[#This Row],[2级]]&amp;"-"&amp;表_网址[[#This Row],[3级]]&amp;"-"&amp;表_网址[[#This Row],[级内]]</f>
        <v>6008-10-10-100</v>
      </c>
      <c r="B254">
        <f ca="1">MATCH(表_网址[[#This Row],[版层分类]],序列_版层分类,0)*1000+MATCH(表_网址[[#This Row],[首要关键词]],序列_首要关键词,0)</f>
        <v>6008</v>
      </c>
      <c r="C254">
        <f>IF(表_网址[[#This Row],[次要关键词]]="",10,MATCH(表_网址[[#This Row],[次要关键词]],序列_次要关键词,0)+10)</f>
        <v>10</v>
      </c>
      <c r="D254">
        <f>IF(表_网址[[#This Row],[重点关键词]]="",10,MATCH(表_网址[[#This Row],[重点关键词]],序列_重点关键词,0)+10)</f>
        <v>10</v>
      </c>
      <c r="E254">
        <f>IF(AND(表_网址[[#This Row],[首要关键词]]=K253,表_网址[[#This Row],[次要关键词]]=L253,表_网址[[#This Row],[重点关键词]]=M253),E253+1,IF(表_网址[[#This Row],[重点关键词]]="",100,101))</f>
        <v>100</v>
      </c>
      <c r="F254" t="s">
        <v>1254</v>
      </c>
      <c r="G254" t="s">
        <v>1255</v>
      </c>
      <c r="I254" t="s">
        <v>1256</v>
      </c>
      <c r="J254" t="s">
        <v>734</v>
      </c>
      <c r="K254" t="s">
        <v>1257</v>
      </c>
      <c r="N254">
        <v>999</v>
      </c>
      <c r="O254">
        <v>999</v>
      </c>
    </row>
    <row r="255" spans="1:17" x14ac:dyDescent="0.2">
      <c r="A255" t="str">
        <f ca="1">表_网址[[#This Row],[1级]]&amp;"-"&amp;表_网址[[#This Row],[2级]]&amp;"-"&amp;表_网址[[#This Row],[3级]]&amp;"-"&amp;表_网址[[#This Row],[级内]]</f>
        <v>6008-11-10-100</v>
      </c>
      <c r="B255">
        <f ca="1">MATCH(表_网址[[#This Row],[版层分类]],序列_版层分类,0)*1000+MATCH(表_网址[[#This Row],[首要关键词]],序列_首要关键词,0)</f>
        <v>6008</v>
      </c>
      <c r="C255">
        <f ca="1">IF(表_网址[[#This Row],[次要关键词]]="",10,MATCH(表_网址[[#This Row],[次要关键词]],序列_次要关键词,0)+10)</f>
        <v>11</v>
      </c>
      <c r="D255">
        <f>IF(表_网址[[#This Row],[重点关键词]]="",10,MATCH(表_网址[[#This Row],[重点关键词]],序列_重点关键词,0)+10)</f>
        <v>10</v>
      </c>
      <c r="E255">
        <f>IF(AND(表_网址[[#This Row],[首要关键词]]=K254,表_网址[[#This Row],[次要关键词]]=L254,表_网址[[#This Row],[重点关键词]]=M254),E254+1,IF(表_网址[[#This Row],[重点关键词]]="",100,101))</f>
        <v>100</v>
      </c>
      <c r="F255" t="s">
        <v>1258</v>
      </c>
      <c r="G255" t="s">
        <v>1259</v>
      </c>
      <c r="I255" t="s">
        <v>1260</v>
      </c>
      <c r="J255" t="s">
        <v>734</v>
      </c>
      <c r="K255" t="s">
        <v>1257</v>
      </c>
      <c r="L255" t="s">
        <v>1261</v>
      </c>
      <c r="N255">
        <v>999</v>
      </c>
      <c r="O255">
        <v>999</v>
      </c>
      <c r="Q255">
        <v>32</v>
      </c>
    </row>
    <row r="256" spans="1:17" x14ac:dyDescent="0.2">
      <c r="A256" t="str">
        <f ca="1">表_网址[[#This Row],[1级]]&amp;"-"&amp;表_网址[[#This Row],[2级]]&amp;"-"&amp;表_网址[[#This Row],[3级]]&amp;"-"&amp;表_网址[[#This Row],[级内]]</f>
        <v>6008-11-10-101</v>
      </c>
      <c r="B256">
        <f ca="1">MATCH(表_网址[[#This Row],[版层分类]],序列_版层分类,0)*1000+MATCH(表_网址[[#This Row],[首要关键词]],序列_首要关键词,0)</f>
        <v>6008</v>
      </c>
      <c r="C256">
        <f ca="1">IF(表_网址[[#This Row],[次要关键词]]="",10,MATCH(表_网址[[#This Row],[次要关键词]],序列_次要关键词,0)+10)</f>
        <v>11</v>
      </c>
      <c r="D256">
        <f>IF(表_网址[[#This Row],[重点关键词]]="",10,MATCH(表_网址[[#This Row],[重点关键词]],序列_重点关键词,0)+10)</f>
        <v>10</v>
      </c>
      <c r="E256">
        <f>IF(AND(表_网址[[#This Row],[首要关键词]]=K255,表_网址[[#This Row],[次要关键词]]=L255,表_网址[[#This Row],[重点关键词]]=M255),E255+1,IF(表_网址[[#This Row],[重点关键词]]="",100,101))</f>
        <v>101</v>
      </c>
      <c r="F256" t="s">
        <v>1262</v>
      </c>
      <c r="G256" t="s">
        <v>1263</v>
      </c>
      <c r="I256" t="s">
        <v>1264</v>
      </c>
      <c r="J256" t="s">
        <v>734</v>
      </c>
      <c r="K256" t="s">
        <v>1257</v>
      </c>
      <c r="L256" t="s">
        <v>1261</v>
      </c>
      <c r="N256">
        <v>999</v>
      </c>
      <c r="O256">
        <v>999</v>
      </c>
      <c r="Q256">
        <v>64</v>
      </c>
    </row>
    <row r="257" spans="1:17" x14ac:dyDescent="0.2">
      <c r="A257" t="str">
        <f ca="1">表_网址[[#This Row],[1级]]&amp;"-"&amp;表_网址[[#This Row],[2级]]&amp;"-"&amp;表_网址[[#This Row],[3级]]&amp;"-"&amp;表_网址[[#This Row],[级内]]</f>
        <v>6008-11-10-102</v>
      </c>
      <c r="B257">
        <f ca="1">MATCH(表_网址[[#This Row],[版层分类]],序列_版层分类,0)*1000+MATCH(表_网址[[#This Row],[首要关键词]],序列_首要关键词,0)</f>
        <v>6008</v>
      </c>
      <c r="C257">
        <f ca="1">IF(表_网址[[#This Row],[次要关键词]]="",10,MATCH(表_网址[[#This Row],[次要关键词]],序列_次要关键词,0)+10)</f>
        <v>11</v>
      </c>
      <c r="D257">
        <f>IF(表_网址[[#This Row],[重点关键词]]="",10,MATCH(表_网址[[#This Row],[重点关键词]],序列_重点关键词,0)+10)</f>
        <v>10</v>
      </c>
      <c r="E257">
        <f>IF(AND(表_网址[[#This Row],[首要关键词]]=K256,表_网址[[#This Row],[次要关键词]]=L256,表_网址[[#This Row],[重点关键词]]=M256),E256+1,IF(表_网址[[#This Row],[重点关键词]]="",100,101))</f>
        <v>102</v>
      </c>
      <c r="F257" t="s">
        <v>1265</v>
      </c>
      <c r="G257" t="s">
        <v>1266</v>
      </c>
      <c r="I257" t="s">
        <v>1267</v>
      </c>
      <c r="J257" t="s">
        <v>734</v>
      </c>
      <c r="K257" t="s">
        <v>1257</v>
      </c>
      <c r="L257" t="s">
        <v>1261</v>
      </c>
      <c r="N257">
        <v>999</v>
      </c>
      <c r="O257">
        <v>999</v>
      </c>
      <c r="Q257">
        <v>16</v>
      </c>
    </row>
    <row r="258" spans="1:17" x14ac:dyDescent="0.2">
      <c r="A258" t="str">
        <f ca="1">表_网址[[#This Row],[1级]]&amp;"-"&amp;表_网址[[#This Row],[2级]]&amp;"-"&amp;表_网址[[#This Row],[3级]]&amp;"-"&amp;表_网址[[#This Row],[级内]]</f>
        <v>6008-11-10-103</v>
      </c>
      <c r="B258">
        <f ca="1">MATCH(表_网址[[#This Row],[版层分类]],序列_版层分类,0)*1000+MATCH(表_网址[[#This Row],[首要关键词]],序列_首要关键词,0)</f>
        <v>6008</v>
      </c>
      <c r="C258">
        <f ca="1">IF(表_网址[[#This Row],[次要关键词]]="",10,MATCH(表_网址[[#This Row],[次要关键词]],序列_次要关键词,0)+10)</f>
        <v>11</v>
      </c>
      <c r="D258">
        <f>IF(表_网址[[#This Row],[重点关键词]]="",10,MATCH(表_网址[[#This Row],[重点关键词]],序列_重点关键词,0)+10)</f>
        <v>10</v>
      </c>
      <c r="E258">
        <f>IF(AND(表_网址[[#This Row],[首要关键词]]=K257,表_网址[[#This Row],[次要关键词]]=L257,表_网址[[#This Row],[重点关键词]]=M257),E257+1,IF(表_网址[[#This Row],[重点关键词]]="",100,101))</f>
        <v>103</v>
      </c>
      <c r="F258" t="s">
        <v>1268</v>
      </c>
      <c r="G258" t="s">
        <v>1269</v>
      </c>
      <c r="I258" t="s">
        <v>1270</v>
      </c>
      <c r="J258" t="s">
        <v>734</v>
      </c>
      <c r="K258" t="s">
        <v>1257</v>
      </c>
      <c r="L258" t="s">
        <v>1261</v>
      </c>
      <c r="N258">
        <v>999</v>
      </c>
      <c r="O258">
        <v>999</v>
      </c>
      <c r="Q258">
        <v>64</v>
      </c>
    </row>
    <row r="259" spans="1:17" x14ac:dyDescent="0.2">
      <c r="A259" t="str">
        <f ca="1">表_网址[[#This Row],[1级]]&amp;"-"&amp;表_网址[[#This Row],[2级]]&amp;"-"&amp;表_网址[[#This Row],[3级]]&amp;"-"&amp;表_网址[[#This Row],[级内]]</f>
        <v>6008-11-10-104</v>
      </c>
      <c r="B259">
        <f ca="1">MATCH(表_网址[[#This Row],[版层分类]],序列_版层分类,0)*1000+MATCH(表_网址[[#This Row],[首要关键词]],序列_首要关键词,0)</f>
        <v>6008</v>
      </c>
      <c r="C259">
        <f ca="1">IF(表_网址[[#This Row],[次要关键词]]="",10,MATCH(表_网址[[#This Row],[次要关键词]],序列_次要关键词,0)+10)</f>
        <v>11</v>
      </c>
      <c r="D259">
        <f>IF(表_网址[[#This Row],[重点关键词]]="",10,MATCH(表_网址[[#This Row],[重点关键词]],序列_重点关键词,0)+10)</f>
        <v>10</v>
      </c>
      <c r="E259">
        <f>IF(AND(表_网址[[#This Row],[首要关键词]]=K258,表_网址[[#This Row],[次要关键词]]=L258,表_网址[[#This Row],[重点关键词]]=M258),E258+1,IF(表_网址[[#This Row],[重点关键词]]="",100,101))</f>
        <v>104</v>
      </c>
      <c r="F259" t="s">
        <v>1271</v>
      </c>
      <c r="G259" t="s">
        <v>1272</v>
      </c>
      <c r="I259" t="s">
        <v>1273</v>
      </c>
      <c r="J259" t="s">
        <v>734</v>
      </c>
      <c r="K259" t="s">
        <v>1257</v>
      </c>
      <c r="L259" t="s">
        <v>1261</v>
      </c>
      <c r="N259">
        <v>999</v>
      </c>
      <c r="O259">
        <v>999</v>
      </c>
      <c r="Q259">
        <v>16</v>
      </c>
    </row>
    <row r="260" spans="1:17" x14ac:dyDescent="0.2">
      <c r="A260" t="str">
        <f ca="1">表_网址[[#This Row],[1级]]&amp;"-"&amp;表_网址[[#This Row],[2级]]&amp;"-"&amp;表_网址[[#This Row],[3级]]&amp;"-"&amp;表_网址[[#This Row],[级内]]</f>
        <v>6008-11-10-105</v>
      </c>
      <c r="B260">
        <f ca="1">MATCH(表_网址[[#This Row],[版层分类]],序列_版层分类,0)*1000+MATCH(表_网址[[#This Row],[首要关键词]],序列_首要关键词,0)</f>
        <v>6008</v>
      </c>
      <c r="C260">
        <f ca="1">IF(表_网址[[#This Row],[次要关键词]]="",10,MATCH(表_网址[[#This Row],[次要关键词]],序列_次要关键词,0)+10)</f>
        <v>11</v>
      </c>
      <c r="D260">
        <f>IF(表_网址[[#This Row],[重点关键词]]="",10,MATCH(表_网址[[#This Row],[重点关键词]],序列_重点关键词,0)+10)</f>
        <v>10</v>
      </c>
      <c r="E260">
        <f>IF(AND(表_网址[[#This Row],[首要关键词]]=K259,表_网址[[#This Row],[次要关键词]]=L259,表_网址[[#This Row],[重点关键词]]=M259),E259+1,IF(表_网址[[#This Row],[重点关键词]]="",100,101))</f>
        <v>105</v>
      </c>
      <c r="F260" t="s">
        <v>1254</v>
      </c>
      <c r="G260" t="s">
        <v>1255</v>
      </c>
      <c r="I260" t="s">
        <v>1256</v>
      </c>
      <c r="J260" t="s">
        <v>734</v>
      </c>
      <c r="K260" t="s">
        <v>1257</v>
      </c>
      <c r="L260" t="s">
        <v>1261</v>
      </c>
      <c r="N260">
        <v>999</v>
      </c>
      <c r="O260">
        <v>999</v>
      </c>
      <c r="Q260">
        <v>16</v>
      </c>
    </row>
    <row r="261" spans="1:17" x14ac:dyDescent="0.2">
      <c r="A261" t="str">
        <f ca="1">表_网址[[#This Row],[1级]]&amp;"-"&amp;表_网址[[#This Row],[2级]]&amp;"-"&amp;表_网址[[#This Row],[3级]]&amp;"-"&amp;表_网址[[#This Row],[级内]]</f>
        <v>6008-12-10-100</v>
      </c>
      <c r="B261">
        <f ca="1">MATCH(表_网址[[#This Row],[版层分类]],序列_版层分类,0)*1000+MATCH(表_网址[[#This Row],[首要关键词]],序列_首要关键词,0)</f>
        <v>6008</v>
      </c>
      <c r="C261">
        <f ca="1">IF(表_网址[[#This Row],[次要关键词]]="",10,MATCH(表_网址[[#This Row],[次要关键词]],序列_次要关键词,0)+10)</f>
        <v>12</v>
      </c>
      <c r="D261">
        <f>IF(表_网址[[#This Row],[重点关键词]]="",10,MATCH(表_网址[[#This Row],[重点关键词]],序列_重点关键词,0)+10)</f>
        <v>10</v>
      </c>
      <c r="E261">
        <f>IF(AND(表_网址[[#This Row],[首要关键词]]=K260,表_网址[[#This Row],[次要关键词]]=L260,表_网址[[#This Row],[重点关键词]]=M260),E260+1,IF(表_网址[[#This Row],[重点关键词]]="",100,101))</f>
        <v>100</v>
      </c>
      <c r="F261" t="s">
        <v>1274</v>
      </c>
      <c r="G261" t="s">
        <v>1275</v>
      </c>
      <c r="H261" t="s">
        <v>1276</v>
      </c>
      <c r="I261" t="s">
        <v>1277</v>
      </c>
      <c r="J261" t="s">
        <v>734</v>
      </c>
      <c r="K261" t="s">
        <v>1257</v>
      </c>
      <c r="L261" t="s">
        <v>1278</v>
      </c>
      <c r="N261">
        <v>999</v>
      </c>
      <c r="O261">
        <v>999</v>
      </c>
      <c r="Q261">
        <v>16</v>
      </c>
    </row>
    <row r="262" spans="1:17" x14ac:dyDescent="0.2">
      <c r="A262" t="str">
        <f ca="1">表_网址[[#This Row],[1级]]&amp;"-"&amp;表_网址[[#This Row],[2级]]&amp;"-"&amp;表_网址[[#This Row],[3级]]&amp;"-"&amp;表_网址[[#This Row],[级内]]</f>
        <v>6008-13-10-100</v>
      </c>
      <c r="B262">
        <f ca="1">MATCH(表_网址[[#This Row],[版层分类]],序列_版层分类,0)*1000+MATCH(表_网址[[#This Row],[首要关键词]],序列_首要关键词,0)</f>
        <v>6008</v>
      </c>
      <c r="C262">
        <f ca="1">IF(表_网址[[#This Row],[次要关键词]]="",10,MATCH(表_网址[[#This Row],[次要关键词]],序列_次要关键词,0)+10)</f>
        <v>13</v>
      </c>
      <c r="D262">
        <f>IF(表_网址[[#This Row],[重点关键词]]="",10,MATCH(表_网址[[#This Row],[重点关键词]],序列_重点关键词,0)+10)</f>
        <v>10</v>
      </c>
      <c r="E262">
        <f>IF(AND(表_网址[[#This Row],[首要关键词]]=K261,表_网址[[#This Row],[次要关键词]]=L261,表_网址[[#This Row],[重点关键词]]=M261),E261+1,IF(表_网址[[#This Row],[重点关键词]]="",100,101))</f>
        <v>100</v>
      </c>
      <c r="F262" t="s">
        <v>1279</v>
      </c>
      <c r="G262" t="s">
        <v>1280</v>
      </c>
      <c r="I262" t="s">
        <v>1281</v>
      </c>
      <c r="J262" t="s">
        <v>734</v>
      </c>
      <c r="K262" t="s">
        <v>1257</v>
      </c>
      <c r="L262" t="s">
        <v>1282</v>
      </c>
      <c r="N262">
        <v>999</v>
      </c>
      <c r="O262">
        <v>999</v>
      </c>
      <c r="Q262">
        <v>16</v>
      </c>
    </row>
    <row r="263" spans="1:17" x14ac:dyDescent="0.2">
      <c r="A263" t="str">
        <f ca="1">表_网址[[#This Row],[1级]]&amp;"-"&amp;表_网址[[#This Row],[2级]]&amp;"-"&amp;表_网址[[#This Row],[3级]]&amp;"-"&amp;表_网址[[#This Row],[级内]]</f>
        <v>6009-10-10-100</v>
      </c>
      <c r="B263">
        <f ca="1">MATCH(表_网址[[#This Row],[版层分类]],序列_版层分类,0)*1000+MATCH(表_网址[[#This Row],[首要关键词]],序列_首要关键词,0)</f>
        <v>6009</v>
      </c>
      <c r="C263">
        <f>IF(表_网址[[#This Row],[次要关键词]]="",10,MATCH(表_网址[[#This Row],[次要关键词]],序列_次要关键词,0)+10)</f>
        <v>10</v>
      </c>
      <c r="D263">
        <f>IF(表_网址[[#This Row],[重点关键词]]="",10,MATCH(表_网址[[#This Row],[重点关键词]],序列_重点关键词,0)+10)</f>
        <v>10</v>
      </c>
      <c r="E263">
        <f>IF(AND(表_网址[[#This Row],[首要关键词]]=K262,表_网址[[#This Row],[次要关键词]]=L262,表_网址[[#This Row],[重点关键词]]=M262),E262+1,IF(表_网址[[#This Row],[重点关键词]]="",100,101))</f>
        <v>100</v>
      </c>
      <c r="F263" t="s">
        <v>693</v>
      </c>
      <c r="G263" t="s">
        <v>694</v>
      </c>
      <c r="H263" t="s">
        <v>29</v>
      </c>
      <c r="I263" t="s">
        <v>695</v>
      </c>
      <c r="J263" t="s">
        <v>734</v>
      </c>
      <c r="K263" t="s">
        <v>573</v>
      </c>
      <c r="N263">
        <v>999</v>
      </c>
      <c r="O263">
        <v>999</v>
      </c>
      <c r="Q263">
        <v>32</v>
      </c>
    </row>
    <row r="264" spans="1:17" x14ac:dyDescent="0.2">
      <c r="A264" t="str">
        <f ca="1">表_网址[[#This Row],[1级]]&amp;"-"&amp;表_网址[[#This Row],[2级]]&amp;"-"&amp;表_网址[[#This Row],[3级]]&amp;"-"&amp;表_网址[[#This Row],[级内]]</f>
        <v>6009-10-10-101</v>
      </c>
      <c r="B264">
        <f ca="1">MATCH(表_网址[[#This Row],[版层分类]],序列_版层分类,0)*1000+MATCH(表_网址[[#This Row],[首要关键词]],序列_首要关键词,0)</f>
        <v>6009</v>
      </c>
      <c r="C264">
        <f>IF(表_网址[[#This Row],[次要关键词]]="",10,MATCH(表_网址[[#This Row],[次要关键词]],序列_次要关键词,0)+10)</f>
        <v>10</v>
      </c>
      <c r="D264">
        <f>IF(表_网址[[#This Row],[重点关键词]]="",10,MATCH(表_网址[[#This Row],[重点关键词]],序列_重点关键词,0)+10)</f>
        <v>10</v>
      </c>
      <c r="E264">
        <f>IF(AND(表_网址[[#This Row],[首要关键词]]=K263,表_网址[[#This Row],[次要关键词]]=L263,表_网址[[#This Row],[重点关键词]]=M263),E263+1,IF(表_网址[[#This Row],[重点关键词]]="",100,101))</f>
        <v>101</v>
      </c>
      <c r="F264" t="s">
        <v>696</v>
      </c>
      <c r="G264" t="s">
        <v>697</v>
      </c>
      <c r="H264" t="s">
        <v>29</v>
      </c>
      <c r="I264" t="s">
        <v>698</v>
      </c>
      <c r="J264" t="s">
        <v>734</v>
      </c>
      <c r="K264" t="s">
        <v>573</v>
      </c>
      <c r="N264">
        <v>999</v>
      </c>
      <c r="O264">
        <v>999</v>
      </c>
      <c r="Q264">
        <v>32</v>
      </c>
    </row>
    <row r="265" spans="1:17" x14ac:dyDescent="0.2">
      <c r="A265" t="str">
        <f ca="1">表_网址[[#This Row],[1级]]&amp;"-"&amp;表_网址[[#This Row],[2级]]&amp;"-"&amp;表_网址[[#This Row],[3级]]&amp;"-"&amp;表_网址[[#This Row],[级内]]</f>
        <v>6009-10-10-102</v>
      </c>
      <c r="B265">
        <f ca="1">MATCH(表_网址[[#This Row],[版层分类]],序列_版层分类,0)*1000+MATCH(表_网址[[#This Row],[首要关键词]],序列_首要关键词,0)</f>
        <v>6009</v>
      </c>
      <c r="C265">
        <f>IF(表_网址[[#This Row],[次要关键词]]="",10,MATCH(表_网址[[#This Row],[次要关键词]],序列_次要关键词,0)+10)</f>
        <v>10</v>
      </c>
      <c r="D265">
        <f>IF(表_网址[[#This Row],[重点关键词]]="",10,MATCH(表_网址[[#This Row],[重点关键词]],序列_重点关键词,0)+10)</f>
        <v>10</v>
      </c>
      <c r="E265">
        <f>IF(AND(表_网址[[#This Row],[首要关键词]]=K264,表_网址[[#This Row],[次要关键词]]=L264,表_网址[[#This Row],[重点关键词]]=M264),E264+1,IF(表_网址[[#This Row],[重点关键词]]="",100,101))</f>
        <v>102</v>
      </c>
      <c r="F265" t="s">
        <v>699</v>
      </c>
      <c r="G265" t="s">
        <v>700</v>
      </c>
      <c r="I265" t="s">
        <v>701</v>
      </c>
      <c r="J265" t="s">
        <v>734</v>
      </c>
      <c r="K265" t="s">
        <v>573</v>
      </c>
      <c r="N265">
        <v>999</v>
      </c>
      <c r="O265">
        <v>999</v>
      </c>
      <c r="Q265">
        <v>16</v>
      </c>
    </row>
    <row r="266" spans="1:17" x14ac:dyDescent="0.2">
      <c r="A266" t="str">
        <f ca="1">表_网址[[#This Row],[1级]]&amp;"-"&amp;表_网址[[#This Row],[2级]]&amp;"-"&amp;表_网址[[#This Row],[3级]]&amp;"-"&amp;表_网址[[#This Row],[级内]]</f>
        <v>7003-10-10-100</v>
      </c>
      <c r="B266">
        <f ca="1">MATCH(表_网址[[#This Row],[版层分类]],序列_版层分类,0)*1000+MATCH(表_网址[[#This Row],[首要关键词]],序列_首要关键词,0)</f>
        <v>7003</v>
      </c>
      <c r="C266">
        <f>IF(表_网址[[#This Row],[次要关键词]]="",10,MATCH(表_网址[[#This Row],[次要关键词]],序列_次要关键词,0)+10)</f>
        <v>10</v>
      </c>
      <c r="D266">
        <f>IF(表_网址[[#This Row],[重点关键词]]="",10,MATCH(表_网址[[#This Row],[重点关键词]],序列_重点关键词,0)+10)</f>
        <v>10</v>
      </c>
      <c r="E266">
        <f>IF(AND(表_网址[[#This Row],[首要关键词]]=K265,表_网址[[#This Row],[次要关键词]]=L265,表_网址[[#This Row],[重点关键词]]=M265),E265+1,IF(表_网址[[#This Row],[重点关键词]]="",100,101))</f>
        <v>100</v>
      </c>
      <c r="F266" t="s">
        <v>19</v>
      </c>
      <c r="G266" t="s">
        <v>20</v>
      </c>
      <c r="H266" t="s">
        <v>21</v>
      </c>
      <c r="I266" t="s">
        <v>22</v>
      </c>
      <c r="J266" t="s">
        <v>23</v>
      </c>
      <c r="K266" t="s">
        <v>24</v>
      </c>
      <c r="N266">
        <v>999</v>
      </c>
      <c r="O266">
        <v>999</v>
      </c>
      <c r="Q266">
        <v>16</v>
      </c>
    </row>
    <row r="267" spans="1:17" x14ac:dyDescent="0.2">
      <c r="A267" t="str">
        <f ca="1">表_网址[[#This Row],[1级]]&amp;"-"&amp;表_网址[[#This Row],[2级]]&amp;"-"&amp;表_网址[[#This Row],[3级]]&amp;"-"&amp;表_网址[[#This Row],[级内]]</f>
        <v>7003-11-10-100</v>
      </c>
      <c r="B267">
        <f ca="1">MATCH(表_网址[[#This Row],[版层分类]],序列_版层分类,0)*1000+MATCH(表_网址[[#This Row],[首要关键词]],序列_首要关键词,0)</f>
        <v>7003</v>
      </c>
      <c r="C267">
        <f ca="1">IF(表_网址[[#This Row],[次要关键词]]="",10,MATCH(表_网址[[#This Row],[次要关键词]],序列_次要关键词,0)+10)</f>
        <v>11</v>
      </c>
      <c r="D267">
        <f>IF(表_网址[[#This Row],[重点关键词]]="",10,MATCH(表_网址[[#This Row],[重点关键词]],序列_重点关键词,0)+10)</f>
        <v>10</v>
      </c>
      <c r="E267">
        <f>IF(AND(表_网址[[#This Row],[首要关键词]]=K266,表_网址[[#This Row],[次要关键词]]=L266,表_网址[[#This Row],[重点关键词]]=M266),E266+1,IF(表_网址[[#This Row],[重点关键词]]="",100,101))</f>
        <v>100</v>
      </c>
      <c r="F267" t="s">
        <v>25</v>
      </c>
      <c r="J267" t="s">
        <v>23</v>
      </c>
      <c r="K267" t="s">
        <v>24</v>
      </c>
      <c r="L267" t="s">
        <v>26</v>
      </c>
    </row>
    <row r="268" spans="1:17" x14ac:dyDescent="0.2">
      <c r="A268" t="str">
        <f ca="1">表_网址[[#This Row],[1级]]&amp;"-"&amp;表_网址[[#This Row],[2级]]&amp;"-"&amp;表_网址[[#This Row],[3级]]&amp;"-"&amp;表_网址[[#This Row],[级内]]</f>
        <v>7003-11-11-101</v>
      </c>
      <c r="B268">
        <f ca="1">MATCH(表_网址[[#This Row],[版层分类]],序列_版层分类,0)*1000+MATCH(表_网址[[#This Row],[首要关键词]],序列_首要关键词,0)</f>
        <v>7003</v>
      </c>
      <c r="C268">
        <f ca="1">IF(表_网址[[#This Row],[次要关键词]]="",10,MATCH(表_网址[[#This Row],[次要关键词]],序列_次要关键词,0)+10)</f>
        <v>11</v>
      </c>
      <c r="D268">
        <f ca="1">IF(表_网址[[#This Row],[重点关键词]]="",10,MATCH(表_网址[[#This Row],[重点关键词]],序列_重点关键词,0)+10)</f>
        <v>11</v>
      </c>
      <c r="E268">
        <f>IF(AND(表_网址[[#This Row],[首要关键词]]=K267,表_网址[[#This Row],[次要关键词]]=L267,表_网址[[#This Row],[重点关键词]]=M267),E267+1,IF(表_网址[[#This Row],[重点关键词]]="",100,101))</f>
        <v>101</v>
      </c>
      <c r="F268" t="s">
        <v>27</v>
      </c>
      <c r="G268" t="s">
        <v>28</v>
      </c>
      <c r="H268" t="s">
        <v>29</v>
      </c>
      <c r="I268" t="s">
        <v>30</v>
      </c>
      <c r="J268" t="s">
        <v>23</v>
      </c>
      <c r="K268" t="s">
        <v>24</v>
      </c>
      <c r="L268" t="s">
        <v>26</v>
      </c>
      <c r="M268" t="s">
        <v>31</v>
      </c>
      <c r="N268">
        <v>999</v>
      </c>
    </row>
    <row r="269" spans="1:17" x14ac:dyDescent="0.2">
      <c r="A269" t="str">
        <f ca="1">表_网址[[#This Row],[1级]]&amp;"-"&amp;表_网址[[#This Row],[2级]]&amp;"-"&amp;表_网址[[#This Row],[3级]]&amp;"-"&amp;表_网址[[#This Row],[级内]]</f>
        <v>7003-11-11-102</v>
      </c>
      <c r="B269">
        <f ca="1">MATCH(表_网址[[#This Row],[版层分类]],序列_版层分类,0)*1000+MATCH(表_网址[[#This Row],[首要关键词]],序列_首要关键词,0)</f>
        <v>7003</v>
      </c>
      <c r="C269">
        <f ca="1">IF(表_网址[[#This Row],[次要关键词]]="",10,MATCH(表_网址[[#This Row],[次要关键词]],序列_次要关键词,0)+10)</f>
        <v>11</v>
      </c>
      <c r="D269">
        <f ca="1">IF(表_网址[[#This Row],[重点关键词]]="",10,MATCH(表_网址[[#This Row],[重点关键词]],序列_重点关键词,0)+10)</f>
        <v>11</v>
      </c>
      <c r="E269">
        <f>IF(AND(表_网址[[#This Row],[首要关键词]]=K268,表_网址[[#This Row],[次要关键词]]=L268,表_网址[[#This Row],[重点关键词]]=M268),E268+1,IF(表_网址[[#This Row],[重点关键词]]="",100,101))</f>
        <v>102</v>
      </c>
      <c r="F269" t="s">
        <v>32</v>
      </c>
      <c r="G269" t="s">
        <v>33</v>
      </c>
      <c r="H269" t="s">
        <v>29</v>
      </c>
      <c r="I269" t="s">
        <v>34</v>
      </c>
      <c r="J269" t="s">
        <v>23</v>
      </c>
      <c r="K269" t="s">
        <v>24</v>
      </c>
      <c r="L269" t="s">
        <v>26</v>
      </c>
      <c r="M269" t="s">
        <v>31</v>
      </c>
      <c r="N269">
        <v>999</v>
      </c>
      <c r="Q269">
        <v>256</v>
      </c>
    </row>
    <row r="270" spans="1:17" x14ac:dyDescent="0.2">
      <c r="A270" t="str">
        <f ca="1">表_网址[[#This Row],[1级]]&amp;"-"&amp;表_网址[[#This Row],[2级]]&amp;"-"&amp;表_网址[[#This Row],[3级]]&amp;"-"&amp;表_网址[[#This Row],[级内]]</f>
        <v>7003-11-11-103</v>
      </c>
      <c r="B270">
        <f ca="1">MATCH(表_网址[[#This Row],[版层分类]],序列_版层分类,0)*1000+MATCH(表_网址[[#This Row],[首要关键词]],序列_首要关键词,0)</f>
        <v>7003</v>
      </c>
      <c r="C270">
        <f ca="1">IF(表_网址[[#This Row],[次要关键词]]="",10,MATCH(表_网址[[#This Row],[次要关键词]],序列_次要关键词,0)+10)</f>
        <v>11</v>
      </c>
      <c r="D270">
        <f ca="1">IF(表_网址[[#This Row],[重点关键词]]="",10,MATCH(表_网址[[#This Row],[重点关键词]],序列_重点关键词,0)+10)</f>
        <v>11</v>
      </c>
      <c r="E270">
        <f>IF(AND(表_网址[[#This Row],[首要关键词]]=K269,表_网址[[#This Row],[次要关键词]]=L269,表_网址[[#This Row],[重点关键词]]=M269),E269+1,IF(表_网址[[#This Row],[重点关键词]]="",100,101))</f>
        <v>103</v>
      </c>
      <c r="F270" t="s">
        <v>35</v>
      </c>
      <c r="G270" t="s">
        <v>36</v>
      </c>
      <c r="H270" t="s">
        <v>29</v>
      </c>
      <c r="I270" t="s">
        <v>37</v>
      </c>
      <c r="J270" t="s">
        <v>23</v>
      </c>
      <c r="K270" t="s">
        <v>24</v>
      </c>
      <c r="L270" t="s">
        <v>26</v>
      </c>
      <c r="M270" t="s">
        <v>31</v>
      </c>
      <c r="N270">
        <v>999</v>
      </c>
    </row>
    <row r="271" spans="1:17" x14ac:dyDescent="0.2">
      <c r="A271" t="str">
        <f ca="1">表_网址[[#This Row],[1级]]&amp;"-"&amp;表_网址[[#This Row],[2级]]&amp;"-"&amp;表_网址[[#This Row],[3级]]&amp;"-"&amp;表_网址[[#This Row],[级内]]</f>
        <v>7003-11-11-104</v>
      </c>
      <c r="B271">
        <f ca="1">MATCH(表_网址[[#This Row],[版层分类]],序列_版层分类,0)*1000+MATCH(表_网址[[#This Row],[首要关键词]],序列_首要关键词,0)</f>
        <v>7003</v>
      </c>
      <c r="C271">
        <f ca="1">IF(表_网址[[#This Row],[次要关键词]]="",10,MATCH(表_网址[[#This Row],[次要关键词]],序列_次要关键词,0)+10)</f>
        <v>11</v>
      </c>
      <c r="D271">
        <f ca="1">IF(表_网址[[#This Row],[重点关键词]]="",10,MATCH(表_网址[[#This Row],[重点关键词]],序列_重点关键词,0)+10)</f>
        <v>11</v>
      </c>
      <c r="E271">
        <f>IF(AND(表_网址[[#This Row],[首要关键词]]=K270,表_网址[[#This Row],[次要关键词]]=L270,表_网址[[#This Row],[重点关键词]]=M270),E270+1,IF(表_网址[[#This Row],[重点关键词]]="",100,101))</f>
        <v>104</v>
      </c>
      <c r="F271" t="s">
        <v>38</v>
      </c>
      <c r="G271" t="s">
        <v>39</v>
      </c>
      <c r="H271" t="s">
        <v>29</v>
      </c>
      <c r="I271" t="s">
        <v>40</v>
      </c>
      <c r="J271" t="s">
        <v>23</v>
      </c>
      <c r="K271" t="s">
        <v>24</v>
      </c>
      <c r="L271" t="s">
        <v>26</v>
      </c>
      <c r="M271" t="s">
        <v>31</v>
      </c>
      <c r="N271">
        <v>999</v>
      </c>
      <c r="Q271">
        <v>16</v>
      </c>
    </row>
    <row r="272" spans="1:17" x14ac:dyDescent="0.2">
      <c r="A272" t="str">
        <f ca="1">表_网址[[#This Row],[1级]]&amp;"-"&amp;表_网址[[#This Row],[2级]]&amp;"-"&amp;表_网址[[#This Row],[3级]]&amp;"-"&amp;表_网址[[#This Row],[级内]]</f>
        <v>7003-11-11-105</v>
      </c>
      <c r="B272">
        <f ca="1">MATCH(表_网址[[#This Row],[版层分类]],序列_版层分类,0)*1000+MATCH(表_网址[[#This Row],[首要关键词]],序列_首要关键词,0)</f>
        <v>7003</v>
      </c>
      <c r="C272">
        <f ca="1">IF(表_网址[[#This Row],[次要关键词]]="",10,MATCH(表_网址[[#This Row],[次要关键词]],序列_次要关键词,0)+10)</f>
        <v>11</v>
      </c>
      <c r="D272">
        <f ca="1">IF(表_网址[[#This Row],[重点关键词]]="",10,MATCH(表_网址[[#This Row],[重点关键词]],序列_重点关键词,0)+10)</f>
        <v>11</v>
      </c>
      <c r="E272">
        <f>IF(AND(表_网址[[#This Row],[首要关键词]]=K271,表_网址[[#This Row],[次要关键词]]=L271,表_网址[[#This Row],[重点关键词]]=M271),E271+1,IF(表_网址[[#This Row],[重点关键词]]="",100,101))</f>
        <v>105</v>
      </c>
      <c r="F272" t="s">
        <v>41</v>
      </c>
      <c r="G272" t="s">
        <v>42</v>
      </c>
      <c r="H272" t="s">
        <v>29</v>
      </c>
      <c r="I272" t="s">
        <v>40</v>
      </c>
      <c r="J272" t="s">
        <v>23</v>
      </c>
      <c r="K272" t="s">
        <v>24</v>
      </c>
      <c r="L272" t="s">
        <v>26</v>
      </c>
      <c r="M272" t="s">
        <v>31</v>
      </c>
      <c r="N272">
        <v>999</v>
      </c>
      <c r="Q272">
        <v>16</v>
      </c>
    </row>
    <row r="273" spans="1:17" x14ac:dyDescent="0.2">
      <c r="A273" t="str">
        <f ca="1">表_网址[[#This Row],[1级]]&amp;"-"&amp;表_网址[[#This Row],[2级]]&amp;"-"&amp;表_网址[[#This Row],[3级]]&amp;"-"&amp;表_网址[[#This Row],[级内]]</f>
        <v>7003-11-11-106</v>
      </c>
      <c r="B273">
        <f ca="1">MATCH(表_网址[[#This Row],[版层分类]],序列_版层分类,0)*1000+MATCH(表_网址[[#This Row],[首要关键词]],序列_首要关键词,0)</f>
        <v>7003</v>
      </c>
      <c r="C273">
        <f ca="1">IF(表_网址[[#This Row],[次要关键词]]="",10,MATCH(表_网址[[#This Row],[次要关键词]],序列_次要关键词,0)+10)</f>
        <v>11</v>
      </c>
      <c r="D273">
        <f ca="1">IF(表_网址[[#This Row],[重点关键词]]="",10,MATCH(表_网址[[#This Row],[重点关键词]],序列_重点关键词,0)+10)</f>
        <v>11</v>
      </c>
      <c r="E273">
        <f>IF(AND(表_网址[[#This Row],[首要关键词]]=K272,表_网址[[#This Row],[次要关键词]]=L272,表_网址[[#This Row],[重点关键词]]=M272),E272+1,IF(表_网址[[#This Row],[重点关键词]]="",100,101))</f>
        <v>106</v>
      </c>
      <c r="F273" t="s">
        <v>43</v>
      </c>
      <c r="G273" t="s">
        <v>44</v>
      </c>
      <c r="H273" t="s">
        <v>29</v>
      </c>
      <c r="I273" t="s">
        <v>45</v>
      </c>
      <c r="J273" t="s">
        <v>23</v>
      </c>
      <c r="K273" t="s">
        <v>24</v>
      </c>
      <c r="L273" t="s">
        <v>26</v>
      </c>
      <c r="M273" t="s">
        <v>31</v>
      </c>
      <c r="N273">
        <v>999</v>
      </c>
      <c r="Q273">
        <v>16</v>
      </c>
    </row>
    <row r="274" spans="1:17" x14ac:dyDescent="0.2">
      <c r="A274" t="str">
        <f ca="1">表_网址[[#This Row],[1级]]&amp;"-"&amp;表_网址[[#This Row],[2级]]&amp;"-"&amp;表_网址[[#This Row],[3级]]&amp;"-"&amp;表_网址[[#This Row],[级内]]</f>
        <v>7003-11-11-107</v>
      </c>
      <c r="B274">
        <f ca="1">MATCH(表_网址[[#This Row],[版层分类]],序列_版层分类,0)*1000+MATCH(表_网址[[#This Row],[首要关键词]],序列_首要关键词,0)</f>
        <v>7003</v>
      </c>
      <c r="C274">
        <f ca="1">IF(表_网址[[#This Row],[次要关键词]]="",10,MATCH(表_网址[[#This Row],[次要关键词]],序列_次要关键词,0)+10)</f>
        <v>11</v>
      </c>
      <c r="D274">
        <f ca="1">IF(表_网址[[#This Row],[重点关键词]]="",10,MATCH(表_网址[[#This Row],[重点关键词]],序列_重点关键词,0)+10)</f>
        <v>11</v>
      </c>
      <c r="E274">
        <f>IF(AND(表_网址[[#This Row],[首要关键词]]=K273,表_网址[[#This Row],[次要关键词]]=L273,表_网址[[#This Row],[重点关键词]]=M273),E273+1,IF(表_网址[[#This Row],[重点关键词]]="",100,101))</f>
        <v>107</v>
      </c>
      <c r="F274" t="s">
        <v>46</v>
      </c>
      <c r="G274" t="s">
        <v>47</v>
      </c>
      <c r="H274" t="s">
        <v>29</v>
      </c>
      <c r="I274" t="s">
        <v>48</v>
      </c>
      <c r="J274" t="s">
        <v>23</v>
      </c>
      <c r="K274" t="s">
        <v>24</v>
      </c>
      <c r="L274" t="s">
        <v>26</v>
      </c>
      <c r="M274" t="s">
        <v>31</v>
      </c>
      <c r="N274">
        <v>999</v>
      </c>
      <c r="O274">
        <v>999</v>
      </c>
      <c r="Q274">
        <v>32</v>
      </c>
    </row>
    <row r="275" spans="1:17" x14ac:dyDescent="0.2">
      <c r="A275" t="str">
        <f ca="1">表_网址[[#This Row],[1级]]&amp;"-"&amp;表_网址[[#This Row],[2级]]&amp;"-"&amp;表_网址[[#This Row],[3级]]&amp;"-"&amp;表_网址[[#This Row],[级内]]</f>
        <v>7003-11-11-108</v>
      </c>
      <c r="B275">
        <f ca="1">MATCH(表_网址[[#This Row],[版层分类]],序列_版层分类,0)*1000+MATCH(表_网址[[#This Row],[首要关键词]],序列_首要关键词,0)</f>
        <v>7003</v>
      </c>
      <c r="C275">
        <f ca="1">IF(表_网址[[#This Row],[次要关键词]]="",10,MATCH(表_网址[[#This Row],[次要关键词]],序列_次要关键词,0)+10)</f>
        <v>11</v>
      </c>
      <c r="D275">
        <f ca="1">IF(表_网址[[#This Row],[重点关键词]]="",10,MATCH(表_网址[[#This Row],[重点关键词]],序列_重点关键词,0)+10)</f>
        <v>11</v>
      </c>
      <c r="E275">
        <f>IF(AND(表_网址[[#This Row],[首要关键词]]=K274,表_网址[[#This Row],[次要关键词]]=L274,表_网址[[#This Row],[重点关键词]]=M274),E274+1,IF(表_网址[[#This Row],[重点关键词]]="",100,101))</f>
        <v>108</v>
      </c>
      <c r="F275" t="s">
        <v>49</v>
      </c>
      <c r="G275" t="s">
        <v>50</v>
      </c>
      <c r="H275" t="s">
        <v>29</v>
      </c>
      <c r="I275" t="s">
        <v>51</v>
      </c>
      <c r="J275" t="s">
        <v>23</v>
      </c>
      <c r="K275" t="s">
        <v>24</v>
      </c>
      <c r="L275" t="s">
        <v>26</v>
      </c>
      <c r="M275" t="s">
        <v>31</v>
      </c>
      <c r="N275">
        <v>999</v>
      </c>
    </row>
    <row r="276" spans="1:17" x14ac:dyDescent="0.2">
      <c r="A276" t="str">
        <f ca="1">表_网址[[#This Row],[1级]]&amp;"-"&amp;表_网址[[#This Row],[2级]]&amp;"-"&amp;表_网址[[#This Row],[3级]]&amp;"-"&amp;表_网址[[#This Row],[级内]]</f>
        <v>7003-11-11-109</v>
      </c>
      <c r="B276">
        <f ca="1">MATCH(表_网址[[#This Row],[版层分类]],序列_版层分类,0)*1000+MATCH(表_网址[[#This Row],[首要关键词]],序列_首要关键词,0)</f>
        <v>7003</v>
      </c>
      <c r="C276">
        <f ca="1">IF(表_网址[[#This Row],[次要关键词]]="",10,MATCH(表_网址[[#This Row],[次要关键词]],序列_次要关键词,0)+10)</f>
        <v>11</v>
      </c>
      <c r="D276">
        <f ca="1">IF(表_网址[[#This Row],[重点关键词]]="",10,MATCH(表_网址[[#This Row],[重点关键词]],序列_重点关键词,0)+10)</f>
        <v>11</v>
      </c>
      <c r="E276">
        <f>IF(AND(表_网址[[#This Row],[首要关键词]]=K275,表_网址[[#This Row],[次要关键词]]=L275,表_网址[[#This Row],[重点关键词]]=M275),E275+1,IF(表_网址[[#This Row],[重点关键词]]="",100,101))</f>
        <v>109</v>
      </c>
      <c r="F276" t="s">
        <v>52</v>
      </c>
      <c r="G276" t="s">
        <v>53</v>
      </c>
      <c r="H276" t="s">
        <v>29</v>
      </c>
      <c r="I276" t="s">
        <v>54</v>
      </c>
      <c r="J276" t="s">
        <v>23</v>
      </c>
      <c r="K276" t="s">
        <v>24</v>
      </c>
      <c r="L276" t="s">
        <v>26</v>
      </c>
      <c r="M276" t="s">
        <v>31</v>
      </c>
      <c r="N276">
        <v>999</v>
      </c>
    </row>
    <row r="277" spans="1:17" x14ac:dyDescent="0.2">
      <c r="A277" t="str">
        <f ca="1">表_网址[[#This Row],[1级]]&amp;"-"&amp;表_网址[[#This Row],[2级]]&amp;"-"&amp;表_网址[[#This Row],[3级]]&amp;"-"&amp;表_网址[[#This Row],[级内]]</f>
        <v>7003-11-11-110</v>
      </c>
      <c r="B277">
        <f ca="1">MATCH(表_网址[[#This Row],[版层分类]],序列_版层分类,0)*1000+MATCH(表_网址[[#This Row],[首要关键词]],序列_首要关键词,0)</f>
        <v>7003</v>
      </c>
      <c r="C277">
        <f ca="1">IF(表_网址[[#This Row],[次要关键词]]="",10,MATCH(表_网址[[#This Row],[次要关键词]],序列_次要关键词,0)+10)</f>
        <v>11</v>
      </c>
      <c r="D277">
        <f ca="1">IF(表_网址[[#This Row],[重点关键词]]="",10,MATCH(表_网址[[#This Row],[重点关键词]],序列_重点关键词,0)+10)</f>
        <v>11</v>
      </c>
      <c r="E277">
        <f>IF(AND(表_网址[[#This Row],[首要关键词]]=K276,表_网址[[#This Row],[次要关键词]]=L276,表_网址[[#This Row],[重点关键词]]=M276),E276+1,IF(表_网址[[#This Row],[重点关键词]]="",100,101))</f>
        <v>110</v>
      </c>
      <c r="F277" t="s">
        <v>55</v>
      </c>
      <c r="G277" t="s">
        <v>56</v>
      </c>
      <c r="H277" t="s">
        <v>29</v>
      </c>
      <c r="I277" t="s">
        <v>57</v>
      </c>
      <c r="J277" t="s">
        <v>23</v>
      </c>
      <c r="K277" t="s">
        <v>24</v>
      </c>
      <c r="L277" t="s">
        <v>26</v>
      </c>
      <c r="M277" t="s">
        <v>31</v>
      </c>
      <c r="N277">
        <v>999</v>
      </c>
      <c r="O277">
        <v>999</v>
      </c>
      <c r="Q277">
        <v>32</v>
      </c>
    </row>
    <row r="278" spans="1:17" x14ac:dyDescent="0.2">
      <c r="A278" t="str">
        <f ca="1">表_网址[[#This Row],[1级]]&amp;"-"&amp;表_网址[[#This Row],[2级]]&amp;"-"&amp;表_网址[[#This Row],[3级]]&amp;"-"&amp;表_网址[[#This Row],[级内]]</f>
        <v>7003-11-11-111</v>
      </c>
      <c r="B278">
        <f ca="1">MATCH(表_网址[[#This Row],[版层分类]],序列_版层分类,0)*1000+MATCH(表_网址[[#This Row],[首要关键词]],序列_首要关键词,0)</f>
        <v>7003</v>
      </c>
      <c r="C278">
        <f ca="1">IF(表_网址[[#This Row],[次要关键词]]="",10,MATCH(表_网址[[#This Row],[次要关键词]],序列_次要关键词,0)+10)</f>
        <v>11</v>
      </c>
      <c r="D278">
        <f ca="1">IF(表_网址[[#This Row],[重点关键词]]="",10,MATCH(表_网址[[#This Row],[重点关键词]],序列_重点关键词,0)+10)</f>
        <v>11</v>
      </c>
      <c r="E278">
        <f>IF(AND(表_网址[[#This Row],[首要关键词]]=K277,表_网址[[#This Row],[次要关键词]]=L277,表_网址[[#This Row],[重点关键词]]=M277),E277+1,IF(表_网址[[#This Row],[重点关键词]]="",100,101))</f>
        <v>111</v>
      </c>
      <c r="F278" t="s">
        <v>58</v>
      </c>
      <c r="G278" t="s">
        <v>59</v>
      </c>
      <c r="H278" t="s">
        <v>29</v>
      </c>
      <c r="I278" t="s">
        <v>60</v>
      </c>
      <c r="J278" t="s">
        <v>23</v>
      </c>
      <c r="K278" t="s">
        <v>24</v>
      </c>
      <c r="L278" t="s">
        <v>26</v>
      </c>
      <c r="M278" t="s">
        <v>31</v>
      </c>
      <c r="N278">
        <v>999</v>
      </c>
      <c r="O278">
        <v>999</v>
      </c>
      <c r="Q278">
        <v>16</v>
      </c>
    </row>
    <row r="279" spans="1:17" x14ac:dyDescent="0.2">
      <c r="A279" t="str">
        <f ca="1">表_网址[[#This Row],[1级]]&amp;"-"&amp;表_网址[[#This Row],[2级]]&amp;"-"&amp;表_网址[[#This Row],[3级]]&amp;"-"&amp;表_网址[[#This Row],[级内]]</f>
        <v>7003-11-11-112</v>
      </c>
      <c r="B279">
        <f ca="1">MATCH(表_网址[[#This Row],[版层分类]],序列_版层分类,0)*1000+MATCH(表_网址[[#This Row],[首要关键词]],序列_首要关键词,0)</f>
        <v>7003</v>
      </c>
      <c r="C279">
        <f ca="1">IF(表_网址[[#This Row],[次要关键词]]="",10,MATCH(表_网址[[#This Row],[次要关键词]],序列_次要关键词,0)+10)</f>
        <v>11</v>
      </c>
      <c r="D279">
        <f ca="1">IF(表_网址[[#This Row],[重点关键词]]="",10,MATCH(表_网址[[#This Row],[重点关键词]],序列_重点关键词,0)+10)</f>
        <v>11</v>
      </c>
      <c r="E279">
        <f>IF(AND(表_网址[[#This Row],[首要关键词]]=K278,表_网址[[#This Row],[次要关键词]]=L278,表_网址[[#This Row],[重点关键词]]=M278),E278+1,IF(表_网址[[#This Row],[重点关键词]]="",100,101))</f>
        <v>112</v>
      </c>
      <c r="F279" t="s">
        <v>61</v>
      </c>
      <c r="H279" t="s">
        <v>29</v>
      </c>
      <c r="J279" t="s">
        <v>23</v>
      </c>
      <c r="K279" t="s">
        <v>24</v>
      </c>
      <c r="L279" t="s">
        <v>26</v>
      </c>
      <c r="M279" t="s">
        <v>31</v>
      </c>
    </row>
    <row r="280" spans="1:17" x14ac:dyDescent="0.2">
      <c r="A280" t="str">
        <f ca="1">表_网址[[#This Row],[1级]]&amp;"-"&amp;表_网址[[#This Row],[2级]]&amp;"-"&amp;表_网址[[#This Row],[3级]]&amp;"-"&amp;表_网址[[#This Row],[级内]]</f>
        <v>7003-11-11-113</v>
      </c>
      <c r="B280">
        <f ca="1">MATCH(表_网址[[#This Row],[版层分类]],序列_版层分类,0)*1000+MATCH(表_网址[[#This Row],[首要关键词]],序列_首要关键词,0)</f>
        <v>7003</v>
      </c>
      <c r="C280">
        <f ca="1">IF(表_网址[[#This Row],[次要关键词]]="",10,MATCH(表_网址[[#This Row],[次要关键词]],序列_次要关键词,0)+10)</f>
        <v>11</v>
      </c>
      <c r="D280">
        <f ca="1">IF(表_网址[[#This Row],[重点关键词]]="",10,MATCH(表_网址[[#This Row],[重点关键词]],序列_重点关键词,0)+10)</f>
        <v>11</v>
      </c>
      <c r="E280">
        <f>IF(AND(表_网址[[#This Row],[首要关键词]]=K279,表_网址[[#This Row],[次要关键词]]=L279,表_网址[[#This Row],[重点关键词]]=M279),E279+1,IF(表_网址[[#This Row],[重点关键词]]="",100,101))</f>
        <v>113</v>
      </c>
      <c r="F280" t="s">
        <v>62</v>
      </c>
      <c r="G280" t="s">
        <v>63</v>
      </c>
      <c r="H280" t="s">
        <v>29</v>
      </c>
      <c r="I280" t="s">
        <v>64</v>
      </c>
      <c r="J280" t="s">
        <v>23</v>
      </c>
      <c r="K280" t="s">
        <v>24</v>
      </c>
      <c r="L280" t="s">
        <v>26</v>
      </c>
      <c r="M280" t="s">
        <v>31</v>
      </c>
      <c r="N280">
        <v>999</v>
      </c>
      <c r="Q280">
        <v>16</v>
      </c>
    </row>
    <row r="281" spans="1:17" x14ac:dyDescent="0.2">
      <c r="A281" t="str">
        <f ca="1">表_网址[[#This Row],[1级]]&amp;"-"&amp;表_网址[[#This Row],[2级]]&amp;"-"&amp;表_网址[[#This Row],[3级]]&amp;"-"&amp;表_网址[[#This Row],[级内]]</f>
        <v>7003-11-11-114</v>
      </c>
      <c r="B281">
        <f ca="1">MATCH(表_网址[[#This Row],[版层分类]],序列_版层分类,0)*1000+MATCH(表_网址[[#This Row],[首要关键词]],序列_首要关键词,0)</f>
        <v>7003</v>
      </c>
      <c r="C281">
        <f ca="1">IF(表_网址[[#This Row],[次要关键词]]="",10,MATCH(表_网址[[#This Row],[次要关键词]],序列_次要关键词,0)+10)</f>
        <v>11</v>
      </c>
      <c r="D281">
        <f ca="1">IF(表_网址[[#This Row],[重点关键词]]="",10,MATCH(表_网址[[#This Row],[重点关键词]],序列_重点关键词,0)+10)</f>
        <v>11</v>
      </c>
      <c r="E281">
        <f>IF(AND(表_网址[[#This Row],[首要关键词]]=K280,表_网址[[#This Row],[次要关键词]]=L280,表_网址[[#This Row],[重点关键词]]=M280),E280+1,IF(表_网址[[#This Row],[重点关键词]]="",100,101))</f>
        <v>114</v>
      </c>
      <c r="F281" t="s">
        <v>65</v>
      </c>
      <c r="G281" t="s">
        <v>66</v>
      </c>
      <c r="H281" t="s">
        <v>29</v>
      </c>
      <c r="I281" t="s">
        <v>67</v>
      </c>
      <c r="J281" t="s">
        <v>23</v>
      </c>
      <c r="K281" t="s">
        <v>24</v>
      </c>
      <c r="L281" t="s">
        <v>26</v>
      </c>
      <c r="M281" t="s">
        <v>31</v>
      </c>
      <c r="N281">
        <v>999</v>
      </c>
      <c r="Q281">
        <v>16</v>
      </c>
    </row>
    <row r="282" spans="1:17" x14ac:dyDescent="0.2">
      <c r="A282" t="str">
        <f ca="1">表_网址[[#This Row],[1级]]&amp;"-"&amp;表_网址[[#This Row],[2级]]&amp;"-"&amp;表_网址[[#This Row],[3级]]&amp;"-"&amp;表_网址[[#This Row],[级内]]</f>
        <v>7003-11-11-115</v>
      </c>
      <c r="B282">
        <f ca="1">MATCH(表_网址[[#This Row],[版层分类]],序列_版层分类,0)*1000+MATCH(表_网址[[#This Row],[首要关键词]],序列_首要关键词,0)</f>
        <v>7003</v>
      </c>
      <c r="C282">
        <f ca="1">IF(表_网址[[#This Row],[次要关键词]]="",10,MATCH(表_网址[[#This Row],[次要关键词]],序列_次要关键词,0)+10)</f>
        <v>11</v>
      </c>
      <c r="D282">
        <f ca="1">IF(表_网址[[#This Row],[重点关键词]]="",10,MATCH(表_网址[[#This Row],[重点关键词]],序列_重点关键词,0)+10)</f>
        <v>11</v>
      </c>
      <c r="E282">
        <f>IF(AND(表_网址[[#This Row],[首要关键词]]=K281,表_网址[[#This Row],[次要关键词]]=L281,表_网址[[#This Row],[重点关键词]]=M281),E281+1,IF(表_网址[[#This Row],[重点关键词]]="",100,101))</f>
        <v>115</v>
      </c>
      <c r="F282" t="s">
        <v>68</v>
      </c>
      <c r="G282" t="s">
        <v>69</v>
      </c>
      <c r="H282" t="s">
        <v>29</v>
      </c>
      <c r="I282" t="s">
        <v>70</v>
      </c>
      <c r="J282" t="s">
        <v>23</v>
      </c>
      <c r="K282" t="s">
        <v>24</v>
      </c>
      <c r="L282" t="s">
        <v>26</v>
      </c>
      <c r="M282" t="s">
        <v>31</v>
      </c>
      <c r="N282">
        <v>999</v>
      </c>
      <c r="Q282">
        <v>16</v>
      </c>
    </row>
    <row r="283" spans="1:17" x14ac:dyDescent="0.2">
      <c r="A283" t="str">
        <f ca="1">表_网址[[#This Row],[1级]]&amp;"-"&amp;表_网址[[#This Row],[2级]]&amp;"-"&amp;表_网址[[#This Row],[3级]]&amp;"-"&amp;表_网址[[#This Row],[级内]]</f>
        <v>7003-11-11-116</v>
      </c>
      <c r="B283">
        <f ca="1">MATCH(表_网址[[#This Row],[版层分类]],序列_版层分类,0)*1000+MATCH(表_网址[[#This Row],[首要关键词]],序列_首要关键词,0)</f>
        <v>7003</v>
      </c>
      <c r="C283">
        <f ca="1">IF(表_网址[[#This Row],[次要关键词]]="",10,MATCH(表_网址[[#This Row],[次要关键词]],序列_次要关键词,0)+10)</f>
        <v>11</v>
      </c>
      <c r="D283">
        <f ca="1">IF(表_网址[[#This Row],[重点关键词]]="",10,MATCH(表_网址[[#This Row],[重点关键词]],序列_重点关键词,0)+10)</f>
        <v>11</v>
      </c>
      <c r="E283">
        <f>IF(AND(表_网址[[#This Row],[首要关键词]]=K282,表_网址[[#This Row],[次要关键词]]=L282,表_网址[[#This Row],[重点关键词]]=M282),E282+1,IF(表_网址[[#This Row],[重点关键词]]="",100,101))</f>
        <v>116</v>
      </c>
      <c r="F283" t="s">
        <v>71</v>
      </c>
      <c r="G283" t="s">
        <v>72</v>
      </c>
      <c r="H283" t="s">
        <v>29</v>
      </c>
      <c r="I283" t="s">
        <v>73</v>
      </c>
      <c r="J283" t="s">
        <v>23</v>
      </c>
      <c r="K283" t="s">
        <v>24</v>
      </c>
      <c r="L283" t="s">
        <v>26</v>
      </c>
      <c r="M283" t="s">
        <v>31</v>
      </c>
      <c r="N283">
        <v>999</v>
      </c>
    </row>
    <row r="284" spans="1:17" x14ac:dyDescent="0.2">
      <c r="A284" t="str">
        <f ca="1">表_网址[[#This Row],[1级]]&amp;"-"&amp;表_网址[[#This Row],[2级]]&amp;"-"&amp;表_网址[[#This Row],[3级]]&amp;"-"&amp;表_网址[[#This Row],[级内]]</f>
        <v>7003-11-11-117</v>
      </c>
      <c r="B284">
        <f ca="1">MATCH(表_网址[[#This Row],[版层分类]],序列_版层分类,0)*1000+MATCH(表_网址[[#This Row],[首要关键词]],序列_首要关键词,0)</f>
        <v>7003</v>
      </c>
      <c r="C284">
        <f ca="1">IF(表_网址[[#This Row],[次要关键词]]="",10,MATCH(表_网址[[#This Row],[次要关键词]],序列_次要关键词,0)+10)</f>
        <v>11</v>
      </c>
      <c r="D284">
        <f ca="1">IF(表_网址[[#This Row],[重点关键词]]="",10,MATCH(表_网址[[#This Row],[重点关键词]],序列_重点关键词,0)+10)</f>
        <v>11</v>
      </c>
      <c r="E284">
        <f>IF(AND(表_网址[[#This Row],[首要关键词]]=K283,表_网址[[#This Row],[次要关键词]]=L283,表_网址[[#This Row],[重点关键词]]=M283),E283+1,IF(表_网址[[#This Row],[重点关键词]]="",100,101))</f>
        <v>117</v>
      </c>
      <c r="F284" t="s">
        <v>74</v>
      </c>
      <c r="G284" t="s">
        <v>75</v>
      </c>
      <c r="H284" t="s">
        <v>29</v>
      </c>
      <c r="J284" t="s">
        <v>23</v>
      </c>
      <c r="K284" t="s">
        <v>24</v>
      </c>
      <c r="L284" t="s">
        <v>26</v>
      </c>
      <c r="M284" t="s">
        <v>31</v>
      </c>
      <c r="N284">
        <v>999</v>
      </c>
    </row>
    <row r="285" spans="1:17" x14ac:dyDescent="0.2">
      <c r="A285" t="str">
        <f ca="1">表_网址[[#This Row],[1级]]&amp;"-"&amp;表_网址[[#This Row],[2级]]&amp;"-"&amp;表_网址[[#This Row],[3级]]&amp;"-"&amp;表_网址[[#This Row],[级内]]</f>
        <v>7003-11-11-118</v>
      </c>
      <c r="B285">
        <f ca="1">MATCH(表_网址[[#This Row],[版层分类]],序列_版层分类,0)*1000+MATCH(表_网址[[#This Row],[首要关键词]],序列_首要关键词,0)</f>
        <v>7003</v>
      </c>
      <c r="C285">
        <f ca="1">IF(表_网址[[#This Row],[次要关键词]]="",10,MATCH(表_网址[[#This Row],[次要关键词]],序列_次要关键词,0)+10)</f>
        <v>11</v>
      </c>
      <c r="D285">
        <f ca="1">IF(表_网址[[#This Row],[重点关键词]]="",10,MATCH(表_网址[[#This Row],[重点关键词]],序列_重点关键词,0)+10)</f>
        <v>11</v>
      </c>
      <c r="E285">
        <f>IF(AND(表_网址[[#This Row],[首要关键词]]=K284,表_网址[[#This Row],[次要关键词]]=L284,表_网址[[#This Row],[重点关键词]]=M284),E284+1,IF(表_网址[[#This Row],[重点关键词]]="",100,101))</f>
        <v>118</v>
      </c>
      <c r="F285" t="s">
        <v>76</v>
      </c>
      <c r="G285" t="s">
        <v>77</v>
      </c>
      <c r="H285" t="s">
        <v>29</v>
      </c>
      <c r="I285" t="s">
        <v>78</v>
      </c>
      <c r="J285" t="s">
        <v>23</v>
      </c>
      <c r="K285" t="s">
        <v>24</v>
      </c>
      <c r="L285" t="s">
        <v>26</v>
      </c>
      <c r="M285" t="s">
        <v>31</v>
      </c>
      <c r="N285">
        <v>999</v>
      </c>
      <c r="O285">
        <v>999</v>
      </c>
      <c r="Q285">
        <v>16</v>
      </c>
    </row>
    <row r="286" spans="1:17" x14ac:dyDescent="0.2">
      <c r="A286" t="str">
        <f ca="1">表_网址[[#This Row],[1级]]&amp;"-"&amp;表_网址[[#This Row],[2级]]&amp;"-"&amp;表_网址[[#This Row],[3级]]&amp;"-"&amp;表_网址[[#This Row],[级内]]</f>
        <v>7003-11-11-119</v>
      </c>
      <c r="B286">
        <f ca="1">MATCH(表_网址[[#This Row],[版层分类]],序列_版层分类,0)*1000+MATCH(表_网址[[#This Row],[首要关键词]],序列_首要关键词,0)</f>
        <v>7003</v>
      </c>
      <c r="C286">
        <f ca="1">IF(表_网址[[#This Row],[次要关键词]]="",10,MATCH(表_网址[[#This Row],[次要关键词]],序列_次要关键词,0)+10)</f>
        <v>11</v>
      </c>
      <c r="D286">
        <f ca="1">IF(表_网址[[#This Row],[重点关键词]]="",10,MATCH(表_网址[[#This Row],[重点关键词]],序列_重点关键词,0)+10)</f>
        <v>11</v>
      </c>
      <c r="E286">
        <f>IF(AND(表_网址[[#This Row],[首要关键词]]=K285,表_网址[[#This Row],[次要关键词]]=L285,表_网址[[#This Row],[重点关键词]]=M285),E285+1,IF(表_网址[[#This Row],[重点关键词]]="",100,101))</f>
        <v>119</v>
      </c>
      <c r="F286" t="s">
        <v>79</v>
      </c>
      <c r="G286" t="s">
        <v>80</v>
      </c>
      <c r="H286" t="s">
        <v>29</v>
      </c>
      <c r="I286" t="s">
        <v>81</v>
      </c>
      <c r="J286" t="s">
        <v>23</v>
      </c>
      <c r="K286" t="s">
        <v>24</v>
      </c>
      <c r="L286" t="s">
        <v>26</v>
      </c>
      <c r="M286" t="s">
        <v>31</v>
      </c>
      <c r="N286">
        <v>999</v>
      </c>
      <c r="O286">
        <v>999</v>
      </c>
      <c r="Q286">
        <v>16</v>
      </c>
    </row>
    <row r="287" spans="1:17" x14ac:dyDescent="0.2">
      <c r="A287" t="str">
        <f ca="1">表_网址[[#This Row],[1级]]&amp;"-"&amp;表_网址[[#This Row],[2级]]&amp;"-"&amp;表_网址[[#This Row],[3级]]&amp;"-"&amp;表_网址[[#This Row],[级内]]</f>
        <v>7003-11-11-120</v>
      </c>
      <c r="B287">
        <f ca="1">MATCH(表_网址[[#This Row],[版层分类]],序列_版层分类,0)*1000+MATCH(表_网址[[#This Row],[首要关键词]],序列_首要关键词,0)</f>
        <v>7003</v>
      </c>
      <c r="C287">
        <f ca="1">IF(表_网址[[#This Row],[次要关键词]]="",10,MATCH(表_网址[[#This Row],[次要关键词]],序列_次要关键词,0)+10)</f>
        <v>11</v>
      </c>
      <c r="D287">
        <f ca="1">IF(表_网址[[#This Row],[重点关键词]]="",10,MATCH(表_网址[[#This Row],[重点关键词]],序列_重点关键词,0)+10)</f>
        <v>11</v>
      </c>
      <c r="E287">
        <f>IF(AND(表_网址[[#This Row],[首要关键词]]=K286,表_网址[[#This Row],[次要关键词]]=L286,表_网址[[#This Row],[重点关键词]]=M286),E286+1,IF(表_网址[[#This Row],[重点关键词]]="",100,101))</f>
        <v>120</v>
      </c>
      <c r="F287" t="s">
        <v>82</v>
      </c>
      <c r="G287" t="s">
        <v>83</v>
      </c>
      <c r="H287" t="s">
        <v>29</v>
      </c>
      <c r="I287" t="s">
        <v>84</v>
      </c>
      <c r="J287" t="s">
        <v>23</v>
      </c>
      <c r="K287" t="s">
        <v>24</v>
      </c>
      <c r="L287" t="s">
        <v>26</v>
      </c>
      <c r="M287" t="s">
        <v>31</v>
      </c>
      <c r="N287">
        <v>999</v>
      </c>
    </row>
    <row r="288" spans="1:17" x14ac:dyDescent="0.2">
      <c r="A288" t="str">
        <f ca="1">表_网址[[#This Row],[1级]]&amp;"-"&amp;表_网址[[#This Row],[2级]]&amp;"-"&amp;表_网址[[#This Row],[3级]]&amp;"-"&amp;表_网址[[#This Row],[级内]]</f>
        <v>7003-11-11-121</v>
      </c>
      <c r="B288">
        <f ca="1">MATCH(表_网址[[#This Row],[版层分类]],序列_版层分类,0)*1000+MATCH(表_网址[[#This Row],[首要关键词]],序列_首要关键词,0)</f>
        <v>7003</v>
      </c>
      <c r="C288">
        <f ca="1">IF(表_网址[[#This Row],[次要关键词]]="",10,MATCH(表_网址[[#This Row],[次要关键词]],序列_次要关键词,0)+10)</f>
        <v>11</v>
      </c>
      <c r="D288">
        <f ca="1">IF(表_网址[[#This Row],[重点关键词]]="",10,MATCH(表_网址[[#This Row],[重点关键词]],序列_重点关键词,0)+10)</f>
        <v>11</v>
      </c>
      <c r="E288">
        <f>IF(AND(表_网址[[#This Row],[首要关键词]]=K287,表_网址[[#This Row],[次要关键词]]=L287,表_网址[[#This Row],[重点关键词]]=M287),E287+1,IF(表_网址[[#This Row],[重点关键词]]="",100,101))</f>
        <v>121</v>
      </c>
      <c r="F288" t="s">
        <v>85</v>
      </c>
      <c r="G288" t="s">
        <v>86</v>
      </c>
      <c r="H288" t="s">
        <v>29</v>
      </c>
      <c r="I288" t="s">
        <v>87</v>
      </c>
      <c r="J288" t="s">
        <v>23</v>
      </c>
      <c r="K288" t="s">
        <v>24</v>
      </c>
      <c r="L288" t="s">
        <v>26</v>
      </c>
      <c r="M288" t="s">
        <v>31</v>
      </c>
      <c r="N288">
        <v>999</v>
      </c>
    </row>
    <row r="289" spans="1:17" x14ac:dyDescent="0.2">
      <c r="A289" t="str">
        <f ca="1">表_网址[[#This Row],[1级]]&amp;"-"&amp;表_网址[[#This Row],[2级]]&amp;"-"&amp;表_网址[[#This Row],[3级]]&amp;"-"&amp;表_网址[[#This Row],[级内]]</f>
        <v>7003-11-11-122</v>
      </c>
      <c r="B289">
        <f ca="1">MATCH(表_网址[[#This Row],[版层分类]],序列_版层分类,0)*1000+MATCH(表_网址[[#This Row],[首要关键词]],序列_首要关键词,0)</f>
        <v>7003</v>
      </c>
      <c r="C289">
        <f ca="1">IF(表_网址[[#This Row],[次要关键词]]="",10,MATCH(表_网址[[#This Row],[次要关键词]],序列_次要关键词,0)+10)</f>
        <v>11</v>
      </c>
      <c r="D289">
        <f ca="1">IF(表_网址[[#This Row],[重点关键词]]="",10,MATCH(表_网址[[#This Row],[重点关键词]],序列_重点关键词,0)+10)</f>
        <v>11</v>
      </c>
      <c r="E289">
        <f>IF(AND(表_网址[[#This Row],[首要关键词]]=K288,表_网址[[#This Row],[次要关键词]]=L288,表_网址[[#This Row],[重点关键词]]=M288),E288+1,IF(表_网址[[#This Row],[重点关键词]]="",100,101))</f>
        <v>122</v>
      </c>
      <c r="F289" t="s">
        <v>88</v>
      </c>
      <c r="G289" t="s">
        <v>89</v>
      </c>
      <c r="H289" t="s">
        <v>29</v>
      </c>
      <c r="I289" t="s">
        <v>90</v>
      </c>
      <c r="J289" t="s">
        <v>23</v>
      </c>
      <c r="K289" t="s">
        <v>24</v>
      </c>
      <c r="L289" t="s">
        <v>26</v>
      </c>
      <c r="M289" t="s">
        <v>31</v>
      </c>
      <c r="N289">
        <v>999</v>
      </c>
      <c r="Q289">
        <v>16</v>
      </c>
    </row>
    <row r="290" spans="1:17" x14ac:dyDescent="0.2">
      <c r="A290" t="str">
        <f ca="1">表_网址[[#This Row],[1级]]&amp;"-"&amp;表_网址[[#This Row],[2级]]&amp;"-"&amp;表_网址[[#This Row],[3级]]&amp;"-"&amp;表_网址[[#This Row],[级内]]</f>
        <v>7003-11-11-123</v>
      </c>
      <c r="B290">
        <f ca="1">MATCH(表_网址[[#This Row],[版层分类]],序列_版层分类,0)*1000+MATCH(表_网址[[#This Row],[首要关键词]],序列_首要关键词,0)</f>
        <v>7003</v>
      </c>
      <c r="C290">
        <f ca="1">IF(表_网址[[#This Row],[次要关键词]]="",10,MATCH(表_网址[[#This Row],[次要关键词]],序列_次要关键词,0)+10)</f>
        <v>11</v>
      </c>
      <c r="D290">
        <f ca="1">IF(表_网址[[#This Row],[重点关键词]]="",10,MATCH(表_网址[[#This Row],[重点关键词]],序列_重点关键词,0)+10)</f>
        <v>11</v>
      </c>
      <c r="E290">
        <f>IF(AND(表_网址[[#This Row],[首要关键词]]=K289,表_网址[[#This Row],[次要关键词]]=L289,表_网址[[#This Row],[重点关键词]]=M289),E289+1,IF(表_网址[[#This Row],[重点关键词]]="",100,101))</f>
        <v>123</v>
      </c>
      <c r="F290" t="s">
        <v>91</v>
      </c>
      <c r="G290" t="s">
        <v>92</v>
      </c>
      <c r="H290" t="s">
        <v>29</v>
      </c>
      <c r="I290" t="s">
        <v>93</v>
      </c>
      <c r="J290" t="s">
        <v>23</v>
      </c>
      <c r="K290" t="s">
        <v>24</v>
      </c>
      <c r="L290" t="s">
        <v>26</v>
      </c>
      <c r="M290" t="s">
        <v>31</v>
      </c>
      <c r="N290">
        <v>999</v>
      </c>
      <c r="Q290">
        <v>16</v>
      </c>
    </row>
    <row r="291" spans="1:17" x14ac:dyDescent="0.2">
      <c r="A291" t="str">
        <f ca="1">表_网址[[#This Row],[1级]]&amp;"-"&amp;表_网址[[#This Row],[2级]]&amp;"-"&amp;表_网址[[#This Row],[3级]]&amp;"-"&amp;表_网址[[#This Row],[级内]]</f>
        <v>7003-11-11-124</v>
      </c>
      <c r="B291">
        <f ca="1">MATCH(表_网址[[#This Row],[版层分类]],序列_版层分类,0)*1000+MATCH(表_网址[[#This Row],[首要关键词]],序列_首要关键词,0)</f>
        <v>7003</v>
      </c>
      <c r="C291">
        <f ca="1">IF(表_网址[[#This Row],[次要关键词]]="",10,MATCH(表_网址[[#This Row],[次要关键词]],序列_次要关键词,0)+10)</f>
        <v>11</v>
      </c>
      <c r="D291">
        <f ca="1">IF(表_网址[[#This Row],[重点关键词]]="",10,MATCH(表_网址[[#This Row],[重点关键词]],序列_重点关键词,0)+10)</f>
        <v>11</v>
      </c>
      <c r="E291">
        <f>IF(AND(表_网址[[#This Row],[首要关键词]]=K290,表_网址[[#This Row],[次要关键词]]=L290,表_网址[[#This Row],[重点关键词]]=M290),E290+1,IF(表_网址[[#This Row],[重点关键词]]="",100,101))</f>
        <v>124</v>
      </c>
      <c r="F291" t="s">
        <v>94</v>
      </c>
      <c r="G291" t="s">
        <v>95</v>
      </c>
      <c r="H291" t="s">
        <v>29</v>
      </c>
      <c r="I291" t="s">
        <v>96</v>
      </c>
      <c r="J291" t="s">
        <v>23</v>
      </c>
      <c r="K291" t="s">
        <v>24</v>
      </c>
      <c r="L291" t="s">
        <v>26</v>
      </c>
      <c r="M291" t="s">
        <v>31</v>
      </c>
      <c r="N291">
        <v>999</v>
      </c>
      <c r="Q291">
        <v>32</v>
      </c>
    </row>
    <row r="292" spans="1:17" x14ac:dyDescent="0.2">
      <c r="A292" t="str">
        <f ca="1">表_网址[[#This Row],[1级]]&amp;"-"&amp;表_网址[[#This Row],[2级]]&amp;"-"&amp;表_网址[[#This Row],[3级]]&amp;"-"&amp;表_网址[[#This Row],[级内]]</f>
        <v>7003-11-11-125</v>
      </c>
      <c r="B292">
        <f ca="1">MATCH(表_网址[[#This Row],[版层分类]],序列_版层分类,0)*1000+MATCH(表_网址[[#This Row],[首要关键词]],序列_首要关键词,0)</f>
        <v>7003</v>
      </c>
      <c r="C292">
        <f ca="1">IF(表_网址[[#This Row],[次要关键词]]="",10,MATCH(表_网址[[#This Row],[次要关键词]],序列_次要关键词,0)+10)</f>
        <v>11</v>
      </c>
      <c r="D292">
        <f ca="1">IF(表_网址[[#This Row],[重点关键词]]="",10,MATCH(表_网址[[#This Row],[重点关键词]],序列_重点关键词,0)+10)</f>
        <v>11</v>
      </c>
      <c r="E292">
        <f>IF(AND(表_网址[[#This Row],[首要关键词]]=K291,表_网址[[#This Row],[次要关键词]]=L291,表_网址[[#This Row],[重点关键词]]=M291),E291+1,IF(表_网址[[#This Row],[重点关键词]]="",100,101))</f>
        <v>125</v>
      </c>
      <c r="F292" t="s">
        <v>97</v>
      </c>
      <c r="G292" t="s">
        <v>98</v>
      </c>
      <c r="H292" t="s">
        <v>29</v>
      </c>
      <c r="I292" t="s">
        <v>99</v>
      </c>
      <c r="J292" t="s">
        <v>23</v>
      </c>
      <c r="K292" t="s">
        <v>24</v>
      </c>
      <c r="L292" t="s">
        <v>26</v>
      </c>
      <c r="M292" t="s">
        <v>31</v>
      </c>
      <c r="N292">
        <v>999</v>
      </c>
      <c r="O292">
        <v>999</v>
      </c>
      <c r="Q292">
        <v>32</v>
      </c>
    </row>
    <row r="293" spans="1:17" x14ac:dyDescent="0.2">
      <c r="A293" t="str">
        <f ca="1">表_网址[[#This Row],[1级]]&amp;"-"&amp;表_网址[[#This Row],[2级]]&amp;"-"&amp;表_网址[[#This Row],[3级]]&amp;"-"&amp;表_网址[[#This Row],[级内]]</f>
        <v>7003-11-11-126</v>
      </c>
      <c r="B293">
        <f ca="1">MATCH(表_网址[[#This Row],[版层分类]],序列_版层分类,0)*1000+MATCH(表_网址[[#This Row],[首要关键词]],序列_首要关键词,0)</f>
        <v>7003</v>
      </c>
      <c r="C293">
        <f ca="1">IF(表_网址[[#This Row],[次要关键词]]="",10,MATCH(表_网址[[#This Row],[次要关键词]],序列_次要关键词,0)+10)</f>
        <v>11</v>
      </c>
      <c r="D293">
        <f ca="1">IF(表_网址[[#This Row],[重点关键词]]="",10,MATCH(表_网址[[#This Row],[重点关键词]],序列_重点关键词,0)+10)</f>
        <v>11</v>
      </c>
      <c r="E293">
        <f>IF(AND(表_网址[[#This Row],[首要关键词]]=K292,表_网址[[#This Row],[次要关键词]]=L292,表_网址[[#This Row],[重点关键词]]=M292),E292+1,IF(表_网址[[#This Row],[重点关键词]]="",100,101))</f>
        <v>126</v>
      </c>
      <c r="F293" t="s">
        <v>100</v>
      </c>
      <c r="G293" t="s">
        <v>101</v>
      </c>
      <c r="H293" t="s">
        <v>29</v>
      </c>
      <c r="I293" t="s">
        <v>102</v>
      </c>
      <c r="J293" t="s">
        <v>23</v>
      </c>
      <c r="K293" t="s">
        <v>24</v>
      </c>
      <c r="L293" t="s">
        <v>26</v>
      </c>
      <c r="M293" t="s">
        <v>31</v>
      </c>
      <c r="N293">
        <v>999</v>
      </c>
    </row>
    <row r="294" spans="1:17" x14ac:dyDescent="0.2">
      <c r="A294" t="str">
        <f ca="1">表_网址[[#This Row],[1级]]&amp;"-"&amp;表_网址[[#This Row],[2级]]&amp;"-"&amp;表_网址[[#This Row],[3级]]&amp;"-"&amp;表_网址[[#This Row],[级内]]</f>
        <v>7003-11-11-127</v>
      </c>
      <c r="B294">
        <f ca="1">MATCH(表_网址[[#This Row],[版层分类]],序列_版层分类,0)*1000+MATCH(表_网址[[#This Row],[首要关键词]],序列_首要关键词,0)</f>
        <v>7003</v>
      </c>
      <c r="C294">
        <f ca="1">IF(表_网址[[#This Row],[次要关键词]]="",10,MATCH(表_网址[[#This Row],[次要关键词]],序列_次要关键词,0)+10)</f>
        <v>11</v>
      </c>
      <c r="D294">
        <f ca="1">IF(表_网址[[#This Row],[重点关键词]]="",10,MATCH(表_网址[[#This Row],[重点关键词]],序列_重点关键词,0)+10)</f>
        <v>11</v>
      </c>
      <c r="E294">
        <f>IF(AND(表_网址[[#This Row],[首要关键词]]=K293,表_网址[[#This Row],[次要关键词]]=L293,表_网址[[#This Row],[重点关键词]]=M293),E293+1,IF(表_网址[[#This Row],[重点关键词]]="",100,101))</f>
        <v>127</v>
      </c>
      <c r="F294" t="s">
        <v>103</v>
      </c>
      <c r="G294" t="s">
        <v>98</v>
      </c>
      <c r="H294" t="s">
        <v>29</v>
      </c>
      <c r="I294" t="s">
        <v>104</v>
      </c>
      <c r="J294" t="s">
        <v>23</v>
      </c>
      <c r="K294" t="s">
        <v>24</v>
      </c>
      <c r="L294" t="s">
        <v>26</v>
      </c>
      <c r="M294" t="s">
        <v>31</v>
      </c>
      <c r="N294">
        <v>999</v>
      </c>
      <c r="Q294">
        <v>16</v>
      </c>
    </row>
    <row r="295" spans="1:17" x14ac:dyDescent="0.2">
      <c r="A295" t="str">
        <f ca="1">表_网址[[#This Row],[1级]]&amp;"-"&amp;表_网址[[#This Row],[2级]]&amp;"-"&amp;表_网址[[#This Row],[3级]]&amp;"-"&amp;表_网址[[#This Row],[级内]]</f>
        <v>7003-11-11-128</v>
      </c>
      <c r="B295">
        <f ca="1">MATCH(表_网址[[#This Row],[版层分类]],序列_版层分类,0)*1000+MATCH(表_网址[[#This Row],[首要关键词]],序列_首要关键词,0)</f>
        <v>7003</v>
      </c>
      <c r="C295">
        <f ca="1">IF(表_网址[[#This Row],[次要关键词]]="",10,MATCH(表_网址[[#This Row],[次要关键词]],序列_次要关键词,0)+10)</f>
        <v>11</v>
      </c>
      <c r="D295">
        <f ca="1">IF(表_网址[[#This Row],[重点关键词]]="",10,MATCH(表_网址[[#This Row],[重点关键词]],序列_重点关键词,0)+10)</f>
        <v>11</v>
      </c>
      <c r="E295">
        <f>IF(AND(表_网址[[#This Row],[首要关键词]]=K294,表_网址[[#This Row],[次要关键词]]=L294,表_网址[[#This Row],[重点关键词]]=M294),E294+1,IF(表_网址[[#This Row],[重点关键词]]="",100,101))</f>
        <v>128</v>
      </c>
      <c r="F295" t="s">
        <v>105</v>
      </c>
      <c r="G295" t="s">
        <v>106</v>
      </c>
      <c r="H295" t="s">
        <v>29</v>
      </c>
      <c r="I295" t="s">
        <v>107</v>
      </c>
      <c r="J295" t="s">
        <v>23</v>
      </c>
      <c r="K295" t="s">
        <v>24</v>
      </c>
      <c r="L295" t="s">
        <v>26</v>
      </c>
      <c r="M295" t="s">
        <v>31</v>
      </c>
      <c r="N295">
        <v>999</v>
      </c>
      <c r="O295">
        <v>999</v>
      </c>
      <c r="Q295">
        <v>64</v>
      </c>
    </row>
    <row r="296" spans="1:17" x14ac:dyDescent="0.2">
      <c r="A296" t="str">
        <f ca="1">表_网址[[#This Row],[1级]]&amp;"-"&amp;表_网址[[#This Row],[2级]]&amp;"-"&amp;表_网址[[#This Row],[3级]]&amp;"-"&amp;表_网址[[#This Row],[级内]]</f>
        <v>7003-11-11-129</v>
      </c>
      <c r="B296">
        <f ca="1">MATCH(表_网址[[#This Row],[版层分类]],序列_版层分类,0)*1000+MATCH(表_网址[[#This Row],[首要关键词]],序列_首要关键词,0)</f>
        <v>7003</v>
      </c>
      <c r="C296">
        <f ca="1">IF(表_网址[[#This Row],[次要关键词]]="",10,MATCH(表_网址[[#This Row],[次要关键词]],序列_次要关键词,0)+10)</f>
        <v>11</v>
      </c>
      <c r="D296">
        <f ca="1">IF(表_网址[[#This Row],[重点关键词]]="",10,MATCH(表_网址[[#This Row],[重点关键词]],序列_重点关键词,0)+10)</f>
        <v>11</v>
      </c>
      <c r="E296">
        <f>IF(AND(表_网址[[#This Row],[首要关键词]]=K295,表_网址[[#This Row],[次要关键词]]=L295,表_网址[[#This Row],[重点关键词]]=M295),E295+1,IF(表_网址[[#This Row],[重点关键词]]="",100,101))</f>
        <v>129</v>
      </c>
      <c r="F296" t="s">
        <v>108</v>
      </c>
      <c r="G296" t="s">
        <v>109</v>
      </c>
      <c r="H296" t="s">
        <v>29</v>
      </c>
      <c r="I296" t="s">
        <v>110</v>
      </c>
      <c r="J296" t="s">
        <v>23</v>
      </c>
      <c r="K296" t="s">
        <v>24</v>
      </c>
      <c r="L296" t="s">
        <v>26</v>
      </c>
      <c r="M296" t="s">
        <v>31</v>
      </c>
      <c r="N296">
        <v>999</v>
      </c>
      <c r="Q296">
        <v>16</v>
      </c>
    </row>
    <row r="297" spans="1:17" x14ac:dyDescent="0.2">
      <c r="A297" t="str">
        <f ca="1">表_网址[[#This Row],[1级]]&amp;"-"&amp;表_网址[[#This Row],[2级]]&amp;"-"&amp;表_网址[[#This Row],[3级]]&amp;"-"&amp;表_网址[[#This Row],[级内]]</f>
        <v>7003-11-11-130</v>
      </c>
      <c r="B297">
        <f ca="1">MATCH(表_网址[[#This Row],[版层分类]],序列_版层分类,0)*1000+MATCH(表_网址[[#This Row],[首要关键词]],序列_首要关键词,0)</f>
        <v>7003</v>
      </c>
      <c r="C297">
        <f ca="1">IF(表_网址[[#This Row],[次要关键词]]="",10,MATCH(表_网址[[#This Row],[次要关键词]],序列_次要关键词,0)+10)</f>
        <v>11</v>
      </c>
      <c r="D297">
        <f ca="1">IF(表_网址[[#This Row],[重点关键词]]="",10,MATCH(表_网址[[#This Row],[重点关键词]],序列_重点关键词,0)+10)</f>
        <v>11</v>
      </c>
      <c r="E297">
        <f>IF(AND(表_网址[[#This Row],[首要关键词]]=K296,表_网址[[#This Row],[次要关键词]]=L296,表_网址[[#This Row],[重点关键词]]=M296),E296+1,IF(表_网址[[#This Row],[重点关键词]]="",100,101))</f>
        <v>130</v>
      </c>
      <c r="F297" t="s">
        <v>111</v>
      </c>
      <c r="G297" t="s">
        <v>112</v>
      </c>
      <c r="H297" t="s">
        <v>29</v>
      </c>
      <c r="I297" t="s">
        <v>113</v>
      </c>
      <c r="J297" t="s">
        <v>23</v>
      </c>
      <c r="K297" t="s">
        <v>24</v>
      </c>
      <c r="L297" t="s">
        <v>26</v>
      </c>
      <c r="M297" t="s">
        <v>31</v>
      </c>
      <c r="N297">
        <v>999</v>
      </c>
    </row>
    <row r="298" spans="1:17" x14ac:dyDescent="0.2">
      <c r="A298" t="str">
        <f ca="1">表_网址[[#This Row],[1级]]&amp;"-"&amp;表_网址[[#This Row],[2级]]&amp;"-"&amp;表_网址[[#This Row],[3级]]&amp;"-"&amp;表_网址[[#This Row],[级内]]</f>
        <v>7003-11-12-101</v>
      </c>
      <c r="B298">
        <f ca="1">MATCH(表_网址[[#This Row],[版层分类]],序列_版层分类,0)*1000+MATCH(表_网址[[#This Row],[首要关键词]],序列_首要关键词,0)</f>
        <v>7003</v>
      </c>
      <c r="C298">
        <f ca="1">IF(表_网址[[#This Row],[次要关键词]]="",10,MATCH(表_网址[[#This Row],[次要关键词]],序列_次要关键词,0)+10)</f>
        <v>11</v>
      </c>
      <c r="D298">
        <f ca="1">IF(表_网址[[#This Row],[重点关键词]]="",10,MATCH(表_网址[[#This Row],[重点关键词]],序列_重点关键词,0)+10)</f>
        <v>12</v>
      </c>
      <c r="E298">
        <f>IF(AND(表_网址[[#This Row],[首要关键词]]=K297,表_网址[[#This Row],[次要关键词]]=L297,表_网址[[#This Row],[重点关键词]]=M297),E297+1,IF(表_网址[[#This Row],[重点关键词]]="",100,101))</f>
        <v>101</v>
      </c>
      <c r="F298" t="s">
        <v>114</v>
      </c>
      <c r="G298" t="s">
        <v>115</v>
      </c>
      <c r="H298" t="s">
        <v>116</v>
      </c>
      <c r="I298" t="s">
        <v>117</v>
      </c>
      <c r="J298" t="s">
        <v>23</v>
      </c>
      <c r="K298" t="s">
        <v>24</v>
      </c>
      <c r="L298" t="s">
        <v>26</v>
      </c>
      <c r="M298" t="s">
        <v>118</v>
      </c>
      <c r="N298">
        <v>999</v>
      </c>
      <c r="Q298">
        <v>30</v>
      </c>
    </row>
    <row r="299" spans="1:17" x14ac:dyDescent="0.2">
      <c r="A299" t="str">
        <f ca="1">表_网址[[#This Row],[1级]]&amp;"-"&amp;表_网址[[#This Row],[2级]]&amp;"-"&amp;表_网址[[#This Row],[3级]]&amp;"-"&amp;表_网址[[#This Row],[级内]]</f>
        <v>7003-11-13-101</v>
      </c>
      <c r="B299">
        <f ca="1">MATCH(表_网址[[#This Row],[版层分类]],序列_版层分类,0)*1000+MATCH(表_网址[[#This Row],[首要关键词]],序列_首要关键词,0)</f>
        <v>7003</v>
      </c>
      <c r="C299">
        <f ca="1">IF(表_网址[[#This Row],[次要关键词]]="",10,MATCH(表_网址[[#This Row],[次要关键词]],序列_次要关键词,0)+10)</f>
        <v>11</v>
      </c>
      <c r="D299">
        <f ca="1">IF(表_网址[[#This Row],[重点关键词]]="",10,MATCH(表_网址[[#This Row],[重点关键词]],序列_重点关键词,0)+10)</f>
        <v>13</v>
      </c>
      <c r="E299">
        <f>IF(AND(表_网址[[#This Row],[首要关键词]]=K298,表_网址[[#This Row],[次要关键词]]=L298,表_网址[[#This Row],[重点关键词]]=M298),E298+1,IF(表_网址[[#This Row],[重点关键词]]="",100,101))</f>
        <v>101</v>
      </c>
      <c r="F299" t="s">
        <v>119</v>
      </c>
      <c r="G299" t="s">
        <v>120</v>
      </c>
      <c r="H299" t="s">
        <v>29</v>
      </c>
      <c r="I299" t="s">
        <v>121</v>
      </c>
      <c r="J299" t="s">
        <v>23</v>
      </c>
      <c r="K299" t="s">
        <v>24</v>
      </c>
      <c r="L299" t="s">
        <v>26</v>
      </c>
      <c r="M299" t="s">
        <v>122</v>
      </c>
      <c r="N299">
        <v>999</v>
      </c>
      <c r="O299">
        <v>999</v>
      </c>
    </row>
    <row r="300" spans="1:17" x14ac:dyDescent="0.2">
      <c r="A300" t="str">
        <f ca="1">表_网址[[#This Row],[1级]]&amp;"-"&amp;表_网址[[#This Row],[2级]]&amp;"-"&amp;表_网址[[#This Row],[3级]]&amp;"-"&amp;表_网址[[#This Row],[级内]]</f>
        <v>7003-11-13-102</v>
      </c>
      <c r="B300">
        <f ca="1">MATCH(表_网址[[#This Row],[版层分类]],序列_版层分类,0)*1000+MATCH(表_网址[[#This Row],[首要关键词]],序列_首要关键词,0)</f>
        <v>7003</v>
      </c>
      <c r="C300">
        <f ca="1">IF(表_网址[[#This Row],[次要关键词]]="",10,MATCH(表_网址[[#This Row],[次要关键词]],序列_次要关键词,0)+10)</f>
        <v>11</v>
      </c>
      <c r="D300">
        <f ca="1">IF(表_网址[[#This Row],[重点关键词]]="",10,MATCH(表_网址[[#This Row],[重点关键词]],序列_重点关键词,0)+10)</f>
        <v>13</v>
      </c>
      <c r="E300">
        <f>IF(AND(表_网址[[#This Row],[首要关键词]]=K299,表_网址[[#This Row],[次要关键词]]=L299,表_网址[[#This Row],[重点关键词]]=M299),E299+1,IF(表_网址[[#This Row],[重点关键词]]="",100,101))</f>
        <v>102</v>
      </c>
      <c r="F300" t="s">
        <v>123</v>
      </c>
      <c r="G300" t="s">
        <v>124</v>
      </c>
      <c r="H300" t="s">
        <v>29</v>
      </c>
      <c r="I300" t="s">
        <v>125</v>
      </c>
      <c r="J300" t="s">
        <v>23</v>
      </c>
      <c r="K300" t="s">
        <v>24</v>
      </c>
      <c r="L300" t="s">
        <v>26</v>
      </c>
      <c r="M300" t="s">
        <v>122</v>
      </c>
      <c r="N300">
        <v>999</v>
      </c>
    </row>
    <row r="301" spans="1:17" x14ac:dyDescent="0.2">
      <c r="A301" t="str">
        <f ca="1">表_网址[[#This Row],[1级]]&amp;"-"&amp;表_网址[[#This Row],[2级]]&amp;"-"&amp;表_网址[[#This Row],[3级]]&amp;"-"&amp;表_网址[[#This Row],[级内]]</f>
        <v>7003-11-13-103</v>
      </c>
      <c r="B301">
        <f ca="1">MATCH(表_网址[[#This Row],[版层分类]],序列_版层分类,0)*1000+MATCH(表_网址[[#This Row],[首要关键词]],序列_首要关键词,0)</f>
        <v>7003</v>
      </c>
      <c r="C301">
        <f ca="1">IF(表_网址[[#This Row],[次要关键词]]="",10,MATCH(表_网址[[#This Row],[次要关键词]],序列_次要关键词,0)+10)</f>
        <v>11</v>
      </c>
      <c r="D301">
        <f ca="1">IF(表_网址[[#This Row],[重点关键词]]="",10,MATCH(表_网址[[#This Row],[重点关键词]],序列_重点关键词,0)+10)</f>
        <v>13</v>
      </c>
      <c r="E301">
        <f>IF(AND(表_网址[[#This Row],[首要关键词]]=K300,表_网址[[#This Row],[次要关键词]]=L300,表_网址[[#This Row],[重点关键词]]=M300),E300+1,IF(表_网址[[#This Row],[重点关键词]]="",100,101))</f>
        <v>103</v>
      </c>
      <c r="F301" t="s">
        <v>126</v>
      </c>
      <c r="G301" t="s">
        <v>127</v>
      </c>
      <c r="H301" t="s">
        <v>29</v>
      </c>
      <c r="I301" t="s">
        <v>128</v>
      </c>
      <c r="J301" t="s">
        <v>23</v>
      </c>
      <c r="K301" t="s">
        <v>24</v>
      </c>
      <c r="L301" t="s">
        <v>26</v>
      </c>
      <c r="M301" t="s">
        <v>122</v>
      </c>
      <c r="N301">
        <v>999</v>
      </c>
      <c r="Q301">
        <v>16</v>
      </c>
    </row>
    <row r="302" spans="1:17" x14ac:dyDescent="0.2">
      <c r="A302" t="str">
        <f ca="1">表_网址[[#This Row],[1级]]&amp;"-"&amp;表_网址[[#This Row],[2级]]&amp;"-"&amp;表_网址[[#This Row],[3级]]&amp;"-"&amp;表_网址[[#This Row],[级内]]</f>
        <v>7003-11-13-104</v>
      </c>
      <c r="B302">
        <f ca="1">MATCH(表_网址[[#This Row],[版层分类]],序列_版层分类,0)*1000+MATCH(表_网址[[#This Row],[首要关键词]],序列_首要关键词,0)</f>
        <v>7003</v>
      </c>
      <c r="C302">
        <f ca="1">IF(表_网址[[#This Row],[次要关键词]]="",10,MATCH(表_网址[[#This Row],[次要关键词]],序列_次要关键词,0)+10)</f>
        <v>11</v>
      </c>
      <c r="D302">
        <f ca="1">IF(表_网址[[#This Row],[重点关键词]]="",10,MATCH(表_网址[[#This Row],[重点关键词]],序列_重点关键词,0)+10)</f>
        <v>13</v>
      </c>
      <c r="E302">
        <f>IF(AND(表_网址[[#This Row],[首要关键词]]=K301,表_网址[[#This Row],[次要关键词]]=L301,表_网址[[#This Row],[重点关键词]]=M301),E301+1,IF(表_网址[[#This Row],[重点关键词]]="",100,101))</f>
        <v>104</v>
      </c>
      <c r="F302" t="s">
        <v>129</v>
      </c>
      <c r="G302" t="s">
        <v>130</v>
      </c>
      <c r="H302" t="s">
        <v>29</v>
      </c>
      <c r="I302" t="s">
        <v>131</v>
      </c>
      <c r="J302" t="s">
        <v>23</v>
      </c>
      <c r="K302" t="s">
        <v>24</v>
      </c>
      <c r="L302" t="s">
        <v>26</v>
      </c>
      <c r="M302" t="s">
        <v>122</v>
      </c>
      <c r="N302">
        <v>999</v>
      </c>
      <c r="Q302">
        <v>16</v>
      </c>
    </row>
    <row r="303" spans="1:17" x14ac:dyDescent="0.2">
      <c r="A303" t="str">
        <f ca="1">表_网址[[#This Row],[1级]]&amp;"-"&amp;表_网址[[#This Row],[2级]]&amp;"-"&amp;表_网址[[#This Row],[3级]]&amp;"-"&amp;表_网址[[#This Row],[级内]]</f>
        <v>7003-11-13-105</v>
      </c>
      <c r="B303">
        <f ca="1">MATCH(表_网址[[#This Row],[版层分类]],序列_版层分类,0)*1000+MATCH(表_网址[[#This Row],[首要关键词]],序列_首要关键词,0)</f>
        <v>7003</v>
      </c>
      <c r="C303">
        <f ca="1">IF(表_网址[[#This Row],[次要关键词]]="",10,MATCH(表_网址[[#This Row],[次要关键词]],序列_次要关键词,0)+10)</f>
        <v>11</v>
      </c>
      <c r="D303">
        <f ca="1">IF(表_网址[[#This Row],[重点关键词]]="",10,MATCH(表_网址[[#This Row],[重点关键词]],序列_重点关键词,0)+10)</f>
        <v>13</v>
      </c>
      <c r="E303">
        <f>IF(AND(表_网址[[#This Row],[首要关键词]]=K302,表_网址[[#This Row],[次要关键词]]=L302,表_网址[[#This Row],[重点关键词]]=M302),E302+1,IF(表_网址[[#This Row],[重点关键词]]="",100,101))</f>
        <v>105</v>
      </c>
      <c r="F303" t="s">
        <v>132</v>
      </c>
      <c r="G303" t="s">
        <v>133</v>
      </c>
      <c r="H303" t="s">
        <v>29</v>
      </c>
      <c r="I303" t="s">
        <v>134</v>
      </c>
      <c r="J303" t="s">
        <v>23</v>
      </c>
      <c r="K303" t="s">
        <v>24</v>
      </c>
      <c r="L303" t="s">
        <v>26</v>
      </c>
      <c r="M303" t="s">
        <v>122</v>
      </c>
      <c r="N303">
        <v>999</v>
      </c>
      <c r="Q303">
        <v>16</v>
      </c>
    </row>
    <row r="304" spans="1:17" x14ac:dyDescent="0.2">
      <c r="A304" t="str">
        <f ca="1">表_网址[[#This Row],[1级]]&amp;"-"&amp;表_网址[[#This Row],[2级]]&amp;"-"&amp;表_网址[[#This Row],[3级]]&amp;"-"&amp;表_网址[[#This Row],[级内]]</f>
        <v>7003-11-13-106</v>
      </c>
      <c r="B304">
        <f ca="1">MATCH(表_网址[[#This Row],[版层分类]],序列_版层分类,0)*1000+MATCH(表_网址[[#This Row],[首要关键词]],序列_首要关键词,0)</f>
        <v>7003</v>
      </c>
      <c r="C304">
        <f ca="1">IF(表_网址[[#This Row],[次要关键词]]="",10,MATCH(表_网址[[#This Row],[次要关键词]],序列_次要关键词,0)+10)</f>
        <v>11</v>
      </c>
      <c r="D304">
        <f ca="1">IF(表_网址[[#This Row],[重点关键词]]="",10,MATCH(表_网址[[#This Row],[重点关键词]],序列_重点关键词,0)+10)</f>
        <v>13</v>
      </c>
      <c r="E304">
        <f>IF(AND(表_网址[[#This Row],[首要关键词]]=K303,表_网址[[#This Row],[次要关键词]]=L303,表_网址[[#This Row],[重点关键词]]=M303),E303+1,IF(表_网址[[#This Row],[重点关键词]]="",100,101))</f>
        <v>106</v>
      </c>
      <c r="F304" t="s">
        <v>135</v>
      </c>
      <c r="G304" t="s">
        <v>136</v>
      </c>
      <c r="H304" t="s">
        <v>29</v>
      </c>
      <c r="I304" t="s">
        <v>137</v>
      </c>
      <c r="J304" t="s">
        <v>23</v>
      </c>
      <c r="K304" t="s">
        <v>24</v>
      </c>
      <c r="L304" t="s">
        <v>26</v>
      </c>
      <c r="M304" t="s">
        <v>122</v>
      </c>
      <c r="N304">
        <v>999</v>
      </c>
      <c r="Q304">
        <v>32</v>
      </c>
    </row>
    <row r="305" spans="1:17" x14ac:dyDescent="0.2">
      <c r="A305" t="str">
        <f ca="1">表_网址[[#This Row],[1级]]&amp;"-"&amp;表_网址[[#This Row],[2级]]&amp;"-"&amp;表_网址[[#This Row],[3级]]&amp;"-"&amp;表_网址[[#This Row],[级内]]</f>
        <v>7003-11-13-107</v>
      </c>
      <c r="B305">
        <f ca="1">MATCH(表_网址[[#This Row],[版层分类]],序列_版层分类,0)*1000+MATCH(表_网址[[#This Row],[首要关键词]],序列_首要关键词,0)</f>
        <v>7003</v>
      </c>
      <c r="C305">
        <f ca="1">IF(表_网址[[#This Row],[次要关键词]]="",10,MATCH(表_网址[[#This Row],[次要关键词]],序列_次要关键词,0)+10)</f>
        <v>11</v>
      </c>
      <c r="D305">
        <f ca="1">IF(表_网址[[#This Row],[重点关键词]]="",10,MATCH(表_网址[[#This Row],[重点关键词]],序列_重点关键词,0)+10)</f>
        <v>13</v>
      </c>
      <c r="E305">
        <f>IF(AND(表_网址[[#This Row],[首要关键词]]=K304,表_网址[[#This Row],[次要关键词]]=L304,表_网址[[#This Row],[重点关键词]]=M304),E304+1,IF(表_网址[[#This Row],[重点关键词]]="",100,101))</f>
        <v>107</v>
      </c>
      <c r="F305" t="s">
        <v>138</v>
      </c>
      <c r="G305" t="s">
        <v>139</v>
      </c>
      <c r="H305" t="s">
        <v>29</v>
      </c>
      <c r="I305" t="s">
        <v>140</v>
      </c>
      <c r="J305" t="s">
        <v>23</v>
      </c>
      <c r="K305" t="s">
        <v>24</v>
      </c>
      <c r="L305" t="s">
        <v>26</v>
      </c>
      <c r="M305" t="s">
        <v>122</v>
      </c>
      <c r="N305">
        <v>999</v>
      </c>
    </row>
    <row r="306" spans="1:17" x14ac:dyDescent="0.2">
      <c r="A306" t="str">
        <f ca="1">表_网址[[#This Row],[1级]]&amp;"-"&amp;表_网址[[#This Row],[2级]]&amp;"-"&amp;表_网址[[#This Row],[3级]]&amp;"-"&amp;表_网址[[#This Row],[级内]]</f>
        <v>7003-11-13-108</v>
      </c>
      <c r="B306">
        <f ca="1">MATCH(表_网址[[#This Row],[版层分类]],序列_版层分类,0)*1000+MATCH(表_网址[[#This Row],[首要关键词]],序列_首要关键词,0)</f>
        <v>7003</v>
      </c>
      <c r="C306">
        <f ca="1">IF(表_网址[[#This Row],[次要关键词]]="",10,MATCH(表_网址[[#This Row],[次要关键词]],序列_次要关键词,0)+10)</f>
        <v>11</v>
      </c>
      <c r="D306">
        <f ca="1">IF(表_网址[[#This Row],[重点关键词]]="",10,MATCH(表_网址[[#This Row],[重点关键词]],序列_重点关键词,0)+10)</f>
        <v>13</v>
      </c>
      <c r="E306">
        <f>IF(AND(表_网址[[#This Row],[首要关键词]]=K305,表_网址[[#This Row],[次要关键词]]=L305,表_网址[[#This Row],[重点关键词]]=M305),E305+1,IF(表_网址[[#This Row],[重点关键词]]="",100,101))</f>
        <v>108</v>
      </c>
      <c r="F306" t="s">
        <v>141</v>
      </c>
      <c r="G306" t="s">
        <v>142</v>
      </c>
      <c r="H306" t="s">
        <v>29</v>
      </c>
      <c r="I306" t="s">
        <v>143</v>
      </c>
      <c r="J306" t="s">
        <v>23</v>
      </c>
      <c r="K306" t="s">
        <v>24</v>
      </c>
      <c r="L306" t="s">
        <v>26</v>
      </c>
      <c r="M306" t="s">
        <v>122</v>
      </c>
      <c r="N306">
        <v>999</v>
      </c>
      <c r="Q306">
        <v>16</v>
      </c>
    </row>
    <row r="307" spans="1:17" x14ac:dyDescent="0.2">
      <c r="A307" t="str">
        <f ca="1">表_网址[[#This Row],[1级]]&amp;"-"&amp;表_网址[[#This Row],[2级]]&amp;"-"&amp;表_网址[[#This Row],[3级]]&amp;"-"&amp;表_网址[[#This Row],[级内]]</f>
        <v>7003-11-13-109</v>
      </c>
      <c r="B307">
        <f ca="1">MATCH(表_网址[[#This Row],[版层分类]],序列_版层分类,0)*1000+MATCH(表_网址[[#This Row],[首要关键词]],序列_首要关键词,0)</f>
        <v>7003</v>
      </c>
      <c r="C307">
        <f ca="1">IF(表_网址[[#This Row],[次要关键词]]="",10,MATCH(表_网址[[#This Row],[次要关键词]],序列_次要关键词,0)+10)</f>
        <v>11</v>
      </c>
      <c r="D307">
        <f ca="1">IF(表_网址[[#This Row],[重点关键词]]="",10,MATCH(表_网址[[#This Row],[重点关键词]],序列_重点关键词,0)+10)</f>
        <v>13</v>
      </c>
      <c r="E307">
        <f>IF(AND(表_网址[[#This Row],[首要关键词]]=K306,表_网址[[#This Row],[次要关键词]]=L306,表_网址[[#This Row],[重点关键词]]=M306),E306+1,IF(表_网址[[#This Row],[重点关键词]]="",100,101))</f>
        <v>109</v>
      </c>
      <c r="F307" t="s">
        <v>144</v>
      </c>
      <c r="G307" t="s">
        <v>145</v>
      </c>
      <c r="H307" t="s">
        <v>29</v>
      </c>
      <c r="I307" t="s">
        <v>146</v>
      </c>
      <c r="J307" t="s">
        <v>23</v>
      </c>
      <c r="K307" t="s">
        <v>24</v>
      </c>
      <c r="L307" t="s">
        <v>26</v>
      </c>
      <c r="M307" t="s">
        <v>122</v>
      </c>
      <c r="N307">
        <v>999</v>
      </c>
      <c r="Q307">
        <v>16</v>
      </c>
    </row>
    <row r="308" spans="1:17" x14ac:dyDescent="0.2">
      <c r="A308" t="str">
        <f ca="1">表_网址[[#This Row],[1级]]&amp;"-"&amp;表_网址[[#This Row],[2级]]&amp;"-"&amp;表_网址[[#This Row],[3级]]&amp;"-"&amp;表_网址[[#This Row],[级内]]</f>
        <v>7003-11-13-110</v>
      </c>
      <c r="B308">
        <f ca="1">MATCH(表_网址[[#This Row],[版层分类]],序列_版层分类,0)*1000+MATCH(表_网址[[#This Row],[首要关键词]],序列_首要关键词,0)</f>
        <v>7003</v>
      </c>
      <c r="C308">
        <f ca="1">IF(表_网址[[#This Row],[次要关键词]]="",10,MATCH(表_网址[[#This Row],[次要关键词]],序列_次要关键词,0)+10)</f>
        <v>11</v>
      </c>
      <c r="D308">
        <f ca="1">IF(表_网址[[#This Row],[重点关键词]]="",10,MATCH(表_网址[[#This Row],[重点关键词]],序列_重点关键词,0)+10)</f>
        <v>13</v>
      </c>
      <c r="E308">
        <f>IF(AND(表_网址[[#This Row],[首要关键词]]=K307,表_网址[[#This Row],[次要关键词]]=L307,表_网址[[#This Row],[重点关键词]]=M307),E307+1,IF(表_网址[[#This Row],[重点关键词]]="",100,101))</f>
        <v>110</v>
      </c>
      <c r="F308" t="s">
        <v>147</v>
      </c>
      <c r="G308" t="s">
        <v>148</v>
      </c>
      <c r="H308" t="s">
        <v>29</v>
      </c>
      <c r="I308" t="s">
        <v>149</v>
      </c>
      <c r="J308" t="s">
        <v>23</v>
      </c>
      <c r="K308" t="s">
        <v>24</v>
      </c>
      <c r="L308" t="s">
        <v>26</v>
      </c>
      <c r="M308" t="s">
        <v>122</v>
      </c>
      <c r="N308">
        <v>999</v>
      </c>
      <c r="Q308">
        <v>19</v>
      </c>
    </row>
    <row r="309" spans="1:17" x14ac:dyDescent="0.2">
      <c r="A309" t="str">
        <f ca="1">表_网址[[#This Row],[1级]]&amp;"-"&amp;表_网址[[#This Row],[2级]]&amp;"-"&amp;表_网址[[#This Row],[3级]]&amp;"-"&amp;表_网址[[#This Row],[级内]]</f>
        <v>7003-11-13-111</v>
      </c>
      <c r="B309">
        <f ca="1">MATCH(表_网址[[#This Row],[版层分类]],序列_版层分类,0)*1000+MATCH(表_网址[[#This Row],[首要关键词]],序列_首要关键词,0)</f>
        <v>7003</v>
      </c>
      <c r="C309">
        <f ca="1">IF(表_网址[[#This Row],[次要关键词]]="",10,MATCH(表_网址[[#This Row],[次要关键词]],序列_次要关键词,0)+10)</f>
        <v>11</v>
      </c>
      <c r="D309">
        <f ca="1">IF(表_网址[[#This Row],[重点关键词]]="",10,MATCH(表_网址[[#This Row],[重点关键词]],序列_重点关键词,0)+10)</f>
        <v>13</v>
      </c>
      <c r="E309">
        <f>IF(AND(表_网址[[#This Row],[首要关键词]]=K308,表_网址[[#This Row],[次要关键词]]=L308,表_网址[[#This Row],[重点关键词]]=M308),E308+1,IF(表_网址[[#This Row],[重点关键词]]="",100,101))</f>
        <v>111</v>
      </c>
      <c r="F309" t="s">
        <v>150</v>
      </c>
      <c r="G309" t="s">
        <v>151</v>
      </c>
      <c r="H309" t="s">
        <v>29</v>
      </c>
      <c r="I309" t="s">
        <v>152</v>
      </c>
      <c r="J309" t="s">
        <v>23</v>
      </c>
      <c r="K309" t="s">
        <v>24</v>
      </c>
      <c r="L309" t="s">
        <v>26</v>
      </c>
      <c r="M309" t="s">
        <v>122</v>
      </c>
      <c r="N309">
        <v>999</v>
      </c>
    </row>
    <row r="310" spans="1:17" x14ac:dyDescent="0.2">
      <c r="A310" t="str">
        <f ca="1">表_网址[[#This Row],[1级]]&amp;"-"&amp;表_网址[[#This Row],[2级]]&amp;"-"&amp;表_网址[[#This Row],[3级]]&amp;"-"&amp;表_网址[[#This Row],[级内]]</f>
        <v>7003-11-13-112</v>
      </c>
      <c r="B310">
        <f ca="1">MATCH(表_网址[[#This Row],[版层分类]],序列_版层分类,0)*1000+MATCH(表_网址[[#This Row],[首要关键词]],序列_首要关键词,0)</f>
        <v>7003</v>
      </c>
      <c r="C310">
        <f ca="1">IF(表_网址[[#This Row],[次要关键词]]="",10,MATCH(表_网址[[#This Row],[次要关键词]],序列_次要关键词,0)+10)</f>
        <v>11</v>
      </c>
      <c r="D310">
        <f ca="1">IF(表_网址[[#This Row],[重点关键词]]="",10,MATCH(表_网址[[#This Row],[重点关键词]],序列_重点关键词,0)+10)</f>
        <v>13</v>
      </c>
      <c r="E310">
        <f>IF(AND(表_网址[[#This Row],[首要关键词]]=K309,表_网址[[#This Row],[次要关键词]]=L309,表_网址[[#This Row],[重点关键词]]=M309),E309+1,IF(表_网址[[#This Row],[重点关键词]]="",100,101))</f>
        <v>112</v>
      </c>
      <c r="F310" t="s">
        <v>153</v>
      </c>
      <c r="G310" t="s">
        <v>154</v>
      </c>
      <c r="H310" t="s">
        <v>29</v>
      </c>
      <c r="I310" t="s">
        <v>155</v>
      </c>
      <c r="J310" t="s">
        <v>23</v>
      </c>
      <c r="K310" t="s">
        <v>24</v>
      </c>
      <c r="L310" t="s">
        <v>26</v>
      </c>
      <c r="M310" t="s">
        <v>122</v>
      </c>
      <c r="N310">
        <v>999</v>
      </c>
    </row>
    <row r="311" spans="1:17" x14ac:dyDescent="0.2">
      <c r="A311" t="str">
        <f ca="1">表_网址[[#This Row],[1级]]&amp;"-"&amp;表_网址[[#This Row],[2级]]&amp;"-"&amp;表_网址[[#This Row],[3级]]&amp;"-"&amp;表_网址[[#This Row],[级内]]</f>
        <v>7003-11-13-113</v>
      </c>
      <c r="B311">
        <f ca="1">MATCH(表_网址[[#This Row],[版层分类]],序列_版层分类,0)*1000+MATCH(表_网址[[#This Row],[首要关键词]],序列_首要关键词,0)</f>
        <v>7003</v>
      </c>
      <c r="C311">
        <f ca="1">IF(表_网址[[#This Row],[次要关键词]]="",10,MATCH(表_网址[[#This Row],[次要关键词]],序列_次要关键词,0)+10)</f>
        <v>11</v>
      </c>
      <c r="D311">
        <f ca="1">IF(表_网址[[#This Row],[重点关键词]]="",10,MATCH(表_网址[[#This Row],[重点关键词]],序列_重点关键词,0)+10)</f>
        <v>13</v>
      </c>
      <c r="E311">
        <f>IF(AND(表_网址[[#This Row],[首要关键词]]=K310,表_网址[[#This Row],[次要关键词]]=L310,表_网址[[#This Row],[重点关键词]]=M310),E310+1,IF(表_网址[[#This Row],[重点关键词]]="",100,101))</f>
        <v>113</v>
      </c>
      <c r="F311" t="s">
        <v>156</v>
      </c>
      <c r="G311" t="s">
        <v>157</v>
      </c>
      <c r="H311" t="s">
        <v>29</v>
      </c>
      <c r="I311" t="s">
        <v>158</v>
      </c>
      <c r="J311" t="s">
        <v>23</v>
      </c>
      <c r="K311" t="s">
        <v>24</v>
      </c>
      <c r="L311" t="s">
        <v>26</v>
      </c>
      <c r="M311" t="s">
        <v>122</v>
      </c>
      <c r="N311">
        <v>999</v>
      </c>
      <c r="Q311">
        <v>32</v>
      </c>
    </row>
    <row r="312" spans="1:17" x14ac:dyDescent="0.2">
      <c r="A312" t="str">
        <f ca="1">表_网址[[#This Row],[1级]]&amp;"-"&amp;表_网址[[#This Row],[2级]]&amp;"-"&amp;表_网址[[#This Row],[3级]]&amp;"-"&amp;表_网址[[#This Row],[级内]]</f>
        <v>7003-11-13-114</v>
      </c>
      <c r="B312">
        <f ca="1">MATCH(表_网址[[#This Row],[版层分类]],序列_版层分类,0)*1000+MATCH(表_网址[[#This Row],[首要关键词]],序列_首要关键词,0)</f>
        <v>7003</v>
      </c>
      <c r="C312">
        <f ca="1">IF(表_网址[[#This Row],[次要关键词]]="",10,MATCH(表_网址[[#This Row],[次要关键词]],序列_次要关键词,0)+10)</f>
        <v>11</v>
      </c>
      <c r="D312">
        <f ca="1">IF(表_网址[[#This Row],[重点关键词]]="",10,MATCH(表_网址[[#This Row],[重点关键词]],序列_重点关键词,0)+10)</f>
        <v>13</v>
      </c>
      <c r="E312">
        <f>IF(AND(表_网址[[#This Row],[首要关键词]]=K311,表_网址[[#This Row],[次要关键词]]=L311,表_网址[[#This Row],[重点关键词]]=M311),E311+1,IF(表_网址[[#This Row],[重点关键词]]="",100,101))</f>
        <v>114</v>
      </c>
      <c r="F312" t="s">
        <v>159</v>
      </c>
      <c r="G312" t="s">
        <v>160</v>
      </c>
      <c r="H312" t="s">
        <v>29</v>
      </c>
      <c r="I312" t="s">
        <v>161</v>
      </c>
      <c r="J312" t="s">
        <v>23</v>
      </c>
      <c r="K312" t="s">
        <v>24</v>
      </c>
      <c r="L312" t="s">
        <v>26</v>
      </c>
      <c r="M312" t="s">
        <v>122</v>
      </c>
      <c r="N312">
        <v>999</v>
      </c>
    </row>
    <row r="313" spans="1:17" x14ac:dyDescent="0.2">
      <c r="A313" t="str">
        <f ca="1">表_网址[[#This Row],[1级]]&amp;"-"&amp;表_网址[[#This Row],[2级]]&amp;"-"&amp;表_网址[[#This Row],[3级]]&amp;"-"&amp;表_网址[[#This Row],[级内]]</f>
        <v>7003-11-14-101</v>
      </c>
      <c r="B313">
        <f ca="1">MATCH(表_网址[[#This Row],[版层分类]],序列_版层分类,0)*1000+MATCH(表_网址[[#This Row],[首要关键词]],序列_首要关键词,0)</f>
        <v>7003</v>
      </c>
      <c r="C313">
        <f ca="1">IF(表_网址[[#This Row],[次要关键词]]="",10,MATCH(表_网址[[#This Row],[次要关键词]],序列_次要关键词,0)+10)</f>
        <v>11</v>
      </c>
      <c r="D313">
        <f ca="1">IF(表_网址[[#This Row],[重点关键词]]="",10,MATCH(表_网址[[#This Row],[重点关键词]],序列_重点关键词,0)+10)</f>
        <v>14</v>
      </c>
      <c r="E313">
        <f>IF(AND(表_网址[[#This Row],[首要关键词]]=K312,表_网址[[#This Row],[次要关键词]]=L312,表_网址[[#This Row],[重点关键词]]=M312),E312+1,IF(表_网址[[#This Row],[重点关键词]]="",100,101))</f>
        <v>101</v>
      </c>
      <c r="F313" t="s">
        <v>162</v>
      </c>
      <c r="G313" t="s">
        <v>163</v>
      </c>
      <c r="H313" t="s">
        <v>29</v>
      </c>
      <c r="I313" t="s">
        <v>164</v>
      </c>
      <c r="J313" t="s">
        <v>23</v>
      </c>
      <c r="K313" t="s">
        <v>24</v>
      </c>
      <c r="L313" t="s">
        <v>26</v>
      </c>
      <c r="M313" t="s">
        <v>165</v>
      </c>
      <c r="N313">
        <v>999</v>
      </c>
    </row>
    <row r="314" spans="1:17" x14ac:dyDescent="0.2">
      <c r="A314" t="str">
        <f ca="1">表_网址[[#This Row],[1级]]&amp;"-"&amp;表_网址[[#This Row],[2级]]&amp;"-"&amp;表_网址[[#This Row],[3级]]&amp;"-"&amp;表_网址[[#This Row],[级内]]</f>
        <v>7003-11-14-102</v>
      </c>
      <c r="B314">
        <f ca="1">MATCH(表_网址[[#This Row],[版层分类]],序列_版层分类,0)*1000+MATCH(表_网址[[#This Row],[首要关键词]],序列_首要关键词,0)</f>
        <v>7003</v>
      </c>
      <c r="C314">
        <f ca="1">IF(表_网址[[#This Row],[次要关键词]]="",10,MATCH(表_网址[[#This Row],[次要关键词]],序列_次要关键词,0)+10)</f>
        <v>11</v>
      </c>
      <c r="D314">
        <f ca="1">IF(表_网址[[#This Row],[重点关键词]]="",10,MATCH(表_网址[[#This Row],[重点关键词]],序列_重点关键词,0)+10)</f>
        <v>14</v>
      </c>
      <c r="E314">
        <f>IF(AND(表_网址[[#This Row],[首要关键词]]=K313,表_网址[[#This Row],[次要关键词]]=L313,表_网址[[#This Row],[重点关键词]]=M313),E313+1,IF(表_网址[[#This Row],[重点关键词]]="",100,101))</f>
        <v>102</v>
      </c>
      <c r="F314" t="s">
        <v>166</v>
      </c>
      <c r="G314" t="s">
        <v>167</v>
      </c>
      <c r="H314" t="s">
        <v>29</v>
      </c>
      <c r="I314" t="s">
        <v>22</v>
      </c>
      <c r="J314" t="s">
        <v>23</v>
      </c>
      <c r="K314" t="s">
        <v>24</v>
      </c>
      <c r="L314" t="s">
        <v>26</v>
      </c>
      <c r="M314" t="s">
        <v>165</v>
      </c>
      <c r="N314">
        <v>999</v>
      </c>
      <c r="O314">
        <v>999</v>
      </c>
      <c r="Q314">
        <v>16</v>
      </c>
    </row>
    <row r="315" spans="1:17" x14ac:dyDescent="0.2">
      <c r="A315" t="str">
        <f ca="1">表_网址[[#This Row],[1级]]&amp;"-"&amp;表_网址[[#This Row],[2级]]&amp;"-"&amp;表_网址[[#This Row],[3级]]&amp;"-"&amp;表_网址[[#This Row],[级内]]</f>
        <v>7003-11-14-103</v>
      </c>
      <c r="B315">
        <f ca="1">MATCH(表_网址[[#This Row],[版层分类]],序列_版层分类,0)*1000+MATCH(表_网址[[#This Row],[首要关键词]],序列_首要关键词,0)</f>
        <v>7003</v>
      </c>
      <c r="C315">
        <f ca="1">IF(表_网址[[#This Row],[次要关键词]]="",10,MATCH(表_网址[[#This Row],[次要关键词]],序列_次要关键词,0)+10)</f>
        <v>11</v>
      </c>
      <c r="D315">
        <f ca="1">IF(表_网址[[#This Row],[重点关键词]]="",10,MATCH(表_网址[[#This Row],[重点关键词]],序列_重点关键词,0)+10)</f>
        <v>14</v>
      </c>
      <c r="E315">
        <f>IF(AND(表_网址[[#This Row],[首要关键词]]=K314,表_网址[[#This Row],[次要关键词]]=L314,表_网址[[#This Row],[重点关键词]]=M314),E314+1,IF(表_网址[[#This Row],[重点关键词]]="",100,101))</f>
        <v>103</v>
      </c>
      <c r="F315" t="s">
        <v>168</v>
      </c>
      <c r="G315" t="s">
        <v>169</v>
      </c>
      <c r="H315" t="s">
        <v>29</v>
      </c>
      <c r="I315" t="s">
        <v>170</v>
      </c>
      <c r="J315" t="s">
        <v>23</v>
      </c>
      <c r="K315" t="s">
        <v>24</v>
      </c>
      <c r="L315" t="s">
        <v>26</v>
      </c>
      <c r="M315" t="s">
        <v>165</v>
      </c>
      <c r="N315">
        <v>999</v>
      </c>
    </row>
    <row r="316" spans="1:17" x14ac:dyDescent="0.2">
      <c r="A316" t="str">
        <f ca="1">表_网址[[#This Row],[1级]]&amp;"-"&amp;表_网址[[#This Row],[2级]]&amp;"-"&amp;表_网址[[#This Row],[3级]]&amp;"-"&amp;表_网址[[#This Row],[级内]]</f>
        <v>7003-11-14-104</v>
      </c>
      <c r="B316">
        <f ca="1">MATCH(表_网址[[#This Row],[版层分类]],序列_版层分类,0)*1000+MATCH(表_网址[[#This Row],[首要关键词]],序列_首要关键词,0)</f>
        <v>7003</v>
      </c>
      <c r="C316">
        <f ca="1">IF(表_网址[[#This Row],[次要关键词]]="",10,MATCH(表_网址[[#This Row],[次要关键词]],序列_次要关键词,0)+10)</f>
        <v>11</v>
      </c>
      <c r="D316">
        <f ca="1">IF(表_网址[[#This Row],[重点关键词]]="",10,MATCH(表_网址[[#This Row],[重点关键词]],序列_重点关键词,0)+10)</f>
        <v>14</v>
      </c>
      <c r="E316">
        <f>IF(AND(表_网址[[#This Row],[首要关键词]]=K315,表_网址[[#This Row],[次要关键词]]=L315,表_网址[[#This Row],[重点关键词]]=M315),E315+1,IF(表_网址[[#This Row],[重点关键词]]="",100,101))</f>
        <v>104</v>
      </c>
      <c r="F316" t="s">
        <v>171</v>
      </c>
      <c r="G316" t="s">
        <v>172</v>
      </c>
      <c r="H316" t="s">
        <v>29</v>
      </c>
      <c r="I316" t="s">
        <v>173</v>
      </c>
      <c r="J316" t="s">
        <v>23</v>
      </c>
      <c r="K316" t="s">
        <v>24</v>
      </c>
      <c r="L316" t="s">
        <v>26</v>
      </c>
      <c r="M316" t="s">
        <v>165</v>
      </c>
      <c r="N316">
        <v>999</v>
      </c>
    </row>
    <row r="317" spans="1:17" x14ac:dyDescent="0.2">
      <c r="A317" t="str">
        <f ca="1">表_网址[[#This Row],[1级]]&amp;"-"&amp;表_网址[[#This Row],[2级]]&amp;"-"&amp;表_网址[[#This Row],[3级]]&amp;"-"&amp;表_网址[[#This Row],[级内]]</f>
        <v>7003-11-14-105</v>
      </c>
      <c r="B317">
        <f ca="1">MATCH(表_网址[[#This Row],[版层分类]],序列_版层分类,0)*1000+MATCH(表_网址[[#This Row],[首要关键词]],序列_首要关键词,0)</f>
        <v>7003</v>
      </c>
      <c r="C317">
        <f ca="1">IF(表_网址[[#This Row],[次要关键词]]="",10,MATCH(表_网址[[#This Row],[次要关键词]],序列_次要关键词,0)+10)</f>
        <v>11</v>
      </c>
      <c r="D317">
        <f ca="1">IF(表_网址[[#This Row],[重点关键词]]="",10,MATCH(表_网址[[#This Row],[重点关键词]],序列_重点关键词,0)+10)</f>
        <v>14</v>
      </c>
      <c r="E317">
        <f>IF(AND(表_网址[[#This Row],[首要关键词]]=K316,表_网址[[#This Row],[次要关键词]]=L316,表_网址[[#This Row],[重点关键词]]=M316),E316+1,IF(表_网址[[#This Row],[重点关键词]]="",100,101))</f>
        <v>105</v>
      </c>
      <c r="F317" t="s">
        <v>174</v>
      </c>
      <c r="G317" t="s">
        <v>175</v>
      </c>
      <c r="H317" t="s">
        <v>29</v>
      </c>
      <c r="I317" t="s">
        <v>176</v>
      </c>
      <c r="J317" t="s">
        <v>23</v>
      </c>
      <c r="K317" t="s">
        <v>24</v>
      </c>
      <c r="L317" t="s">
        <v>26</v>
      </c>
      <c r="M317" t="s">
        <v>165</v>
      </c>
      <c r="N317">
        <v>999</v>
      </c>
      <c r="Q317">
        <v>16</v>
      </c>
    </row>
    <row r="318" spans="1:17" x14ac:dyDescent="0.2">
      <c r="A318" t="str">
        <f ca="1">表_网址[[#This Row],[1级]]&amp;"-"&amp;表_网址[[#This Row],[2级]]&amp;"-"&amp;表_网址[[#This Row],[3级]]&amp;"-"&amp;表_网址[[#This Row],[级内]]</f>
        <v>7003-11-14-106</v>
      </c>
      <c r="B318">
        <f ca="1">MATCH(表_网址[[#This Row],[版层分类]],序列_版层分类,0)*1000+MATCH(表_网址[[#This Row],[首要关键词]],序列_首要关键词,0)</f>
        <v>7003</v>
      </c>
      <c r="C318">
        <f ca="1">IF(表_网址[[#This Row],[次要关键词]]="",10,MATCH(表_网址[[#This Row],[次要关键词]],序列_次要关键词,0)+10)</f>
        <v>11</v>
      </c>
      <c r="D318">
        <f ca="1">IF(表_网址[[#This Row],[重点关键词]]="",10,MATCH(表_网址[[#This Row],[重点关键词]],序列_重点关键词,0)+10)</f>
        <v>14</v>
      </c>
      <c r="E318">
        <f>IF(AND(表_网址[[#This Row],[首要关键词]]=K317,表_网址[[#This Row],[次要关键词]]=L317,表_网址[[#This Row],[重点关键词]]=M317),E317+1,IF(表_网址[[#This Row],[重点关键词]]="",100,101))</f>
        <v>106</v>
      </c>
      <c r="F318" t="s">
        <v>177</v>
      </c>
      <c r="G318" t="s">
        <v>178</v>
      </c>
      <c r="H318" t="s">
        <v>29</v>
      </c>
      <c r="I318" t="s">
        <v>179</v>
      </c>
      <c r="J318" t="s">
        <v>23</v>
      </c>
      <c r="K318" t="s">
        <v>24</v>
      </c>
      <c r="L318" t="s">
        <v>26</v>
      </c>
      <c r="M318" t="s">
        <v>165</v>
      </c>
      <c r="N318">
        <v>999</v>
      </c>
      <c r="Q318">
        <v>256</v>
      </c>
    </row>
    <row r="319" spans="1:17" x14ac:dyDescent="0.2">
      <c r="A319" t="str">
        <f ca="1">表_网址[[#This Row],[1级]]&amp;"-"&amp;表_网址[[#This Row],[2级]]&amp;"-"&amp;表_网址[[#This Row],[3级]]&amp;"-"&amp;表_网址[[#This Row],[级内]]</f>
        <v>7003-11-15-101</v>
      </c>
      <c r="B319">
        <f ca="1">MATCH(表_网址[[#This Row],[版层分类]],序列_版层分类,0)*1000+MATCH(表_网址[[#This Row],[首要关键词]],序列_首要关键词,0)</f>
        <v>7003</v>
      </c>
      <c r="C319">
        <f ca="1">IF(表_网址[[#This Row],[次要关键词]]="",10,MATCH(表_网址[[#This Row],[次要关键词]],序列_次要关键词,0)+10)</f>
        <v>11</v>
      </c>
      <c r="D319">
        <f ca="1">IF(表_网址[[#This Row],[重点关键词]]="",10,MATCH(表_网址[[#This Row],[重点关键词]],序列_重点关键词,0)+10)</f>
        <v>15</v>
      </c>
      <c r="E319">
        <f>IF(AND(表_网址[[#This Row],[首要关键词]]=K318,表_网址[[#This Row],[次要关键词]]=L318,表_网址[[#This Row],[重点关键词]]=M318),E318+1,IF(表_网址[[#This Row],[重点关键词]]="",100,101))</f>
        <v>101</v>
      </c>
      <c r="F319" t="s">
        <v>180</v>
      </c>
      <c r="G319" t="s">
        <v>181</v>
      </c>
      <c r="H319" t="s">
        <v>29</v>
      </c>
      <c r="I319" t="s">
        <v>182</v>
      </c>
      <c r="J319" t="s">
        <v>23</v>
      </c>
      <c r="K319" t="s">
        <v>24</v>
      </c>
      <c r="L319" t="s">
        <v>26</v>
      </c>
      <c r="M319" t="s">
        <v>183</v>
      </c>
      <c r="N319">
        <v>999</v>
      </c>
    </row>
    <row r="320" spans="1:17" x14ac:dyDescent="0.2">
      <c r="A320" t="str">
        <f ca="1">表_网址[[#This Row],[1级]]&amp;"-"&amp;表_网址[[#This Row],[2级]]&amp;"-"&amp;表_网址[[#This Row],[3级]]&amp;"-"&amp;表_网址[[#This Row],[级内]]</f>
        <v>7003-11-15-102</v>
      </c>
      <c r="B320">
        <f ca="1">MATCH(表_网址[[#This Row],[版层分类]],序列_版层分类,0)*1000+MATCH(表_网址[[#This Row],[首要关键词]],序列_首要关键词,0)</f>
        <v>7003</v>
      </c>
      <c r="C320">
        <f ca="1">IF(表_网址[[#This Row],[次要关键词]]="",10,MATCH(表_网址[[#This Row],[次要关键词]],序列_次要关键词,0)+10)</f>
        <v>11</v>
      </c>
      <c r="D320">
        <f ca="1">IF(表_网址[[#This Row],[重点关键词]]="",10,MATCH(表_网址[[#This Row],[重点关键词]],序列_重点关键词,0)+10)</f>
        <v>15</v>
      </c>
      <c r="E320">
        <f>IF(AND(表_网址[[#This Row],[首要关键词]]=K319,表_网址[[#This Row],[次要关键词]]=L319,表_网址[[#This Row],[重点关键词]]=M319),E319+1,IF(表_网址[[#This Row],[重点关键词]]="",100,101))</f>
        <v>102</v>
      </c>
      <c r="F320" t="s">
        <v>184</v>
      </c>
      <c r="G320" t="s">
        <v>185</v>
      </c>
      <c r="H320" t="s">
        <v>29</v>
      </c>
      <c r="I320" t="s">
        <v>186</v>
      </c>
      <c r="J320" t="s">
        <v>23</v>
      </c>
      <c r="K320" t="s">
        <v>24</v>
      </c>
      <c r="L320" t="s">
        <v>26</v>
      </c>
      <c r="M320" t="s">
        <v>183</v>
      </c>
      <c r="N320">
        <v>999</v>
      </c>
      <c r="O320">
        <v>999</v>
      </c>
      <c r="Q320">
        <v>64</v>
      </c>
    </row>
    <row r="321" spans="1:17" x14ac:dyDescent="0.2">
      <c r="A321" t="str">
        <f ca="1">表_网址[[#This Row],[1级]]&amp;"-"&amp;表_网址[[#This Row],[2级]]&amp;"-"&amp;表_网址[[#This Row],[3级]]&amp;"-"&amp;表_网址[[#This Row],[级内]]</f>
        <v>7003-11-15-103</v>
      </c>
      <c r="B321">
        <f ca="1">MATCH(表_网址[[#This Row],[版层分类]],序列_版层分类,0)*1000+MATCH(表_网址[[#This Row],[首要关键词]],序列_首要关键词,0)</f>
        <v>7003</v>
      </c>
      <c r="C321">
        <f ca="1">IF(表_网址[[#This Row],[次要关键词]]="",10,MATCH(表_网址[[#This Row],[次要关键词]],序列_次要关键词,0)+10)</f>
        <v>11</v>
      </c>
      <c r="D321">
        <f ca="1">IF(表_网址[[#This Row],[重点关键词]]="",10,MATCH(表_网址[[#This Row],[重点关键词]],序列_重点关键词,0)+10)</f>
        <v>15</v>
      </c>
      <c r="E321">
        <f>IF(AND(表_网址[[#This Row],[首要关键词]]=K320,表_网址[[#This Row],[次要关键词]]=L320,表_网址[[#This Row],[重点关键词]]=M320),E320+1,IF(表_网址[[#This Row],[重点关键词]]="",100,101))</f>
        <v>103</v>
      </c>
      <c r="F321" t="s">
        <v>187</v>
      </c>
      <c r="G321" t="s">
        <v>188</v>
      </c>
      <c r="H321" t="s">
        <v>29</v>
      </c>
      <c r="I321" t="s">
        <v>189</v>
      </c>
      <c r="J321" t="s">
        <v>23</v>
      </c>
      <c r="K321" t="s">
        <v>24</v>
      </c>
      <c r="L321" t="s">
        <v>26</v>
      </c>
      <c r="M321" t="s">
        <v>183</v>
      </c>
      <c r="N321">
        <v>999</v>
      </c>
      <c r="Q321">
        <v>16</v>
      </c>
    </row>
    <row r="322" spans="1:17" x14ac:dyDescent="0.2">
      <c r="A322" t="str">
        <f ca="1">表_网址[[#This Row],[1级]]&amp;"-"&amp;表_网址[[#This Row],[2级]]&amp;"-"&amp;表_网址[[#This Row],[3级]]&amp;"-"&amp;表_网址[[#This Row],[级内]]</f>
        <v>7003-11-15-104</v>
      </c>
      <c r="B322">
        <f ca="1">MATCH(表_网址[[#This Row],[版层分类]],序列_版层分类,0)*1000+MATCH(表_网址[[#This Row],[首要关键词]],序列_首要关键词,0)</f>
        <v>7003</v>
      </c>
      <c r="C322">
        <f ca="1">IF(表_网址[[#This Row],[次要关键词]]="",10,MATCH(表_网址[[#This Row],[次要关键词]],序列_次要关键词,0)+10)</f>
        <v>11</v>
      </c>
      <c r="D322">
        <f ca="1">IF(表_网址[[#This Row],[重点关键词]]="",10,MATCH(表_网址[[#This Row],[重点关键词]],序列_重点关键词,0)+10)</f>
        <v>15</v>
      </c>
      <c r="E322">
        <f>IF(AND(表_网址[[#This Row],[首要关键词]]=K321,表_网址[[#This Row],[次要关键词]]=L321,表_网址[[#This Row],[重点关键词]]=M321),E321+1,IF(表_网址[[#This Row],[重点关键词]]="",100,101))</f>
        <v>104</v>
      </c>
      <c r="F322" t="s">
        <v>190</v>
      </c>
      <c r="G322" t="s">
        <v>191</v>
      </c>
      <c r="H322" t="s">
        <v>29</v>
      </c>
      <c r="I322" t="s">
        <v>192</v>
      </c>
      <c r="J322" t="s">
        <v>23</v>
      </c>
      <c r="K322" t="s">
        <v>24</v>
      </c>
      <c r="L322" t="s">
        <v>26</v>
      </c>
      <c r="M322" t="s">
        <v>183</v>
      </c>
      <c r="N322">
        <v>999</v>
      </c>
      <c r="O322">
        <v>999</v>
      </c>
      <c r="Q322">
        <v>32</v>
      </c>
    </row>
    <row r="323" spans="1:17" x14ac:dyDescent="0.2">
      <c r="A323" t="str">
        <f ca="1">表_网址[[#This Row],[1级]]&amp;"-"&amp;表_网址[[#This Row],[2级]]&amp;"-"&amp;表_网址[[#This Row],[3级]]&amp;"-"&amp;表_网址[[#This Row],[级内]]</f>
        <v>7003-11-15-105</v>
      </c>
      <c r="B323">
        <f ca="1">MATCH(表_网址[[#This Row],[版层分类]],序列_版层分类,0)*1000+MATCH(表_网址[[#This Row],[首要关键词]],序列_首要关键词,0)</f>
        <v>7003</v>
      </c>
      <c r="C323">
        <f ca="1">IF(表_网址[[#This Row],[次要关键词]]="",10,MATCH(表_网址[[#This Row],[次要关键词]],序列_次要关键词,0)+10)</f>
        <v>11</v>
      </c>
      <c r="D323">
        <f ca="1">IF(表_网址[[#This Row],[重点关键词]]="",10,MATCH(表_网址[[#This Row],[重点关键词]],序列_重点关键词,0)+10)</f>
        <v>15</v>
      </c>
      <c r="E323">
        <f>IF(AND(表_网址[[#This Row],[首要关键词]]=K322,表_网址[[#This Row],[次要关键词]]=L322,表_网址[[#This Row],[重点关键词]]=M322),E322+1,IF(表_网址[[#This Row],[重点关键词]]="",100,101))</f>
        <v>105</v>
      </c>
      <c r="F323" t="s">
        <v>193</v>
      </c>
      <c r="G323" t="s">
        <v>194</v>
      </c>
      <c r="H323" t="s">
        <v>29</v>
      </c>
      <c r="I323" t="s">
        <v>195</v>
      </c>
      <c r="J323" t="s">
        <v>23</v>
      </c>
      <c r="K323" t="s">
        <v>24</v>
      </c>
      <c r="L323" t="s">
        <v>26</v>
      </c>
      <c r="M323" t="s">
        <v>183</v>
      </c>
      <c r="N323">
        <v>999</v>
      </c>
    </row>
    <row r="324" spans="1:17" x14ac:dyDescent="0.2">
      <c r="A324" t="str">
        <f ca="1">表_网址[[#This Row],[1级]]&amp;"-"&amp;表_网址[[#This Row],[2级]]&amp;"-"&amp;表_网址[[#This Row],[3级]]&amp;"-"&amp;表_网址[[#This Row],[级内]]</f>
        <v>7003-11-15-106</v>
      </c>
      <c r="B324">
        <f ca="1">MATCH(表_网址[[#This Row],[版层分类]],序列_版层分类,0)*1000+MATCH(表_网址[[#This Row],[首要关键词]],序列_首要关键词,0)</f>
        <v>7003</v>
      </c>
      <c r="C324">
        <f ca="1">IF(表_网址[[#This Row],[次要关键词]]="",10,MATCH(表_网址[[#This Row],[次要关键词]],序列_次要关键词,0)+10)</f>
        <v>11</v>
      </c>
      <c r="D324">
        <f ca="1">IF(表_网址[[#This Row],[重点关键词]]="",10,MATCH(表_网址[[#This Row],[重点关键词]],序列_重点关键词,0)+10)</f>
        <v>15</v>
      </c>
      <c r="E324">
        <f>IF(AND(表_网址[[#This Row],[首要关键词]]=K323,表_网址[[#This Row],[次要关键词]]=L323,表_网址[[#This Row],[重点关键词]]=M323),E323+1,IF(表_网址[[#This Row],[重点关键词]]="",100,101))</f>
        <v>106</v>
      </c>
      <c r="F324" t="s">
        <v>196</v>
      </c>
      <c r="G324" t="s">
        <v>197</v>
      </c>
      <c r="H324" t="s">
        <v>29</v>
      </c>
      <c r="I324" t="s">
        <v>198</v>
      </c>
      <c r="J324" t="s">
        <v>23</v>
      </c>
      <c r="K324" t="s">
        <v>24</v>
      </c>
      <c r="L324" t="s">
        <v>26</v>
      </c>
      <c r="M324" t="s">
        <v>183</v>
      </c>
      <c r="N324">
        <v>999</v>
      </c>
      <c r="O324">
        <v>999</v>
      </c>
      <c r="Q324">
        <v>16</v>
      </c>
    </row>
    <row r="325" spans="1:17" x14ac:dyDescent="0.2">
      <c r="A325" t="str">
        <f ca="1">表_网址[[#This Row],[1级]]&amp;"-"&amp;表_网址[[#This Row],[2级]]&amp;"-"&amp;表_网址[[#This Row],[3级]]&amp;"-"&amp;表_网址[[#This Row],[级内]]</f>
        <v>7003-11-15-107</v>
      </c>
      <c r="B325">
        <f ca="1">MATCH(表_网址[[#This Row],[版层分类]],序列_版层分类,0)*1000+MATCH(表_网址[[#This Row],[首要关键词]],序列_首要关键词,0)</f>
        <v>7003</v>
      </c>
      <c r="C325">
        <f ca="1">IF(表_网址[[#This Row],[次要关键词]]="",10,MATCH(表_网址[[#This Row],[次要关键词]],序列_次要关键词,0)+10)</f>
        <v>11</v>
      </c>
      <c r="D325">
        <f ca="1">IF(表_网址[[#This Row],[重点关键词]]="",10,MATCH(表_网址[[#This Row],[重点关键词]],序列_重点关键词,0)+10)</f>
        <v>15</v>
      </c>
      <c r="E325">
        <f>IF(AND(表_网址[[#This Row],[首要关键词]]=K324,表_网址[[#This Row],[次要关键词]]=L324,表_网址[[#This Row],[重点关键词]]=M324),E324+1,IF(表_网址[[#This Row],[重点关键词]]="",100,101))</f>
        <v>107</v>
      </c>
      <c r="F325" t="s">
        <v>199</v>
      </c>
      <c r="G325" t="s">
        <v>200</v>
      </c>
      <c r="H325" t="s">
        <v>29</v>
      </c>
      <c r="I325" t="s">
        <v>201</v>
      </c>
      <c r="J325" t="s">
        <v>23</v>
      </c>
      <c r="K325" t="s">
        <v>24</v>
      </c>
      <c r="L325" t="s">
        <v>26</v>
      </c>
      <c r="M325" t="s">
        <v>183</v>
      </c>
      <c r="N325">
        <v>999</v>
      </c>
      <c r="Q325">
        <v>16</v>
      </c>
    </row>
    <row r="326" spans="1:17" x14ac:dyDescent="0.2">
      <c r="A326" t="str">
        <f ca="1">表_网址[[#This Row],[1级]]&amp;"-"&amp;表_网址[[#This Row],[2级]]&amp;"-"&amp;表_网址[[#This Row],[3级]]&amp;"-"&amp;表_网址[[#This Row],[级内]]</f>
        <v>7003-11-15-108</v>
      </c>
      <c r="B326">
        <f ca="1">MATCH(表_网址[[#This Row],[版层分类]],序列_版层分类,0)*1000+MATCH(表_网址[[#This Row],[首要关键词]],序列_首要关键词,0)</f>
        <v>7003</v>
      </c>
      <c r="C326">
        <f ca="1">IF(表_网址[[#This Row],[次要关键词]]="",10,MATCH(表_网址[[#This Row],[次要关键词]],序列_次要关键词,0)+10)</f>
        <v>11</v>
      </c>
      <c r="D326">
        <f ca="1">IF(表_网址[[#This Row],[重点关键词]]="",10,MATCH(表_网址[[#This Row],[重点关键词]],序列_重点关键词,0)+10)</f>
        <v>15</v>
      </c>
      <c r="E326">
        <f>IF(AND(表_网址[[#This Row],[首要关键词]]=K325,表_网址[[#This Row],[次要关键词]]=L325,表_网址[[#This Row],[重点关键词]]=M325),E325+1,IF(表_网址[[#This Row],[重点关键词]]="",100,101))</f>
        <v>108</v>
      </c>
      <c r="F326" t="s">
        <v>202</v>
      </c>
      <c r="G326" t="s">
        <v>203</v>
      </c>
      <c r="H326" t="s">
        <v>29</v>
      </c>
      <c r="I326" t="s">
        <v>204</v>
      </c>
      <c r="J326" t="s">
        <v>23</v>
      </c>
      <c r="K326" t="s">
        <v>24</v>
      </c>
      <c r="L326" t="s">
        <v>26</v>
      </c>
      <c r="M326" t="s">
        <v>183</v>
      </c>
      <c r="N326">
        <v>999</v>
      </c>
      <c r="O326">
        <v>999</v>
      </c>
      <c r="Q326">
        <v>128</v>
      </c>
    </row>
    <row r="327" spans="1:17" x14ac:dyDescent="0.2">
      <c r="A327" t="str">
        <f ca="1">表_网址[[#This Row],[1级]]&amp;"-"&amp;表_网址[[#This Row],[2级]]&amp;"-"&amp;表_网址[[#This Row],[3级]]&amp;"-"&amp;表_网址[[#This Row],[级内]]</f>
        <v>7003-11-15-109</v>
      </c>
      <c r="B327">
        <f ca="1">MATCH(表_网址[[#This Row],[版层分类]],序列_版层分类,0)*1000+MATCH(表_网址[[#This Row],[首要关键词]],序列_首要关键词,0)</f>
        <v>7003</v>
      </c>
      <c r="C327">
        <f ca="1">IF(表_网址[[#This Row],[次要关键词]]="",10,MATCH(表_网址[[#This Row],[次要关键词]],序列_次要关键词,0)+10)</f>
        <v>11</v>
      </c>
      <c r="D327">
        <f ca="1">IF(表_网址[[#This Row],[重点关键词]]="",10,MATCH(表_网址[[#This Row],[重点关键词]],序列_重点关键词,0)+10)</f>
        <v>15</v>
      </c>
      <c r="E327">
        <f>IF(AND(表_网址[[#This Row],[首要关键词]]=K326,表_网址[[#This Row],[次要关键词]]=L326,表_网址[[#This Row],[重点关键词]]=M326),E326+1,IF(表_网址[[#This Row],[重点关键词]]="",100,101))</f>
        <v>109</v>
      </c>
      <c r="F327" t="s">
        <v>205</v>
      </c>
      <c r="G327" t="s">
        <v>206</v>
      </c>
      <c r="H327" t="s">
        <v>29</v>
      </c>
      <c r="I327" t="s">
        <v>207</v>
      </c>
      <c r="J327" t="s">
        <v>23</v>
      </c>
      <c r="K327" t="s">
        <v>24</v>
      </c>
      <c r="L327" t="s">
        <v>26</v>
      </c>
      <c r="M327" t="s">
        <v>183</v>
      </c>
      <c r="N327">
        <v>999</v>
      </c>
    </row>
    <row r="328" spans="1:17" x14ac:dyDescent="0.2">
      <c r="A328" t="str">
        <f ca="1">表_网址[[#This Row],[1级]]&amp;"-"&amp;表_网址[[#This Row],[2级]]&amp;"-"&amp;表_网址[[#This Row],[3级]]&amp;"-"&amp;表_网址[[#This Row],[级内]]</f>
        <v>7003-11-16-101</v>
      </c>
      <c r="B328">
        <f ca="1">MATCH(表_网址[[#This Row],[版层分类]],序列_版层分类,0)*1000+MATCH(表_网址[[#This Row],[首要关键词]],序列_首要关键词,0)</f>
        <v>7003</v>
      </c>
      <c r="C328">
        <f ca="1">IF(表_网址[[#This Row],[次要关键词]]="",10,MATCH(表_网址[[#This Row],[次要关键词]],序列_次要关键词,0)+10)</f>
        <v>11</v>
      </c>
      <c r="D328">
        <f ca="1">IF(表_网址[[#This Row],[重点关键词]]="",10,MATCH(表_网址[[#This Row],[重点关键词]],序列_重点关键词,0)+10)</f>
        <v>16</v>
      </c>
      <c r="E328">
        <f>IF(AND(表_网址[[#This Row],[首要关键词]]=K327,表_网址[[#This Row],[次要关键词]]=L327,表_网址[[#This Row],[重点关键词]]=M327),E327+1,IF(表_网址[[#This Row],[重点关键词]]="",100,101))</f>
        <v>101</v>
      </c>
      <c r="F328" t="s">
        <v>208</v>
      </c>
      <c r="G328" t="s">
        <v>209</v>
      </c>
      <c r="H328" t="s">
        <v>29</v>
      </c>
      <c r="I328" t="s">
        <v>210</v>
      </c>
      <c r="J328" t="s">
        <v>23</v>
      </c>
      <c r="K328" t="s">
        <v>24</v>
      </c>
      <c r="L328" t="s">
        <v>26</v>
      </c>
      <c r="M328" t="s">
        <v>211</v>
      </c>
      <c r="N328">
        <v>999</v>
      </c>
      <c r="O328">
        <v>999</v>
      </c>
      <c r="Q328">
        <v>32</v>
      </c>
    </row>
    <row r="329" spans="1:17" x14ac:dyDescent="0.2">
      <c r="A329" t="str">
        <f ca="1">表_网址[[#This Row],[1级]]&amp;"-"&amp;表_网址[[#This Row],[2级]]&amp;"-"&amp;表_网址[[#This Row],[3级]]&amp;"-"&amp;表_网址[[#This Row],[级内]]</f>
        <v>7003-11-16-102</v>
      </c>
      <c r="B329">
        <f ca="1">MATCH(表_网址[[#This Row],[版层分类]],序列_版层分类,0)*1000+MATCH(表_网址[[#This Row],[首要关键词]],序列_首要关键词,0)</f>
        <v>7003</v>
      </c>
      <c r="C329">
        <f ca="1">IF(表_网址[[#This Row],[次要关键词]]="",10,MATCH(表_网址[[#This Row],[次要关键词]],序列_次要关键词,0)+10)</f>
        <v>11</v>
      </c>
      <c r="D329">
        <f ca="1">IF(表_网址[[#This Row],[重点关键词]]="",10,MATCH(表_网址[[#This Row],[重点关键词]],序列_重点关键词,0)+10)</f>
        <v>16</v>
      </c>
      <c r="E329">
        <f>IF(AND(表_网址[[#This Row],[首要关键词]]=K328,表_网址[[#This Row],[次要关键词]]=L328,表_网址[[#This Row],[重点关键词]]=M328),E328+1,IF(表_网址[[#This Row],[重点关键词]]="",100,101))</f>
        <v>102</v>
      </c>
      <c r="F329" t="s">
        <v>212</v>
      </c>
      <c r="G329" t="s">
        <v>213</v>
      </c>
      <c r="H329" t="s">
        <v>29</v>
      </c>
      <c r="I329" t="s">
        <v>214</v>
      </c>
      <c r="J329" t="s">
        <v>23</v>
      </c>
      <c r="K329" t="s">
        <v>24</v>
      </c>
      <c r="L329" t="s">
        <v>26</v>
      </c>
      <c r="M329" t="s">
        <v>211</v>
      </c>
      <c r="N329">
        <v>999</v>
      </c>
      <c r="Q329">
        <v>16</v>
      </c>
    </row>
    <row r="330" spans="1:17" x14ac:dyDescent="0.2">
      <c r="A330" t="str">
        <f ca="1">表_网址[[#This Row],[1级]]&amp;"-"&amp;表_网址[[#This Row],[2级]]&amp;"-"&amp;表_网址[[#This Row],[3级]]&amp;"-"&amp;表_网址[[#This Row],[级内]]</f>
        <v>7003-11-16-103</v>
      </c>
      <c r="B330">
        <f ca="1">MATCH(表_网址[[#This Row],[版层分类]],序列_版层分类,0)*1000+MATCH(表_网址[[#This Row],[首要关键词]],序列_首要关键词,0)</f>
        <v>7003</v>
      </c>
      <c r="C330">
        <f ca="1">IF(表_网址[[#This Row],[次要关键词]]="",10,MATCH(表_网址[[#This Row],[次要关键词]],序列_次要关键词,0)+10)</f>
        <v>11</v>
      </c>
      <c r="D330">
        <f ca="1">IF(表_网址[[#This Row],[重点关键词]]="",10,MATCH(表_网址[[#This Row],[重点关键词]],序列_重点关键词,0)+10)</f>
        <v>16</v>
      </c>
      <c r="E330">
        <f>IF(AND(表_网址[[#This Row],[首要关键词]]=K329,表_网址[[#This Row],[次要关键词]]=L329,表_网址[[#This Row],[重点关键词]]=M329),E329+1,IF(表_网址[[#This Row],[重点关键词]]="",100,101))</f>
        <v>103</v>
      </c>
      <c r="F330" t="s">
        <v>215</v>
      </c>
      <c r="G330" t="s">
        <v>216</v>
      </c>
      <c r="H330" t="s">
        <v>29</v>
      </c>
      <c r="I330" t="s">
        <v>217</v>
      </c>
      <c r="J330" t="s">
        <v>23</v>
      </c>
      <c r="K330" t="s">
        <v>24</v>
      </c>
      <c r="L330" t="s">
        <v>26</v>
      </c>
      <c r="M330" t="s">
        <v>211</v>
      </c>
      <c r="N330">
        <v>999</v>
      </c>
    </row>
    <row r="331" spans="1:17" x14ac:dyDescent="0.2">
      <c r="A331" t="str">
        <f ca="1">表_网址[[#This Row],[1级]]&amp;"-"&amp;表_网址[[#This Row],[2级]]&amp;"-"&amp;表_网址[[#This Row],[3级]]&amp;"-"&amp;表_网址[[#This Row],[级内]]</f>
        <v>7003-11-16-104</v>
      </c>
      <c r="B331">
        <f ca="1">MATCH(表_网址[[#This Row],[版层分类]],序列_版层分类,0)*1000+MATCH(表_网址[[#This Row],[首要关键词]],序列_首要关键词,0)</f>
        <v>7003</v>
      </c>
      <c r="C331">
        <f ca="1">IF(表_网址[[#This Row],[次要关键词]]="",10,MATCH(表_网址[[#This Row],[次要关键词]],序列_次要关键词,0)+10)</f>
        <v>11</v>
      </c>
      <c r="D331">
        <f ca="1">IF(表_网址[[#This Row],[重点关键词]]="",10,MATCH(表_网址[[#This Row],[重点关键词]],序列_重点关键词,0)+10)</f>
        <v>16</v>
      </c>
      <c r="E331">
        <f>IF(AND(表_网址[[#This Row],[首要关键词]]=K330,表_网址[[#This Row],[次要关键词]]=L330,表_网址[[#This Row],[重点关键词]]=M330),E330+1,IF(表_网址[[#This Row],[重点关键词]]="",100,101))</f>
        <v>104</v>
      </c>
      <c r="F331" t="s">
        <v>218</v>
      </c>
      <c r="G331" t="s">
        <v>219</v>
      </c>
      <c r="H331" t="s">
        <v>29</v>
      </c>
      <c r="I331" t="s">
        <v>220</v>
      </c>
      <c r="J331" t="s">
        <v>23</v>
      </c>
      <c r="K331" t="s">
        <v>24</v>
      </c>
      <c r="L331" t="s">
        <v>26</v>
      </c>
      <c r="M331" t="s">
        <v>211</v>
      </c>
      <c r="N331">
        <v>999</v>
      </c>
    </row>
    <row r="332" spans="1:17" x14ac:dyDescent="0.2">
      <c r="A332" t="str">
        <f ca="1">表_网址[[#This Row],[1级]]&amp;"-"&amp;表_网址[[#This Row],[2级]]&amp;"-"&amp;表_网址[[#This Row],[3级]]&amp;"-"&amp;表_网址[[#This Row],[级内]]</f>
        <v>7003-11-16-105</v>
      </c>
      <c r="B332">
        <f ca="1">MATCH(表_网址[[#This Row],[版层分类]],序列_版层分类,0)*1000+MATCH(表_网址[[#This Row],[首要关键词]],序列_首要关键词,0)</f>
        <v>7003</v>
      </c>
      <c r="C332">
        <f ca="1">IF(表_网址[[#This Row],[次要关键词]]="",10,MATCH(表_网址[[#This Row],[次要关键词]],序列_次要关键词,0)+10)</f>
        <v>11</v>
      </c>
      <c r="D332">
        <f ca="1">IF(表_网址[[#This Row],[重点关键词]]="",10,MATCH(表_网址[[#This Row],[重点关键词]],序列_重点关键词,0)+10)</f>
        <v>16</v>
      </c>
      <c r="E332">
        <f>IF(AND(表_网址[[#This Row],[首要关键词]]=K331,表_网址[[#This Row],[次要关键词]]=L331,表_网址[[#This Row],[重点关键词]]=M331),E331+1,IF(表_网址[[#This Row],[重点关键词]]="",100,101))</f>
        <v>105</v>
      </c>
      <c r="F332" t="s">
        <v>221</v>
      </c>
      <c r="G332" t="s">
        <v>222</v>
      </c>
      <c r="H332" t="s">
        <v>29</v>
      </c>
      <c r="I332" t="s">
        <v>223</v>
      </c>
      <c r="J332" t="s">
        <v>23</v>
      </c>
      <c r="K332" t="s">
        <v>24</v>
      </c>
      <c r="L332" t="s">
        <v>26</v>
      </c>
      <c r="M332" t="s">
        <v>211</v>
      </c>
      <c r="N332">
        <v>999</v>
      </c>
    </row>
    <row r="333" spans="1:17" x14ac:dyDescent="0.2">
      <c r="A333" t="str">
        <f ca="1">表_网址[[#This Row],[1级]]&amp;"-"&amp;表_网址[[#This Row],[2级]]&amp;"-"&amp;表_网址[[#This Row],[3级]]&amp;"-"&amp;表_网址[[#This Row],[级内]]</f>
        <v>7003-11-16-106</v>
      </c>
      <c r="B333">
        <f ca="1">MATCH(表_网址[[#This Row],[版层分类]],序列_版层分类,0)*1000+MATCH(表_网址[[#This Row],[首要关键词]],序列_首要关键词,0)</f>
        <v>7003</v>
      </c>
      <c r="C333">
        <f ca="1">IF(表_网址[[#This Row],[次要关键词]]="",10,MATCH(表_网址[[#This Row],[次要关键词]],序列_次要关键词,0)+10)</f>
        <v>11</v>
      </c>
      <c r="D333">
        <f ca="1">IF(表_网址[[#This Row],[重点关键词]]="",10,MATCH(表_网址[[#This Row],[重点关键词]],序列_重点关键词,0)+10)</f>
        <v>16</v>
      </c>
      <c r="E333">
        <f>IF(AND(表_网址[[#This Row],[首要关键词]]=K332,表_网址[[#This Row],[次要关键词]]=L332,表_网址[[#This Row],[重点关键词]]=M332),E332+1,IF(表_网址[[#This Row],[重点关键词]]="",100,101))</f>
        <v>106</v>
      </c>
      <c r="F333" t="s">
        <v>224</v>
      </c>
      <c r="G333" t="s">
        <v>225</v>
      </c>
      <c r="H333" t="s">
        <v>29</v>
      </c>
      <c r="I333" t="s">
        <v>226</v>
      </c>
      <c r="J333" t="s">
        <v>23</v>
      </c>
      <c r="K333" t="s">
        <v>24</v>
      </c>
      <c r="L333" t="s">
        <v>26</v>
      </c>
      <c r="M333" t="s">
        <v>211</v>
      </c>
      <c r="N333">
        <v>999</v>
      </c>
      <c r="O333">
        <v>999</v>
      </c>
      <c r="Q333">
        <v>1024</v>
      </c>
    </row>
    <row r="334" spans="1:17" x14ac:dyDescent="0.2">
      <c r="A334" t="str">
        <f ca="1">表_网址[[#This Row],[1级]]&amp;"-"&amp;表_网址[[#This Row],[2级]]&amp;"-"&amp;表_网址[[#This Row],[3级]]&amp;"-"&amp;表_网址[[#This Row],[级内]]</f>
        <v>7003-11-16-107</v>
      </c>
      <c r="B334">
        <f ca="1">MATCH(表_网址[[#This Row],[版层分类]],序列_版层分类,0)*1000+MATCH(表_网址[[#This Row],[首要关键词]],序列_首要关键词,0)</f>
        <v>7003</v>
      </c>
      <c r="C334">
        <f ca="1">IF(表_网址[[#This Row],[次要关键词]]="",10,MATCH(表_网址[[#This Row],[次要关键词]],序列_次要关键词,0)+10)</f>
        <v>11</v>
      </c>
      <c r="D334">
        <f ca="1">IF(表_网址[[#This Row],[重点关键词]]="",10,MATCH(表_网址[[#This Row],[重点关键词]],序列_重点关键词,0)+10)</f>
        <v>16</v>
      </c>
      <c r="E334">
        <f>IF(AND(表_网址[[#This Row],[首要关键词]]=K333,表_网址[[#This Row],[次要关键词]]=L333,表_网址[[#This Row],[重点关键词]]=M333),E333+1,IF(表_网址[[#This Row],[重点关键词]]="",100,101))</f>
        <v>107</v>
      </c>
      <c r="F334" t="s">
        <v>227</v>
      </c>
      <c r="G334" t="s">
        <v>228</v>
      </c>
      <c r="H334" t="s">
        <v>29</v>
      </c>
      <c r="I334" t="s">
        <v>229</v>
      </c>
      <c r="J334" t="s">
        <v>23</v>
      </c>
      <c r="K334" t="s">
        <v>24</v>
      </c>
      <c r="L334" t="s">
        <v>26</v>
      </c>
      <c r="M334" t="s">
        <v>211</v>
      </c>
      <c r="N334">
        <v>999</v>
      </c>
      <c r="Q334">
        <v>53</v>
      </c>
    </row>
    <row r="335" spans="1:17" x14ac:dyDescent="0.2">
      <c r="A335" t="str">
        <f ca="1">表_网址[[#This Row],[1级]]&amp;"-"&amp;表_网址[[#This Row],[2级]]&amp;"-"&amp;表_网址[[#This Row],[3级]]&amp;"-"&amp;表_网址[[#This Row],[级内]]</f>
        <v>7003-11-16-108</v>
      </c>
      <c r="B335">
        <f ca="1">MATCH(表_网址[[#This Row],[版层分类]],序列_版层分类,0)*1000+MATCH(表_网址[[#This Row],[首要关键词]],序列_首要关键词,0)</f>
        <v>7003</v>
      </c>
      <c r="C335">
        <f ca="1">IF(表_网址[[#This Row],[次要关键词]]="",10,MATCH(表_网址[[#This Row],[次要关键词]],序列_次要关键词,0)+10)</f>
        <v>11</v>
      </c>
      <c r="D335">
        <f ca="1">IF(表_网址[[#This Row],[重点关键词]]="",10,MATCH(表_网址[[#This Row],[重点关键词]],序列_重点关键词,0)+10)</f>
        <v>16</v>
      </c>
      <c r="E335">
        <f>IF(AND(表_网址[[#This Row],[首要关键词]]=K334,表_网址[[#This Row],[次要关键词]]=L334,表_网址[[#This Row],[重点关键词]]=M334),E334+1,IF(表_网址[[#This Row],[重点关键词]]="",100,101))</f>
        <v>108</v>
      </c>
      <c r="F335" t="s">
        <v>230</v>
      </c>
      <c r="G335" t="s">
        <v>228</v>
      </c>
      <c r="H335" t="s">
        <v>29</v>
      </c>
      <c r="I335" t="s">
        <v>229</v>
      </c>
      <c r="J335" t="s">
        <v>23</v>
      </c>
      <c r="K335" t="s">
        <v>24</v>
      </c>
      <c r="L335" t="s">
        <v>26</v>
      </c>
      <c r="M335" t="s">
        <v>211</v>
      </c>
      <c r="N335">
        <v>999</v>
      </c>
      <c r="Q335">
        <v>53</v>
      </c>
    </row>
    <row r="336" spans="1:17" x14ac:dyDescent="0.2">
      <c r="A336" t="str">
        <f ca="1">表_网址[[#This Row],[1级]]&amp;"-"&amp;表_网址[[#This Row],[2级]]&amp;"-"&amp;表_网址[[#This Row],[3级]]&amp;"-"&amp;表_网址[[#This Row],[级内]]</f>
        <v>7003-11-16-109</v>
      </c>
      <c r="B336">
        <f ca="1">MATCH(表_网址[[#This Row],[版层分类]],序列_版层分类,0)*1000+MATCH(表_网址[[#This Row],[首要关键词]],序列_首要关键词,0)</f>
        <v>7003</v>
      </c>
      <c r="C336">
        <f ca="1">IF(表_网址[[#This Row],[次要关键词]]="",10,MATCH(表_网址[[#This Row],[次要关键词]],序列_次要关键词,0)+10)</f>
        <v>11</v>
      </c>
      <c r="D336">
        <f ca="1">IF(表_网址[[#This Row],[重点关键词]]="",10,MATCH(表_网址[[#This Row],[重点关键词]],序列_重点关键词,0)+10)</f>
        <v>16</v>
      </c>
      <c r="E336">
        <f>IF(AND(表_网址[[#This Row],[首要关键词]]=K335,表_网址[[#This Row],[次要关键词]]=L335,表_网址[[#This Row],[重点关键词]]=M335),E335+1,IF(表_网址[[#This Row],[重点关键词]]="",100,101))</f>
        <v>109</v>
      </c>
      <c r="F336" t="s">
        <v>231</v>
      </c>
      <c r="G336" t="s">
        <v>232</v>
      </c>
      <c r="H336" t="s">
        <v>29</v>
      </c>
      <c r="I336" t="s">
        <v>233</v>
      </c>
      <c r="J336" t="s">
        <v>23</v>
      </c>
      <c r="K336" t="s">
        <v>24</v>
      </c>
      <c r="L336" t="s">
        <v>26</v>
      </c>
      <c r="M336" t="s">
        <v>211</v>
      </c>
      <c r="N336">
        <v>999</v>
      </c>
    </row>
    <row r="337" spans="1:17" x14ac:dyDescent="0.2">
      <c r="A337" t="str">
        <f ca="1">表_网址[[#This Row],[1级]]&amp;"-"&amp;表_网址[[#This Row],[2级]]&amp;"-"&amp;表_网址[[#This Row],[3级]]&amp;"-"&amp;表_网址[[#This Row],[级内]]</f>
        <v>7003-11-16-110</v>
      </c>
      <c r="B337">
        <f ca="1">MATCH(表_网址[[#This Row],[版层分类]],序列_版层分类,0)*1000+MATCH(表_网址[[#This Row],[首要关键词]],序列_首要关键词,0)</f>
        <v>7003</v>
      </c>
      <c r="C337">
        <f ca="1">IF(表_网址[[#This Row],[次要关键词]]="",10,MATCH(表_网址[[#This Row],[次要关键词]],序列_次要关键词,0)+10)</f>
        <v>11</v>
      </c>
      <c r="D337">
        <f ca="1">IF(表_网址[[#This Row],[重点关键词]]="",10,MATCH(表_网址[[#This Row],[重点关键词]],序列_重点关键词,0)+10)</f>
        <v>16</v>
      </c>
      <c r="E337">
        <f>IF(AND(表_网址[[#This Row],[首要关键词]]=K336,表_网址[[#This Row],[次要关键词]]=L336,表_网址[[#This Row],[重点关键词]]=M336),E336+1,IF(表_网址[[#This Row],[重点关键词]]="",100,101))</f>
        <v>110</v>
      </c>
      <c r="F337" t="s">
        <v>234</v>
      </c>
      <c r="G337" t="s">
        <v>235</v>
      </c>
      <c r="H337" t="s">
        <v>29</v>
      </c>
      <c r="I337" t="s">
        <v>236</v>
      </c>
      <c r="J337" t="s">
        <v>23</v>
      </c>
      <c r="K337" t="s">
        <v>24</v>
      </c>
      <c r="L337" t="s">
        <v>26</v>
      </c>
      <c r="M337" t="s">
        <v>211</v>
      </c>
      <c r="N337">
        <v>999</v>
      </c>
      <c r="Q337">
        <v>197</v>
      </c>
    </row>
    <row r="338" spans="1:17" x14ac:dyDescent="0.2">
      <c r="A338" t="str">
        <f ca="1">表_网址[[#This Row],[1级]]&amp;"-"&amp;表_网址[[#This Row],[2级]]&amp;"-"&amp;表_网址[[#This Row],[3级]]&amp;"-"&amp;表_网址[[#This Row],[级内]]</f>
        <v>7003-11-16-111</v>
      </c>
      <c r="B338">
        <f ca="1">MATCH(表_网址[[#This Row],[版层分类]],序列_版层分类,0)*1000+MATCH(表_网址[[#This Row],[首要关键词]],序列_首要关键词,0)</f>
        <v>7003</v>
      </c>
      <c r="C338">
        <f ca="1">IF(表_网址[[#This Row],[次要关键词]]="",10,MATCH(表_网址[[#This Row],[次要关键词]],序列_次要关键词,0)+10)</f>
        <v>11</v>
      </c>
      <c r="D338">
        <f ca="1">IF(表_网址[[#This Row],[重点关键词]]="",10,MATCH(表_网址[[#This Row],[重点关键词]],序列_重点关键词,0)+10)</f>
        <v>16</v>
      </c>
      <c r="E338">
        <f>IF(AND(表_网址[[#This Row],[首要关键词]]=K337,表_网址[[#This Row],[次要关键词]]=L337,表_网址[[#This Row],[重点关键词]]=M337),E337+1,IF(表_网址[[#This Row],[重点关键词]]="",100,101))</f>
        <v>111</v>
      </c>
      <c r="F338" t="s">
        <v>237</v>
      </c>
      <c r="G338" t="s">
        <v>238</v>
      </c>
      <c r="H338" t="s">
        <v>29</v>
      </c>
      <c r="I338" t="s">
        <v>239</v>
      </c>
      <c r="J338" t="s">
        <v>23</v>
      </c>
      <c r="K338" t="s">
        <v>24</v>
      </c>
      <c r="L338" t="s">
        <v>26</v>
      </c>
      <c r="M338" t="s">
        <v>211</v>
      </c>
      <c r="N338">
        <v>999</v>
      </c>
    </row>
    <row r="339" spans="1:17" x14ac:dyDescent="0.2">
      <c r="A339" t="str">
        <f ca="1">表_网址[[#This Row],[1级]]&amp;"-"&amp;表_网址[[#This Row],[2级]]&amp;"-"&amp;表_网址[[#This Row],[3级]]&amp;"-"&amp;表_网址[[#This Row],[级内]]</f>
        <v>7003-11-16-112</v>
      </c>
      <c r="B339">
        <f ca="1">MATCH(表_网址[[#This Row],[版层分类]],序列_版层分类,0)*1000+MATCH(表_网址[[#This Row],[首要关键词]],序列_首要关键词,0)</f>
        <v>7003</v>
      </c>
      <c r="C339">
        <f ca="1">IF(表_网址[[#This Row],[次要关键词]]="",10,MATCH(表_网址[[#This Row],[次要关键词]],序列_次要关键词,0)+10)</f>
        <v>11</v>
      </c>
      <c r="D339">
        <f ca="1">IF(表_网址[[#This Row],[重点关键词]]="",10,MATCH(表_网址[[#This Row],[重点关键词]],序列_重点关键词,0)+10)</f>
        <v>16</v>
      </c>
      <c r="E339">
        <f>IF(AND(表_网址[[#This Row],[首要关键词]]=K338,表_网址[[#This Row],[次要关键词]]=L338,表_网址[[#This Row],[重点关键词]]=M338),E338+1,IF(表_网址[[#This Row],[重点关键词]]="",100,101))</f>
        <v>112</v>
      </c>
      <c r="F339" t="s">
        <v>240</v>
      </c>
      <c r="G339" t="s">
        <v>241</v>
      </c>
      <c r="H339" t="s">
        <v>29</v>
      </c>
      <c r="I339" t="s">
        <v>242</v>
      </c>
      <c r="J339" t="s">
        <v>23</v>
      </c>
      <c r="K339" t="s">
        <v>24</v>
      </c>
      <c r="L339" t="s">
        <v>26</v>
      </c>
      <c r="M339" t="s">
        <v>211</v>
      </c>
      <c r="N339">
        <v>999</v>
      </c>
    </row>
    <row r="340" spans="1:17" x14ac:dyDescent="0.2">
      <c r="A340" t="str">
        <f ca="1">表_网址[[#This Row],[1级]]&amp;"-"&amp;表_网址[[#This Row],[2级]]&amp;"-"&amp;表_网址[[#This Row],[3级]]&amp;"-"&amp;表_网址[[#This Row],[级内]]</f>
        <v>7003-11-16-113</v>
      </c>
      <c r="B340">
        <f ca="1">MATCH(表_网址[[#This Row],[版层分类]],序列_版层分类,0)*1000+MATCH(表_网址[[#This Row],[首要关键词]],序列_首要关键词,0)</f>
        <v>7003</v>
      </c>
      <c r="C340">
        <f ca="1">IF(表_网址[[#This Row],[次要关键词]]="",10,MATCH(表_网址[[#This Row],[次要关键词]],序列_次要关键词,0)+10)</f>
        <v>11</v>
      </c>
      <c r="D340">
        <f ca="1">IF(表_网址[[#This Row],[重点关键词]]="",10,MATCH(表_网址[[#This Row],[重点关键词]],序列_重点关键词,0)+10)</f>
        <v>16</v>
      </c>
      <c r="E340">
        <f>IF(AND(表_网址[[#This Row],[首要关键词]]=K339,表_网址[[#This Row],[次要关键词]]=L339,表_网址[[#This Row],[重点关键词]]=M339),E339+1,IF(表_网址[[#This Row],[重点关键词]]="",100,101))</f>
        <v>113</v>
      </c>
      <c r="F340" t="s">
        <v>243</v>
      </c>
      <c r="G340" t="s">
        <v>244</v>
      </c>
      <c r="H340" t="s">
        <v>29</v>
      </c>
      <c r="I340" t="s">
        <v>245</v>
      </c>
      <c r="J340" t="s">
        <v>23</v>
      </c>
      <c r="K340" t="s">
        <v>24</v>
      </c>
      <c r="L340" t="s">
        <v>26</v>
      </c>
      <c r="M340" t="s">
        <v>211</v>
      </c>
      <c r="N340">
        <v>999</v>
      </c>
      <c r="Q340">
        <v>256</v>
      </c>
    </row>
    <row r="341" spans="1:17" x14ac:dyDescent="0.2">
      <c r="A341" t="str">
        <f ca="1">表_网址[[#This Row],[1级]]&amp;"-"&amp;表_网址[[#This Row],[2级]]&amp;"-"&amp;表_网址[[#This Row],[3级]]&amp;"-"&amp;表_网址[[#This Row],[级内]]</f>
        <v>7003-11-16-114</v>
      </c>
      <c r="B341">
        <f ca="1">MATCH(表_网址[[#This Row],[版层分类]],序列_版层分类,0)*1000+MATCH(表_网址[[#This Row],[首要关键词]],序列_首要关键词,0)</f>
        <v>7003</v>
      </c>
      <c r="C341">
        <f ca="1">IF(表_网址[[#This Row],[次要关键词]]="",10,MATCH(表_网址[[#This Row],[次要关键词]],序列_次要关键词,0)+10)</f>
        <v>11</v>
      </c>
      <c r="D341">
        <f ca="1">IF(表_网址[[#This Row],[重点关键词]]="",10,MATCH(表_网址[[#This Row],[重点关键词]],序列_重点关键词,0)+10)</f>
        <v>16</v>
      </c>
      <c r="E341">
        <f>IF(AND(表_网址[[#This Row],[首要关键词]]=K340,表_网址[[#This Row],[次要关键词]]=L340,表_网址[[#This Row],[重点关键词]]=M340),E340+1,IF(表_网址[[#This Row],[重点关键词]]="",100,101))</f>
        <v>114</v>
      </c>
      <c r="F341" t="s">
        <v>246</v>
      </c>
      <c r="G341" t="s">
        <v>247</v>
      </c>
      <c r="H341" t="s">
        <v>29</v>
      </c>
      <c r="J341" t="s">
        <v>23</v>
      </c>
      <c r="K341" t="s">
        <v>24</v>
      </c>
      <c r="L341" t="s">
        <v>26</v>
      </c>
      <c r="M341" t="s">
        <v>211</v>
      </c>
      <c r="N341">
        <v>999</v>
      </c>
    </row>
    <row r="342" spans="1:17" x14ac:dyDescent="0.2">
      <c r="A342" t="str">
        <f ca="1">表_网址[[#This Row],[1级]]&amp;"-"&amp;表_网址[[#This Row],[2级]]&amp;"-"&amp;表_网址[[#This Row],[3级]]&amp;"-"&amp;表_网址[[#This Row],[级内]]</f>
        <v>7003-11-16-115</v>
      </c>
      <c r="B342">
        <f ca="1">MATCH(表_网址[[#This Row],[版层分类]],序列_版层分类,0)*1000+MATCH(表_网址[[#This Row],[首要关键词]],序列_首要关键词,0)</f>
        <v>7003</v>
      </c>
      <c r="C342">
        <f ca="1">IF(表_网址[[#This Row],[次要关键词]]="",10,MATCH(表_网址[[#This Row],[次要关键词]],序列_次要关键词,0)+10)</f>
        <v>11</v>
      </c>
      <c r="D342">
        <f ca="1">IF(表_网址[[#This Row],[重点关键词]]="",10,MATCH(表_网址[[#This Row],[重点关键词]],序列_重点关键词,0)+10)</f>
        <v>16</v>
      </c>
      <c r="E342">
        <f>IF(AND(表_网址[[#This Row],[首要关键词]]=K341,表_网址[[#This Row],[次要关键词]]=L341,表_网址[[#This Row],[重点关键词]]=M341),E341+1,IF(表_网址[[#This Row],[重点关键词]]="",100,101))</f>
        <v>115</v>
      </c>
      <c r="F342" t="s">
        <v>248</v>
      </c>
      <c r="G342" t="s">
        <v>249</v>
      </c>
      <c r="H342" t="s">
        <v>29</v>
      </c>
      <c r="I342" t="s">
        <v>250</v>
      </c>
      <c r="J342" t="s">
        <v>23</v>
      </c>
      <c r="K342" t="s">
        <v>24</v>
      </c>
      <c r="L342" t="s">
        <v>26</v>
      </c>
      <c r="M342" t="s">
        <v>211</v>
      </c>
      <c r="N342">
        <v>999</v>
      </c>
      <c r="Q342">
        <v>32</v>
      </c>
    </row>
    <row r="343" spans="1:17" x14ac:dyDescent="0.2">
      <c r="A343" t="str">
        <f ca="1">表_网址[[#This Row],[1级]]&amp;"-"&amp;表_网址[[#This Row],[2级]]&amp;"-"&amp;表_网址[[#This Row],[3级]]&amp;"-"&amp;表_网址[[#This Row],[级内]]</f>
        <v>7003-11-16-116</v>
      </c>
      <c r="B343">
        <f ca="1">MATCH(表_网址[[#This Row],[版层分类]],序列_版层分类,0)*1000+MATCH(表_网址[[#This Row],[首要关键词]],序列_首要关键词,0)</f>
        <v>7003</v>
      </c>
      <c r="C343">
        <f ca="1">IF(表_网址[[#This Row],[次要关键词]]="",10,MATCH(表_网址[[#This Row],[次要关键词]],序列_次要关键词,0)+10)</f>
        <v>11</v>
      </c>
      <c r="D343">
        <f ca="1">IF(表_网址[[#This Row],[重点关键词]]="",10,MATCH(表_网址[[#This Row],[重点关键词]],序列_重点关键词,0)+10)</f>
        <v>16</v>
      </c>
      <c r="E343">
        <f>IF(AND(表_网址[[#This Row],[首要关键词]]=K342,表_网址[[#This Row],[次要关键词]]=L342,表_网址[[#This Row],[重点关键词]]=M342),E342+1,IF(表_网址[[#This Row],[重点关键词]]="",100,101))</f>
        <v>116</v>
      </c>
      <c r="F343" t="s">
        <v>251</v>
      </c>
      <c r="G343" t="s">
        <v>252</v>
      </c>
      <c r="H343" t="s">
        <v>29</v>
      </c>
      <c r="I343" t="s">
        <v>253</v>
      </c>
      <c r="J343" t="s">
        <v>23</v>
      </c>
      <c r="K343" t="s">
        <v>24</v>
      </c>
      <c r="L343" t="s">
        <v>26</v>
      </c>
      <c r="M343" t="s">
        <v>211</v>
      </c>
      <c r="N343">
        <v>999</v>
      </c>
      <c r="O343">
        <v>999</v>
      </c>
      <c r="Q343">
        <v>16</v>
      </c>
    </row>
    <row r="344" spans="1:17" x14ac:dyDescent="0.2">
      <c r="A344" t="str">
        <f ca="1">表_网址[[#This Row],[1级]]&amp;"-"&amp;表_网址[[#This Row],[2级]]&amp;"-"&amp;表_网址[[#This Row],[3级]]&amp;"-"&amp;表_网址[[#This Row],[级内]]</f>
        <v>7003-11-16-117</v>
      </c>
      <c r="B344">
        <f ca="1">MATCH(表_网址[[#This Row],[版层分类]],序列_版层分类,0)*1000+MATCH(表_网址[[#This Row],[首要关键词]],序列_首要关键词,0)</f>
        <v>7003</v>
      </c>
      <c r="C344">
        <f ca="1">IF(表_网址[[#This Row],[次要关键词]]="",10,MATCH(表_网址[[#This Row],[次要关键词]],序列_次要关键词,0)+10)</f>
        <v>11</v>
      </c>
      <c r="D344">
        <f ca="1">IF(表_网址[[#This Row],[重点关键词]]="",10,MATCH(表_网址[[#This Row],[重点关键词]],序列_重点关键词,0)+10)</f>
        <v>16</v>
      </c>
      <c r="E344">
        <f>IF(AND(表_网址[[#This Row],[首要关键词]]=K343,表_网址[[#This Row],[次要关键词]]=L343,表_网址[[#This Row],[重点关键词]]=M343),E343+1,IF(表_网址[[#This Row],[重点关键词]]="",100,101))</f>
        <v>117</v>
      </c>
      <c r="F344" t="s">
        <v>254</v>
      </c>
      <c r="G344" t="s">
        <v>255</v>
      </c>
      <c r="H344" t="s">
        <v>29</v>
      </c>
      <c r="I344" t="s">
        <v>256</v>
      </c>
      <c r="J344" t="s">
        <v>23</v>
      </c>
      <c r="K344" t="s">
        <v>24</v>
      </c>
      <c r="L344" t="s">
        <v>26</v>
      </c>
      <c r="M344" t="s">
        <v>211</v>
      </c>
      <c r="N344">
        <v>999</v>
      </c>
      <c r="O344">
        <v>999</v>
      </c>
      <c r="Q344">
        <v>128</v>
      </c>
    </row>
    <row r="345" spans="1:17" x14ac:dyDescent="0.2">
      <c r="A345" t="str">
        <f ca="1">表_网址[[#This Row],[1级]]&amp;"-"&amp;表_网址[[#This Row],[2级]]&amp;"-"&amp;表_网址[[#This Row],[3级]]&amp;"-"&amp;表_网址[[#This Row],[级内]]</f>
        <v>7003-11-16-118</v>
      </c>
      <c r="B345">
        <f ca="1">MATCH(表_网址[[#This Row],[版层分类]],序列_版层分类,0)*1000+MATCH(表_网址[[#This Row],[首要关键词]],序列_首要关键词,0)</f>
        <v>7003</v>
      </c>
      <c r="C345">
        <f ca="1">IF(表_网址[[#This Row],[次要关键词]]="",10,MATCH(表_网址[[#This Row],[次要关键词]],序列_次要关键词,0)+10)</f>
        <v>11</v>
      </c>
      <c r="D345">
        <f ca="1">IF(表_网址[[#This Row],[重点关键词]]="",10,MATCH(表_网址[[#This Row],[重点关键词]],序列_重点关键词,0)+10)</f>
        <v>16</v>
      </c>
      <c r="E345">
        <f>IF(AND(表_网址[[#This Row],[首要关键词]]=K344,表_网址[[#This Row],[次要关键词]]=L344,表_网址[[#This Row],[重点关键词]]=M344),E344+1,IF(表_网址[[#This Row],[重点关键词]]="",100,101))</f>
        <v>118</v>
      </c>
      <c r="F345" t="s">
        <v>257</v>
      </c>
      <c r="G345" t="s">
        <v>258</v>
      </c>
      <c r="H345" t="s">
        <v>29</v>
      </c>
      <c r="I345" t="s">
        <v>259</v>
      </c>
      <c r="J345" t="s">
        <v>23</v>
      </c>
      <c r="K345" t="s">
        <v>24</v>
      </c>
      <c r="L345" t="s">
        <v>26</v>
      </c>
      <c r="M345" t="s">
        <v>211</v>
      </c>
      <c r="N345">
        <v>999</v>
      </c>
    </row>
    <row r="346" spans="1:17" x14ac:dyDescent="0.2">
      <c r="A346" t="str">
        <f ca="1">表_网址[[#This Row],[1级]]&amp;"-"&amp;表_网址[[#This Row],[2级]]&amp;"-"&amp;表_网址[[#This Row],[3级]]&amp;"-"&amp;表_网址[[#This Row],[级内]]</f>
        <v>7003-11-16-119</v>
      </c>
      <c r="B346">
        <f ca="1">MATCH(表_网址[[#This Row],[版层分类]],序列_版层分类,0)*1000+MATCH(表_网址[[#This Row],[首要关键词]],序列_首要关键词,0)</f>
        <v>7003</v>
      </c>
      <c r="C346">
        <f ca="1">IF(表_网址[[#This Row],[次要关键词]]="",10,MATCH(表_网址[[#This Row],[次要关键词]],序列_次要关键词,0)+10)</f>
        <v>11</v>
      </c>
      <c r="D346">
        <f ca="1">IF(表_网址[[#This Row],[重点关键词]]="",10,MATCH(表_网址[[#This Row],[重点关键词]],序列_重点关键词,0)+10)</f>
        <v>16</v>
      </c>
      <c r="E346">
        <f>IF(AND(表_网址[[#This Row],[首要关键词]]=K345,表_网址[[#This Row],[次要关键词]]=L345,表_网址[[#This Row],[重点关键词]]=M345),E345+1,IF(表_网址[[#This Row],[重点关键词]]="",100,101))</f>
        <v>119</v>
      </c>
      <c r="F346" t="s">
        <v>260</v>
      </c>
      <c r="G346" t="s">
        <v>261</v>
      </c>
      <c r="H346" t="s">
        <v>29</v>
      </c>
      <c r="I346" t="s">
        <v>262</v>
      </c>
      <c r="J346" t="s">
        <v>23</v>
      </c>
      <c r="K346" t="s">
        <v>24</v>
      </c>
      <c r="L346" t="s">
        <v>26</v>
      </c>
      <c r="M346" t="s">
        <v>211</v>
      </c>
      <c r="N346">
        <v>999</v>
      </c>
    </row>
    <row r="347" spans="1:17" x14ac:dyDescent="0.2">
      <c r="A347" t="str">
        <f ca="1">表_网址[[#This Row],[1级]]&amp;"-"&amp;表_网址[[#This Row],[2级]]&amp;"-"&amp;表_网址[[#This Row],[3级]]&amp;"-"&amp;表_网址[[#This Row],[级内]]</f>
        <v>7003-11-16-120</v>
      </c>
      <c r="B347">
        <f ca="1">MATCH(表_网址[[#This Row],[版层分类]],序列_版层分类,0)*1000+MATCH(表_网址[[#This Row],[首要关键词]],序列_首要关键词,0)</f>
        <v>7003</v>
      </c>
      <c r="C347">
        <f ca="1">IF(表_网址[[#This Row],[次要关键词]]="",10,MATCH(表_网址[[#This Row],[次要关键词]],序列_次要关键词,0)+10)</f>
        <v>11</v>
      </c>
      <c r="D347">
        <f ca="1">IF(表_网址[[#This Row],[重点关键词]]="",10,MATCH(表_网址[[#This Row],[重点关键词]],序列_重点关键词,0)+10)</f>
        <v>16</v>
      </c>
      <c r="E347">
        <f>IF(AND(表_网址[[#This Row],[首要关键词]]=K346,表_网址[[#This Row],[次要关键词]]=L346,表_网址[[#This Row],[重点关键词]]=M346),E346+1,IF(表_网址[[#This Row],[重点关键词]]="",100,101))</f>
        <v>120</v>
      </c>
      <c r="F347" t="s">
        <v>263</v>
      </c>
      <c r="G347" t="s">
        <v>264</v>
      </c>
      <c r="H347" t="s">
        <v>29</v>
      </c>
      <c r="I347" t="s">
        <v>265</v>
      </c>
      <c r="J347" t="s">
        <v>23</v>
      </c>
      <c r="K347" t="s">
        <v>24</v>
      </c>
      <c r="L347" t="s">
        <v>26</v>
      </c>
      <c r="M347" t="s">
        <v>211</v>
      </c>
      <c r="N347">
        <v>999</v>
      </c>
    </row>
    <row r="348" spans="1:17" x14ac:dyDescent="0.2">
      <c r="A348" t="str">
        <f ca="1">表_网址[[#This Row],[1级]]&amp;"-"&amp;表_网址[[#This Row],[2级]]&amp;"-"&amp;表_网址[[#This Row],[3级]]&amp;"-"&amp;表_网址[[#This Row],[级内]]</f>
        <v>7003-11-17-101</v>
      </c>
      <c r="B348">
        <f ca="1">MATCH(表_网址[[#This Row],[版层分类]],序列_版层分类,0)*1000+MATCH(表_网址[[#This Row],[首要关键词]],序列_首要关键词,0)</f>
        <v>7003</v>
      </c>
      <c r="C348">
        <f ca="1">IF(表_网址[[#This Row],[次要关键词]]="",10,MATCH(表_网址[[#This Row],[次要关键词]],序列_次要关键词,0)+10)</f>
        <v>11</v>
      </c>
      <c r="D348">
        <f ca="1">IF(表_网址[[#This Row],[重点关键词]]="",10,MATCH(表_网址[[#This Row],[重点关键词]],序列_重点关键词,0)+10)</f>
        <v>17</v>
      </c>
      <c r="E348">
        <f>IF(AND(表_网址[[#This Row],[首要关键词]]=K347,表_网址[[#This Row],[次要关键词]]=L347,表_网址[[#This Row],[重点关键词]]=M347),E347+1,IF(表_网址[[#This Row],[重点关键词]]="",100,101))</f>
        <v>101</v>
      </c>
      <c r="F348" t="s">
        <v>266</v>
      </c>
      <c r="G348" t="s">
        <v>267</v>
      </c>
      <c r="H348" t="s">
        <v>268</v>
      </c>
      <c r="I348" t="s">
        <v>269</v>
      </c>
      <c r="J348" t="s">
        <v>23</v>
      </c>
      <c r="K348" t="s">
        <v>24</v>
      </c>
      <c r="L348" t="s">
        <v>26</v>
      </c>
      <c r="M348" t="s">
        <v>270</v>
      </c>
      <c r="N348">
        <v>999</v>
      </c>
      <c r="Q348">
        <v>32</v>
      </c>
    </row>
    <row r="349" spans="1:17" x14ac:dyDescent="0.2">
      <c r="A349" t="str">
        <f ca="1">表_网址[[#This Row],[1级]]&amp;"-"&amp;表_网址[[#This Row],[2级]]&amp;"-"&amp;表_网址[[#This Row],[3级]]&amp;"-"&amp;表_网址[[#This Row],[级内]]</f>
        <v>7003-11-17-102</v>
      </c>
      <c r="B349">
        <f ca="1">MATCH(表_网址[[#This Row],[版层分类]],序列_版层分类,0)*1000+MATCH(表_网址[[#This Row],[首要关键词]],序列_首要关键词,0)</f>
        <v>7003</v>
      </c>
      <c r="C349">
        <f ca="1">IF(表_网址[[#This Row],[次要关键词]]="",10,MATCH(表_网址[[#This Row],[次要关键词]],序列_次要关键词,0)+10)</f>
        <v>11</v>
      </c>
      <c r="D349">
        <f ca="1">IF(表_网址[[#This Row],[重点关键词]]="",10,MATCH(表_网址[[#This Row],[重点关键词]],序列_重点关键词,0)+10)</f>
        <v>17</v>
      </c>
      <c r="E349">
        <f>IF(AND(表_网址[[#This Row],[首要关键词]]=K348,表_网址[[#This Row],[次要关键词]]=L348,表_网址[[#This Row],[重点关键词]]=M348),E348+1,IF(表_网址[[#This Row],[重点关键词]]="",100,101))</f>
        <v>102</v>
      </c>
      <c r="F349" t="s">
        <v>271</v>
      </c>
      <c r="G349" t="s">
        <v>272</v>
      </c>
      <c r="H349" t="s">
        <v>273</v>
      </c>
      <c r="I349" t="s">
        <v>29</v>
      </c>
      <c r="J349" t="s">
        <v>23</v>
      </c>
      <c r="K349" t="s">
        <v>24</v>
      </c>
      <c r="L349" t="s">
        <v>26</v>
      </c>
      <c r="M349" t="s">
        <v>270</v>
      </c>
      <c r="N349">
        <v>999</v>
      </c>
    </row>
    <row r="350" spans="1:17" x14ac:dyDescent="0.2">
      <c r="A350" t="str">
        <f ca="1">表_网址[[#This Row],[1级]]&amp;"-"&amp;表_网址[[#This Row],[2级]]&amp;"-"&amp;表_网址[[#This Row],[3级]]&amp;"-"&amp;表_网址[[#This Row],[级内]]</f>
        <v>7003-11-17-103</v>
      </c>
      <c r="B350">
        <f ca="1">MATCH(表_网址[[#This Row],[版层分类]],序列_版层分类,0)*1000+MATCH(表_网址[[#This Row],[首要关键词]],序列_首要关键词,0)</f>
        <v>7003</v>
      </c>
      <c r="C350">
        <f ca="1">IF(表_网址[[#This Row],[次要关键词]]="",10,MATCH(表_网址[[#This Row],[次要关键词]],序列_次要关键词,0)+10)</f>
        <v>11</v>
      </c>
      <c r="D350">
        <f ca="1">IF(表_网址[[#This Row],[重点关键词]]="",10,MATCH(表_网址[[#This Row],[重点关键词]],序列_重点关键词,0)+10)</f>
        <v>17</v>
      </c>
      <c r="E350">
        <f>IF(AND(表_网址[[#This Row],[首要关键词]]=K349,表_网址[[#This Row],[次要关键词]]=L349,表_网址[[#This Row],[重点关键词]]=M349),E349+1,IF(表_网址[[#This Row],[重点关键词]]="",100,101))</f>
        <v>103</v>
      </c>
      <c r="F350" t="s">
        <v>274</v>
      </c>
      <c r="H350" t="s">
        <v>275</v>
      </c>
      <c r="I350" t="s">
        <v>29</v>
      </c>
      <c r="J350" t="s">
        <v>23</v>
      </c>
      <c r="K350" t="s">
        <v>24</v>
      </c>
      <c r="L350" t="s">
        <v>26</v>
      </c>
      <c r="M350" t="s">
        <v>270</v>
      </c>
    </row>
    <row r="351" spans="1:17" x14ac:dyDescent="0.2">
      <c r="A351" t="str">
        <f ca="1">表_网址[[#This Row],[1级]]&amp;"-"&amp;表_网址[[#This Row],[2级]]&amp;"-"&amp;表_网址[[#This Row],[3级]]&amp;"-"&amp;表_网址[[#This Row],[级内]]</f>
        <v>7004-10-10-100</v>
      </c>
      <c r="B351">
        <f ca="1">MATCH(表_网址[[#This Row],[版层分类]],序列_版层分类,0)*1000+MATCH(表_网址[[#This Row],[首要关键词]],序列_首要关键词,0)</f>
        <v>7004</v>
      </c>
      <c r="C351">
        <f>IF(表_网址[[#This Row],[次要关键词]]="",10,MATCH(表_网址[[#This Row],[次要关键词]],序列_次要关键词,0)+10)</f>
        <v>10</v>
      </c>
      <c r="D351">
        <f>IF(表_网址[[#This Row],[重点关键词]]="",10,MATCH(表_网址[[#This Row],[重点关键词]],序列_重点关键词,0)+10)</f>
        <v>10</v>
      </c>
      <c r="E351">
        <f>IF(AND(表_网址[[#This Row],[首要关键词]]=K350,表_网址[[#This Row],[次要关键词]]=L350,表_网址[[#This Row],[重点关键词]]=M350),E350+1,IF(表_网址[[#This Row],[重点关键词]]="",100,101))</f>
        <v>100</v>
      </c>
      <c r="F351" t="s">
        <v>276</v>
      </c>
      <c r="G351" t="s">
        <v>277</v>
      </c>
      <c r="H351" t="s">
        <v>29</v>
      </c>
      <c r="I351" t="s">
        <v>278</v>
      </c>
      <c r="J351" t="s">
        <v>23</v>
      </c>
      <c r="K351" t="s">
        <v>279</v>
      </c>
      <c r="N351">
        <v>999</v>
      </c>
      <c r="Q351">
        <v>16</v>
      </c>
    </row>
    <row r="352" spans="1:17" x14ac:dyDescent="0.2">
      <c r="A352" t="str">
        <f ca="1">表_网址[[#This Row],[1级]]&amp;"-"&amp;表_网址[[#This Row],[2级]]&amp;"-"&amp;表_网址[[#This Row],[3级]]&amp;"-"&amp;表_网址[[#This Row],[级内]]</f>
        <v>7004-11-10-100</v>
      </c>
      <c r="B352">
        <f ca="1">MATCH(表_网址[[#This Row],[版层分类]],序列_版层分类,0)*1000+MATCH(表_网址[[#This Row],[首要关键词]],序列_首要关键词,0)</f>
        <v>7004</v>
      </c>
      <c r="C352">
        <f ca="1">IF(表_网址[[#This Row],[次要关键词]]="",10,MATCH(表_网址[[#This Row],[次要关键词]],序列_次要关键词,0)+10)</f>
        <v>11</v>
      </c>
      <c r="D352">
        <f>IF(表_网址[[#This Row],[重点关键词]]="",10,MATCH(表_网址[[#This Row],[重点关键词]],序列_重点关键词,0)+10)</f>
        <v>10</v>
      </c>
      <c r="E352">
        <f>IF(AND(表_网址[[#This Row],[首要关键词]]=K351,表_网址[[#This Row],[次要关键词]]=L351,表_网址[[#This Row],[重点关键词]]=M351),E351+1,IF(表_网址[[#This Row],[重点关键词]]="",100,101))</f>
        <v>100</v>
      </c>
      <c r="F352" t="s">
        <v>280</v>
      </c>
      <c r="G352" t="s">
        <v>281</v>
      </c>
      <c r="H352" t="s">
        <v>29</v>
      </c>
      <c r="I352" t="s">
        <v>282</v>
      </c>
      <c r="J352" t="s">
        <v>23</v>
      </c>
      <c r="K352" t="s">
        <v>279</v>
      </c>
      <c r="L352" t="s">
        <v>283</v>
      </c>
      <c r="N352">
        <v>999</v>
      </c>
      <c r="Q352">
        <v>25</v>
      </c>
    </row>
    <row r="353" spans="1:17" x14ac:dyDescent="0.2">
      <c r="A353" t="str">
        <f ca="1">表_网址[[#This Row],[1级]]&amp;"-"&amp;表_网址[[#This Row],[2级]]&amp;"-"&amp;表_网址[[#This Row],[3级]]&amp;"-"&amp;表_网址[[#This Row],[级内]]</f>
        <v>7004-12-10-100</v>
      </c>
      <c r="B353">
        <f ca="1">MATCH(表_网址[[#This Row],[版层分类]],序列_版层分类,0)*1000+MATCH(表_网址[[#This Row],[首要关键词]],序列_首要关键词,0)</f>
        <v>7004</v>
      </c>
      <c r="C353">
        <f ca="1">IF(表_网址[[#This Row],[次要关键词]]="",10,MATCH(表_网址[[#This Row],[次要关键词]],序列_次要关键词,0)+10)</f>
        <v>12</v>
      </c>
      <c r="D353">
        <f>IF(表_网址[[#This Row],[重点关键词]]="",10,MATCH(表_网址[[#This Row],[重点关键词]],序列_重点关键词,0)+10)</f>
        <v>10</v>
      </c>
      <c r="E353">
        <f>IF(AND(表_网址[[#This Row],[首要关键词]]=K352,表_网址[[#This Row],[次要关键词]]=L352,表_网址[[#This Row],[重点关键词]]=M352),E352+1,IF(表_网址[[#This Row],[重点关键词]]="",100,101))</f>
        <v>100</v>
      </c>
      <c r="F353" t="s">
        <v>284</v>
      </c>
      <c r="G353" t="s">
        <v>285</v>
      </c>
      <c r="H353" t="s">
        <v>29</v>
      </c>
      <c r="I353" t="s">
        <v>286</v>
      </c>
      <c r="J353" t="s">
        <v>23</v>
      </c>
      <c r="K353" t="s">
        <v>279</v>
      </c>
      <c r="L353" t="s">
        <v>287</v>
      </c>
      <c r="N353">
        <v>999</v>
      </c>
    </row>
    <row r="354" spans="1:17" x14ac:dyDescent="0.2">
      <c r="A354" t="str">
        <f ca="1">表_网址[[#This Row],[1级]]&amp;"-"&amp;表_网址[[#This Row],[2级]]&amp;"-"&amp;表_网址[[#This Row],[3级]]&amp;"-"&amp;表_网址[[#This Row],[级内]]</f>
        <v>7004-13-10-100</v>
      </c>
      <c r="B354">
        <f ca="1">MATCH(表_网址[[#This Row],[版层分类]],序列_版层分类,0)*1000+MATCH(表_网址[[#This Row],[首要关键词]],序列_首要关键词,0)</f>
        <v>7004</v>
      </c>
      <c r="C354">
        <f ca="1">IF(表_网址[[#This Row],[次要关键词]]="",10,MATCH(表_网址[[#This Row],[次要关键词]],序列_次要关键词,0)+10)</f>
        <v>13</v>
      </c>
      <c r="D354">
        <f>IF(表_网址[[#This Row],[重点关键词]]="",10,MATCH(表_网址[[#This Row],[重点关键词]],序列_重点关键词,0)+10)</f>
        <v>10</v>
      </c>
      <c r="E354">
        <f>IF(AND(表_网址[[#This Row],[首要关键词]]=K353,表_网址[[#This Row],[次要关键词]]=L353,表_网址[[#This Row],[重点关键词]]=M353),E353+1,IF(表_网址[[#This Row],[重点关键词]]="",100,101))</f>
        <v>100</v>
      </c>
      <c r="F354" t="s">
        <v>288</v>
      </c>
      <c r="G354" t="s">
        <v>289</v>
      </c>
      <c r="H354" t="s">
        <v>29</v>
      </c>
      <c r="I354" t="s">
        <v>290</v>
      </c>
      <c r="J354" t="s">
        <v>23</v>
      </c>
      <c r="K354" t="s">
        <v>279</v>
      </c>
      <c r="L354" t="s">
        <v>291</v>
      </c>
      <c r="N354">
        <v>999</v>
      </c>
    </row>
    <row r="355" spans="1:17" x14ac:dyDescent="0.2">
      <c r="A355" t="str">
        <f ca="1">表_网址[[#This Row],[1级]]&amp;"-"&amp;表_网址[[#This Row],[2级]]&amp;"-"&amp;表_网址[[#This Row],[3级]]&amp;"-"&amp;表_网址[[#This Row],[级内]]</f>
        <v>7004-14-10-100</v>
      </c>
      <c r="B355">
        <f ca="1">MATCH(表_网址[[#This Row],[版层分类]],序列_版层分类,0)*1000+MATCH(表_网址[[#This Row],[首要关键词]],序列_首要关键词,0)</f>
        <v>7004</v>
      </c>
      <c r="C355">
        <f ca="1">IF(表_网址[[#This Row],[次要关键词]]="",10,MATCH(表_网址[[#This Row],[次要关键词]],序列_次要关键词,0)+10)</f>
        <v>14</v>
      </c>
      <c r="D355">
        <f>IF(表_网址[[#This Row],[重点关键词]]="",10,MATCH(表_网址[[#This Row],[重点关键词]],序列_重点关键词,0)+10)</f>
        <v>10</v>
      </c>
      <c r="E355">
        <f>IF(AND(表_网址[[#This Row],[首要关键词]]=K354,表_网址[[#This Row],[次要关键词]]=L354,表_网址[[#This Row],[重点关键词]]=M354),E354+1,IF(表_网址[[#This Row],[重点关键词]]="",100,101))</f>
        <v>100</v>
      </c>
      <c r="F355" t="s">
        <v>292</v>
      </c>
      <c r="G355" t="s">
        <v>293</v>
      </c>
      <c r="H355" t="s">
        <v>29</v>
      </c>
      <c r="I355" t="s">
        <v>294</v>
      </c>
      <c r="J355" t="s">
        <v>23</v>
      </c>
      <c r="K355" t="s">
        <v>279</v>
      </c>
      <c r="L355" t="s">
        <v>295</v>
      </c>
      <c r="N355">
        <v>999</v>
      </c>
    </row>
    <row r="356" spans="1:17" x14ac:dyDescent="0.2">
      <c r="A356" t="str">
        <f ca="1">表_网址[[#This Row],[1级]]&amp;"-"&amp;表_网址[[#This Row],[2级]]&amp;"-"&amp;表_网址[[#This Row],[3级]]&amp;"-"&amp;表_网址[[#This Row],[级内]]</f>
        <v>7004-15-10-100</v>
      </c>
      <c r="B356">
        <f ca="1">MATCH(表_网址[[#This Row],[版层分类]],序列_版层分类,0)*1000+MATCH(表_网址[[#This Row],[首要关键词]],序列_首要关键词,0)</f>
        <v>7004</v>
      </c>
      <c r="C356">
        <f ca="1">IF(表_网址[[#This Row],[次要关键词]]="",10,MATCH(表_网址[[#This Row],[次要关键词]],序列_次要关键词,0)+10)</f>
        <v>15</v>
      </c>
      <c r="D356">
        <f>IF(表_网址[[#This Row],[重点关键词]]="",10,MATCH(表_网址[[#This Row],[重点关键词]],序列_重点关键词,0)+10)</f>
        <v>10</v>
      </c>
      <c r="E356">
        <f>IF(AND(表_网址[[#This Row],[首要关键词]]=K355,表_网址[[#This Row],[次要关键词]]=L355,表_网址[[#This Row],[重点关键词]]=M355),E355+1,IF(表_网址[[#This Row],[重点关键词]]="",100,101))</f>
        <v>100</v>
      </c>
      <c r="F356" t="s">
        <v>296</v>
      </c>
      <c r="G356" t="s">
        <v>297</v>
      </c>
      <c r="H356" t="s">
        <v>29</v>
      </c>
      <c r="I356" t="s">
        <v>298</v>
      </c>
      <c r="J356" t="s">
        <v>23</v>
      </c>
      <c r="K356" t="s">
        <v>279</v>
      </c>
      <c r="L356" t="s">
        <v>299</v>
      </c>
      <c r="N356">
        <v>999</v>
      </c>
      <c r="Q356">
        <v>241</v>
      </c>
    </row>
    <row r="357" spans="1:17" x14ac:dyDescent="0.2">
      <c r="A357" t="str">
        <f ca="1">表_网址[[#This Row],[1级]]&amp;"-"&amp;表_网址[[#This Row],[2级]]&amp;"-"&amp;表_网址[[#This Row],[3级]]&amp;"-"&amp;表_网址[[#This Row],[级内]]</f>
        <v>7004-16-10-100</v>
      </c>
      <c r="B357">
        <f ca="1">MATCH(表_网址[[#This Row],[版层分类]],序列_版层分类,0)*1000+MATCH(表_网址[[#This Row],[首要关键词]],序列_首要关键词,0)</f>
        <v>7004</v>
      </c>
      <c r="C357">
        <f ca="1">IF(表_网址[[#This Row],[次要关键词]]="",10,MATCH(表_网址[[#This Row],[次要关键词]],序列_次要关键词,0)+10)</f>
        <v>16</v>
      </c>
      <c r="D357">
        <f>IF(表_网址[[#This Row],[重点关键词]]="",10,MATCH(表_网址[[#This Row],[重点关键词]],序列_重点关键词,0)+10)</f>
        <v>10</v>
      </c>
      <c r="E357">
        <f>IF(AND(表_网址[[#This Row],[首要关键词]]=K356,表_网址[[#This Row],[次要关键词]]=L356,表_网址[[#This Row],[重点关键词]]=M356),E356+1,IF(表_网址[[#This Row],[重点关键词]]="",100,101))</f>
        <v>100</v>
      </c>
      <c r="F357" t="s">
        <v>300</v>
      </c>
      <c r="G357" t="s">
        <v>301</v>
      </c>
      <c r="H357" t="s">
        <v>29</v>
      </c>
      <c r="I357" t="s">
        <v>302</v>
      </c>
      <c r="J357" t="s">
        <v>23</v>
      </c>
      <c r="K357" t="s">
        <v>279</v>
      </c>
      <c r="L357" t="s">
        <v>303</v>
      </c>
      <c r="N357">
        <v>999</v>
      </c>
      <c r="O357">
        <v>999</v>
      </c>
      <c r="Q357">
        <v>268</v>
      </c>
    </row>
    <row r="358" spans="1:17" x14ac:dyDescent="0.2">
      <c r="A358" t="str">
        <f ca="1">表_网址[[#This Row],[1级]]&amp;"-"&amp;表_网址[[#This Row],[2级]]&amp;"-"&amp;表_网址[[#This Row],[3级]]&amp;"-"&amp;表_网址[[#This Row],[级内]]</f>
        <v>7004-17-10-100</v>
      </c>
      <c r="B358">
        <f ca="1">MATCH(表_网址[[#This Row],[版层分类]],序列_版层分类,0)*1000+MATCH(表_网址[[#This Row],[首要关键词]],序列_首要关键词,0)</f>
        <v>7004</v>
      </c>
      <c r="C358">
        <f ca="1">IF(表_网址[[#This Row],[次要关键词]]="",10,MATCH(表_网址[[#This Row],[次要关键词]],序列_次要关键词,0)+10)</f>
        <v>17</v>
      </c>
      <c r="D358">
        <f>IF(表_网址[[#This Row],[重点关键词]]="",10,MATCH(表_网址[[#This Row],[重点关键词]],序列_重点关键词,0)+10)</f>
        <v>10</v>
      </c>
      <c r="E358">
        <f>IF(AND(表_网址[[#This Row],[首要关键词]]=K357,表_网址[[#This Row],[次要关键词]]=L357,表_网址[[#This Row],[重点关键词]]=M357),E357+1,IF(表_网址[[#This Row],[重点关键词]]="",100,101))</f>
        <v>100</v>
      </c>
      <c r="F358" t="s">
        <v>304</v>
      </c>
      <c r="G358" t="s">
        <v>305</v>
      </c>
      <c r="H358" t="s">
        <v>29</v>
      </c>
      <c r="I358" t="s">
        <v>306</v>
      </c>
      <c r="J358" t="s">
        <v>23</v>
      </c>
      <c r="K358" t="s">
        <v>279</v>
      </c>
      <c r="L358" t="s">
        <v>307</v>
      </c>
      <c r="N358">
        <v>999</v>
      </c>
    </row>
    <row r="359" spans="1:17" x14ac:dyDescent="0.2">
      <c r="A359" t="str">
        <f ca="1">表_网址[[#This Row],[1级]]&amp;"-"&amp;表_网址[[#This Row],[2级]]&amp;"-"&amp;表_网址[[#This Row],[3级]]&amp;"-"&amp;表_网址[[#This Row],[级内]]</f>
        <v>7004-18-10-100</v>
      </c>
      <c r="B359">
        <f ca="1">MATCH(表_网址[[#This Row],[版层分类]],序列_版层分类,0)*1000+MATCH(表_网址[[#This Row],[首要关键词]],序列_首要关键词,0)</f>
        <v>7004</v>
      </c>
      <c r="C359">
        <f ca="1">IF(表_网址[[#This Row],[次要关键词]]="",10,MATCH(表_网址[[#This Row],[次要关键词]],序列_次要关键词,0)+10)</f>
        <v>18</v>
      </c>
      <c r="D359">
        <f>IF(表_网址[[#This Row],[重点关键词]]="",10,MATCH(表_网址[[#This Row],[重点关键词]],序列_重点关键词,0)+10)</f>
        <v>10</v>
      </c>
      <c r="E359">
        <f>IF(AND(表_网址[[#This Row],[首要关键词]]=K358,表_网址[[#This Row],[次要关键词]]=L358,表_网址[[#This Row],[重点关键词]]=M358),E358+1,IF(表_网址[[#This Row],[重点关键词]]="",100,101))</f>
        <v>100</v>
      </c>
      <c r="F359" t="s">
        <v>308</v>
      </c>
      <c r="G359" t="s">
        <v>309</v>
      </c>
      <c r="H359" t="s">
        <v>29</v>
      </c>
      <c r="I359" t="s">
        <v>310</v>
      </c>
      <c r="J359" t="s">
        <v>23</v>
      </c>
      <c r="K359" t="s">
        <v>279</v>
      </c>
      <c r="L359" t="s">
        <v>311</v>
      </c>
      <c r="N359">
        <v>999</v>
      </c>
      <c r="Q359">
        <v>16</v>
      </c>
    </row>
    <row r="360" spans="1:17" x14ac:dyDescent="0.2">
      <c r="A360" t="str">
        <f ca="1">表_网址[[#This Row],[1级]]&amp;"-"&amp;表_网址[[#This Row],[2级]]&amp;"-"&amp;表_网址[[#This Row],[3级]]&amp;"-"&amp;表_网址[[#This Row],[级内]]</f>
        <v>7004-19-10-100</v>
      </c>
      <c r="B360">
        <f ca="1">MATCH(表_网址[[#This Row],[版层分类]],序列_版层分类,0)*1000+MATCH(表_网址[[#This Row],[首要关键词]],序列_首要关键词,0)</f>
        <v>7004</v>
      </c>
      <c r="C360">
        <f ca="1">IF(表_网址[[#This Row],[次要关键词]]="",10,MATCH(表_网址[[#This Row],[次要关键词]],序列_次要关键词,0)+10)</f>
        <v>19</v>
      </c>
      <c r="D360">
        <f>IF(表_网址[[#This Row],[重点关键词]]="",10,MATCH(表_网址[[#This Row],[重点关键词]],序列_重点关键词,0)+10)</f>
        <v>10</v>
      </c>
      <c r="E360">
        <f>IF(AND(表_网址[[#This Row],[首要关键词]]=K359,表_网址[[#This Row],[次要关键词]]=L359,表_网址[[#This Row],[重点关键词]]=M359),E359+1,IF(表_网址[[#This Row],[重点关键词]]="",100,101))</f>
        <v>100</v>
      </c>
      <c r="F360" t="s">
        <v>312</v>
      </c>
      <c r="G360" t="s">
        <v>313</v>
      </c>
      <c r="H360" t="s">
        <v>29</v>
      </c>
      <c r="I360" t="s">
        <v>314</v>
      </c>
      <c r="J360" t="s">
        <v>23</v>
      </c>
      <c r="K360" t="s">
        <v>279</v>
      </c>
      <c r="L360" t="s">
        <v>315</v>
      </c>
      <c r="N360">
        <v>999</v>
      </c>
    </row>
    <row r="361" spans="1:17" x14ac:dyDescent="0.2">
      <c r="A361" t="str">
        <f ca="1">表_网址[[#This Row],[1级]]&amp;"-"&amp;表_网址[[#This Row],[2级]]&amp;"-"&amp;表_网址[[#This Row],[3级]]&amp;"-"&amp;表_网址[[#This Row],[级内]]</f>
        <v>7004-20-10-100</v>
      </c>
      <c r="B361">
        <f ca="1">MATCH(表_网址[[#This Row],[版层分类]],序列_版层分类,0)*1000+MATCH(表_网址[[#This Row],[首要关键词]],序列_首要关键词,0)</f>
        <v>7004</v>
      </c>
      <c r="C361">
        <f ca="1">IF(表_网址[[#This Row],[次要关键词]]="",10,MATCH(表_网址[[#This Row],[次要关键词]],序列_次要关键词,0)+10)</f>
        <v>20</v>
      </c>
      <c r="D361">
        <f>IF(表_网址[[#This Row],[重点关键词]]="",10,MATCH(表_网址[[#This Row],[重点关键词]],序列_重点关键词,0)+10)</f>
        <v>10</v>
      </c>
      <c r="E361">
        <f>IF(AND(表_网址[[#This Row],[首要关键词]]=K360,表_网址[[#This Row],[次要关键词]]=L360,表_网址[[#This Row],[重点关键词]]=M360),E360+1,IF(表_网址[[#This Row],[重点关键词]]="",100,101))</f>
        <v>100</v>
      </c>
      <c r="F361" t="s">
        <v>316</v>
      </c>
      <c r="G361" t="s">
        <v>317</v>
      </c>
      <c r="H361" t="s">
        <v>29</v>
      </c>
      <c r="I361" t="s">
        <v>318</v>
      </c>
      <c r="J361" t="s">
        <v>23</v>
      </c>
      <c r="K361" t="s">
        <v>279</v>
      </c>
      <c r="L361" t="s">
        <v>319</v>
      </c>
      <c r="N361">
        <v>999</v>
      </c>
    </row>
    <row r="362" spans="1:17" x14ac:dyDescent="0.2">
      <c r="A362" t="str">
        <f ca="1">表_网址[[#This Row],[1级]]&amp;"-"&amp;表_网址[[#This Row],[2级]]&amp;"-"&amp;表_网址[[#This Row],[3级]]&amp;"-"&amp;表_网址[[#This Row],[级内]]</f>
        <v>7004-21-10-100</v>
      </c>
      <c r="B362">
        <f ca="1">MATCH(表_网址[[#This Row],[版层分类]],序列_版层分类,0)*1000+MATCH(表_网址[[#This Row],[首要关键词]],序列_首要关键词,0)</f>
        <v>7004</v>
      </c>
      <c r="C362">
        <f ca="1">IF(表_网址[[#This Row],[次要关键词]]="",10,MATCH(表_网址[[#This Row],[次要关键词]],序列_次要关键词,0)+10)</f>
        <v>21</v>
      </c>
      <c r="D362">
        <f>IF(表_网址[[#This Row],[重点关键词]]="",10,MATCH(表_网址[[#This Row],[重点关键词]],序列_重点关键词,0)+10)</f>
        <v>10</v>
      </c>
      <c r="E362">
        <f>IF(AND(表_网址[[#This Row],[首要关键词]]=K361,表_网址[[#This Row],[次要关键词]]=L361,表_网址[[#This Row],[重点关键词]]=M361),E361+1,IF(表_网址[[#This Row],[重点关键词]]="",100,101))</f>
        <v>100</v>
      </c>
      <c r="F362" t="s">
        <v>320</v>
      </c>
      <c r="G362" t="s">
        <v>321</v>
      </c>
      <c r="H362" t="s">
        <v>29</v>
      </c>
      <c r="I362" t="s">
        <v>322</v>
      </c>
      <c r="J362" t="s">
        <v>23</v>
      </c>
      <c r="K362" t="s">
        <v>279</v>
      </c>
      <c r="L362" t="s">
        <v>323</v>
      </c>
      <c r="N362">
        <v>999</v>
      </c>
      <c r="Q362">
        <v>25</v>
      </c>
    </row>
    <row r="363" spans="1:17" x14ac:dyDescent="0.2">
      <c r="A363" t="str">
        <f ca="1">表_网址[[#This Row],[1级]]&amp;"-"&amp;表_网址[[#This Row],[2级]]&amp;"-"&amp;表_网址[[#This Row],[3级]]&amp;"-"&amp;表_网址[[#This Row],[级内]]</f>
        <v>7004-22-10-100</v>
      </c>
      <c r="B363">
        <f ca="1">MATCH(表_网址[[#This Row],[版层分类]],序列_版层分类,0)*1000+MATCH(表_网址[[#This Row],[首要关键词]],序列_首要关键词,0)</f>
        <v>7004</v>
      </c>
      <c r="C363">
        <f ca="1">IF(表_网址[[#This Row],[次要关键词]]="",10,MATCH(表_网址[[#This Row],[次要关键词]],序列_次要关键词,0)+10)</f>
        <v>22</v>
      </c>
      <c r="D363">
        <f>IF(表_网址[[#This Row],[重点关键词]]="",10,MATCH(表_网址[[#This Row],[重点关键词]],序列_重点关键词,0)+10)</f>
        <v>10</v>
      </c>
      <c r="E363">
        <f>IF(AND(表_网址[[#This Row],[首要关键词]]=K362,表_网址[[#This Row],[次要关键词]]=L362,表_网址[[#This Row],[重点关键词]]=M362),E362+1,IF(表_网址[[#This Row],[重点关键词]]="",100,101))</f>
        <v>100</v>
      </c>
      <c r="F363" t="s">
        <v>324</v>
      </c>
      <c r="G363" t="s">
        <v>325</v>
      </c>
      <c r="H363" t="s">
        <v>29</v>
      </c>
      <c r="I363" t="s">
        <v>326</v>
      </c>
      <c r="J363" t="s">
        <v>23</v>
      </c>
      <c r="K363" t="s">
        <v>279</v>
      </c>
      <c r="L363" t="s">
        <v>327</v>
      </c>
      <c r="N363">
        <v>999</v>
      </c>
      <c r="Q363">
        <v>32</v>
      </c>
    </row>
    <row r="364" spans="1:17" x14ac:dyDescent="0.2">
      <c r="A364" t="str">
        <f ca="1">表_网址[[#This Row],[1级]]&amp;"-"&amp;表_网址[[#This Row],[2级]]&amp;"-"&amp;表_网址[[#This Row],[3级]]&amp;"-"&amp;表_网址[[#This Row],[级内]]</f>
        <v>7004-23-10-100</v>
      </c>
      <c r="B364">
        <f ca="1">MATCH(表_网址[[#This Row],[版层分类]],序列_版层分类,0)*1000+MATCH(表_网址[[#This Row],[首要关键词]],序列_首要关键词,0)</f>
        <v>7004</v>
      </c>
      <c r="C364">
        <f ca="1">IF(表_网址[[#This Row],[次要关键词]]="",10,MATCH(表_网址[[#This Row],[次要关键词]],序列_次要关键词,0)+10)</f>
        <v>23</v>
      </c>
      <c r="D364">
        <f>IF(表_网址[[#This Row],[重点关键词]]="",10,MATCH(表_网址[[#This Row],[重点关键词]],序列_重点关键词,0)+10)</f>
        <v>10</v>
      </c>
      <c r="E364">
        <f>IF(AND(表_网址[[#This Row],[首要关键词]]=K363,表_网址[[#This Row],[次要关键词]]=L363,表_网址[[#This Row],[重点关键词]]=M363),E363+1,IF(表_网址[[#This Row],[重点关键词]]="",100,101))</f>
        <v>100</v>
      </c>
      <c r="F364" t="s">
        <v>328</v>
      </c>
      <c r="G364" t="s">
        <v>329</v>
      </c>
      <c r="H364" t="s">
        <v>29</v>
      </c>
      <c r="I364" t="s">
        <v>330</v>
      </c>
      <c r="J364" t="s">
        <v>23</v>
      </c>
      <c r="K364" t="s">
        <v>279</v>
      </c>
      <c r="L364" t="s">
        <v>331</v>
      </c>
      <c r="N364">
        <v>999</v>
      </c>
      <c r="Q364">
        <v>32</v>
      </c>
    </row>
    <row r="365" spans="1:17" x14ac:dyDescent="0.2">
      <c r="A365" t="str">
        <f ca="1">表_网址[[#This Row],[1级]]&amp;"-"&amp;表_网址[[#This Row],[2级]]&amp;"-"&amp;表_网址[[#This Row],[3级]]&amp;"-"&amp;表_网址[[#This Row],[级内]]</f>
        <v>7004-23-11-101</v>
      </c>
      <c r="B365">
        <f ca="1">MATCH(表_网址[[#This Row],[版层分类]],序列_版层分类,0)*1000+MATCH(表_网址[[#This Row],[首要关键词]],序列_首要关键词,0)</f>
        <v>7004</v>
      </c>
      <c r="C365">
        <f ca="1">IF(表_网址[[#This Row],[次要关键词]]="",10,MATCH(表_网址[[#This Row],[次要关键词]],序列_次要关键词,0)+10)</f>
        <v>23</v>
      </c>
      <c r="D365">
        <f ca="1">IF(表_网址[[#This Row],[重点关键词]]="",10,MATCH(表_网址[[#This Row],[重点关键词]],序列_重点关键词,0)+10)</f>
        <v>11</v>
      </c>
      <c r="E365">
        <f>IF(AND(表_网址[[#This Row],[首要关键词]]=K364,表_网址[[#This Row],[次要关键词]]=L364,表_网址[[#This Row],[重点关键词]]=M364),E364+1,IF(表_网址[[#This Row],[重点关键词]]="",100,101))</f>
        <v>101</v>
      </c>
      <c r="F365" t="s">
        <v>332</v>
      </c>
      <c r="G365" t="s">
        <v>333</v>
      </c>
      <c r="H365" t="s">
        <v>29</v>
      </c>
      <c r="I365" t="s">
        <v>334</v>
      </c>
      <c r="J365" t="s">
        <v>23</v>
      </c>
      <c r="K365" t="s">
        <v>279</v>
      </c>
      <c r="L365" t="s">
        <v>331</v>
      </c>
      <c r="M365" t="s">
        <v>335</v>
      </c>
      <c r="N365">
        <v>999</v>
      </c>
      <c r="O365">
        <v>999</v>
      </c>
      <c r="Q365">
        <v>40</v>
      </c>
    </row>
    <row r="366" spans="1:17" x14ac:dyDescent="0.2">
      <c r="A366" t="str">
        <f ca="1">表_网址[[#This Row],[1级]]&amp;"-"&amp;表_网址[[#This Row],[2级]]&amp;"-"&amp;表_网址[[#This Row],[3级]]&amp;"-"&amp;表_网址[[#This Row],[级内]]</f>
        <v>7004-23-12-101</v>
      </c>
      <c r="B366">
        <f ca="1">MATCH(表_网址[[#This Row],[版层分类]],序列_版层分类,0)*1000+MATCH(表_网址[[#This Row],[首要关键词]],序列_首要关键词,0)</f>
        <v>7004</v>
      </c>
      <c r="C366">
        <f ca="1">IF(表_网址[[#This Row],[次要关键词]]="",10,MATCH(表_网址[[#This Row],[次要关键词]],序列_次要关键词,0)+10)</f>
        <v>23</v>
      </c>
      <c r="D366">
        <f ca="1">IF(表_网址[[#This Row],[重点关键词]]="",10,MATCH(表_网址[[#This Row],[重点关键词]],序列_重点关键词,0)+10)</f>
        <v>12</v>
      </c>
      <c r="E366">
        <f>IF(AND(表_网址[[#This Row],[首要关键词]]=K365,表_网址[[#This Row],[次要关键词]]=L365,表_网址[[#This Row],[重点关键词]]=M365),E365+1,IF(表_网址[[#This Row],[重点关键词]]="",100,101))</f>
        <v>101</v>
      </c>
      <c r="F366" t="s">
        <v>336</v>
      </c>
      <c r="G366" t="s">
        <v>337</v>
      </c>
      <c r="H366" t="s">
        <v>29</v>
      </c>
      <c r="I366" t="s">
        <v>338</v>
      </c>
      <c r="J366" t="s">
        <v>23</v>
      </c>
      <c r="K366" t="s">
        <v>279</v>
      </c>
      <c r="L366" t="s">
        <v>331</v>
      </c>
      <c r="M366" t="s">
        <v>339</v>
      </c>
      <c r="N366">
        <v>999</v>
      </c>
    </row>
    <row r="367" spans="1:17" x14ac:dyDescent="0.2">
      <c r="A367" t="str">
        <f ca="1">表_网址[[#This Row],[1级]]&amp;"-"&amp;表_网址[[#This Row],[2级]]&amp;"-"&amp;表_网址[[#This Row],[3级]]&amp;"-"&amp;表_网址[[#This Row],[级内]]</f>
        <v>7004-23-13-101</v>
      </c>
      <c r="B367">
        <f ca="1">MATCH(表_网址[[#This Row],[版层分类]],序列_版层分类,0)*1000+MATCH(表_网址[[#This Row],[首要关键词]],序列_首要关键词,0)</f>
        <v>7004</v>
      </c>
      <c r="C367">
        <f ca="1">IF(表_网址[[#This Row],[次要关键词]]="",10,MATCH(表_网址[[#This Row],[次要关键词]],序列_次要关键词,0)+10)</f>
        <v>23</v>
      </c>
      <c r="D367">
        <f ca="1">IF(表_网址[[#This Row],[重点关键词]]="",10,MATCH(表_网址[[#This Row],[重点关键词]],序列_重点关键词,0)+10)</f>
        <v>13</v>
      </c>
      <c r="E367">
        <f>IF(AND(表_网址[[#This Row],[首要关键词]]=K366,表_网址[[#This Row],[次要关键词]]=L366,表_网址[[#This Row],[重点关键词]]=M366),E366+1,IF(表_网址[[#This Row],[重点关键词]]="",100,101))</f>
        <v>101</v>
      </c>
      <c r="F367" t="s">
        <v>340</v>
      </c>
      <c r="G367" t="s">
        <v>341</v>
      </c>
      <c r="H367" t="s">
        <v>29</v>
      </c>
      <c r="I367" t="s">
        <v>342</v>
      </c>
      <c r="J367" t="s">
        <v>23</v>
      </c>
      <c r="K367" t="s">
        <v>279</v>
      </c>
      <c r="L367" t="s">
        <v>331</v>
      </c>
      <c r="M367" t="s">
        <v>343</v>
      </c>
      <c r="N367">
        <v>999</v>
      </c>
    </row>
    <row r="368" spans="1:17" x14ac:dyDescent="0.2">
      <c r="A368" t="str">
        <f ca="1">表_网址[[#This Row],[1级]]&amp;"-"&amp;表_网址[[#This Row],[2级]]&amp;"-"&amp;表_网址[[#This Row],[3级]]&amp;"-"&amp;表_网址[[#This Row],[级内]]</f>
        <v>7004-23-14-101</v>
      </c>
      <c r="B368">
        <f ca="1">MATCH(表_网址[[#This Row],[版层分类]],序列_版层分类,0)*1000+MATCH(表_网址[[#This Row],[首要关键词]],序列_首要关键词,0)</f>
        <v>7004</v>
      </c>
      <c r="C368">
        <f ca="1">IF(表_网址[[#This Row],[次要关键词]]="",10,MATCH(表_网址[[#This Row],[次要关键词]],序列_次要关键词,0)+10)</f>
        <v>23</v>
      </c>
      <c r="D368">
        <f ca="1">IF(表_网址[[#This Row],[重点关键词]]="",10,MATCH(表_网址[[#This Row],[重点关键词]],序列_重点关键词,0)+10)</f>
        <v>14</v>
      </c>
      <c r="E368">
        <f>IF(AND(表_网址[[#This Row],[首要关键词]]=K367,表_网址[[#This Row],[次要关键词]]=L367,表_网址[[#This Row],[重点关键词]]=M367),E367+1,IF(表_网址[[#This Row],[重点关键词]]="",100,101))</f>
        <v>101</v>
      </c>
      <c r="F368" t="s">
        <v>344</v>
      </c>
      <c r="G368" t="s">
        <v>345</v>
      </c>
      <c r="H368" t="s">
        <v>29</v>
      </c>
      <c r="I368" t="s">
        <v>346</v>
      </c>
      <c r="J368" t="s">
        <v>23</v>
      </c>
      <c r="K368" t="s">
        <v>279</v>
      </c>
      <c r="L368" t="s">
        <v>331</v>
      </c>
      <c r="M368" t="s">
        <v>347</v>
      </c>
      <c r="N368">
        <v>999</v>
      </c>
    </row>
    <row r="369" spans="1:17" x14ac:dyDescent="0.2">
      <c r="A369" t="str">
        <f ca="1">表_网址[[#This Row],[1级]]&amp;"-"&amp;表_网址[[#This Row],[2级]]&amp;"-"&amp;表_网址[[#This Row],[3级]]&amp;"-"&amp;表_网址[[#This Row],[级内]]</f>
        <v>7004-23-14-102</v>
      </c>
      <c r="B369">
        <f ca="1">MATCH(表_网址[[#This Row],[版层分类]],序列_版层分类,0)*1000+MATCH(表_网址[[#This Row],[首要关键词]],序列_首要关键词,0)</f>
        <v>7004</v>
      </c>
      <c r="C369">
        <f ca="1">IF(表_网址[[#This Row],[次要关键词]]="",10,MATCH(表_网址[[#This Row],[次要关键词]],序列_次要关键词,0)+10)</f>
        <v>23</v>
      </c>
      <c r="D369">
        <f ca="1">IF(表_网址[[#This Row],[重点关键词]]="",10,MATCH(表_网址[[#This Row],[重点关键词]],序列_重点关键词,0)+10)</f>
        <v>14</v>
      </c>
      <c r="E369">
        <f>IF(AND(表_网址[[#This Row],[首要关键词]]=K368,表_网址[[#This Row],[次要关键词]]=L368,表_网址[[#This Row],[重点关键词]]=M368),E368+1,IF(表_网址[[#This Row],[重点关键词]]="",100,101))</f>
        <v>102</v>
      </c>
      <c r="F369" t="s">
        <v>348</v>
      </c>
      <c r="G369" t="s">
        <v>349</v>
      </c>
      <c r="H369" t="s">
        <v>29</v>
      </c>
      <c r="I369" t="s">
        <v>350</v>
      </c>
      <c r="J369" t="s">
        <v>23</v>
      </c>
      <c r="K369" t="s">
        <v>279</v>
      </c>
      <c r="L369" t="s">
        <v>331</v>
      </c>
      <c r="M369" t="s">
        <v>347</v>
      </c>
      <c r="N369">
        <v>999</v>
      </c>
      <c r="O369">
        <v>999</v>
      </c>
      <c r="Q369">
        <v>16</v>
      </c>
    </row>
    <row r="370" spans="1:17" x14ac:dyDescent="0.2">
      <c r="A370" t="str">
        <f ca="1">表_网址[[#This Row],[1级]]&amp;"-"&amp;表_网址[[#This Row],[2级]]&amp;"-"&amp;表_网址[[#This Row],[3级]]&amp;"-"&amp;表_网址[[#This Row],[级内]]</f>
        <v>7004-23-15-101</v>
      </c>
      <c r="B370">
        <f ca="1">MATCH(表_网址[[#This Row],[版层分类]],序列_版层分类,0)*1000+MATCH(表_网址[[#This Row],[首要关键词]],序列_首要关键词,0)</f>
        <v>7004</v>
      </c>
      <c r="C370">
        <f ca="1">IF(表_网址[[#This Row],[次要关键词]]="",10,MATCH(表_网址[[#This Row],[次要关键词]],序列_次要关键词,0)+10)</f>
        <v>23</v>
      </c>
      <c r="D370">
        <f ca="1">IF(表_网址[[#This Row],[重点关键词]]="",10,MATCH(表_网址[[#This Row],[重点关键词]],序列_重点关键词,0)+10)</f>
        <v>15</v>
      </c>
      <c r="E370">
        <f>IF(AND(表_网址[[#This Row],[首要关键词]]=K369,表_网址[[#This Row],[次要关键词]]=L369,表_网址[[#This Row],[重点关键词]]=M369),E369+1,IF(表_网址[[#This Row],[重点关键词]]="",100,101))</f>
        <v>101</v>
      </c>
      <c r="F370" t="s">
        <v>351</v>
      </c>
      <c r="G370" t="s">
        <v>352</v>
      </c>
      <c r="H370" t="s">
        <v>29</v>
      </c>
      <c r="I370" t="s">
        <v>353</v>
      </c>
      <c r="J370" t="s">
        <v>23</v>
      </c>
      <c r="K370" t="s">
        <v>279</v>
      </c>
      <c r="L370" t="s">
        <v>331</v>
      </c>
      <c r="M370" t="s">
        <v>354</v>
      </c>
      <c r="N370">
        <v>999</v>
      </c>
    </row>
    <row r="371" spans="1:17" x14ac:dyDescent="0.2">
      <c r="A371" t="str">
        <f ca="1">表_网址[[#This Row],[1级]]&amp;"-"&amp;表_网址[[#This Row],[2级]]&amp;"-"&amp;表_网址[[#This Row],[3级]]&amp;"-"&amp;表_网址[[#This Row],[级内]]</f>
        <v>7004-23-16-101</v>
      </c>
      <c r="B371">
        <f ca="1">MATCH(表_网址[[#This Row],[版层分类]],序列_版层分类,0)*1000+MATCH(表_网址[[#This Row],[首要关键词]],序列_首要关键词,0)</f>
        <v>7004</v>
      </c>
      <c r="C371">
        <f ca="1">IF(表_网址[[#This Row],[次要关键词]]="",10,MATCH(表_网址[[#This Row],[次要关键词]],序列_次要关键词,0)+10)</f>
        <v>23</v>
      </c>
      <c r="D371">
        <f ca="1">IF(表_网址[[#This Row],[重点关键词]]="",10,MATCH(表_网址[[#This Row],[重点关键词]],序列_重点关键词,0)+10)</f>
        <v>16</v>
      </c>
      <c r="E371">
        <f>IF(AND(表_网址[[#This Row],[首要关键词]]=K370,表_网址[[#This Row],[次要关键词]]=L370,表_网址[[#This Row],[重点关键词]]=M370),E370+1,IF(表_网址[[#This Row],[重点关键词]]="",100,101))</f>
        <v>101</v>
      </c>
      <c r="F371" t="s">
        <v>355</v>
      </c>
      <c r="G371" t="s">
        <v>356</v>
      </c>
      <c r="H371" t="s">
        <v>29</v>
      </c>
      <c r="I371" t="s">
        <v>357</v>
      </c>
      <c r="J371" t="s">
        <v>23</v>
      </c>
      <c r="K371" t="s">
        <v>279</v>
      </c>
      <c r="L371" t="s">
        <v>331</v>
      </c>
      <c r="M371" t="s">
        <v>358</v>
      </c>
      <c r="N371">
        <v>999</v>
      </c>
    </row>
    <row r="372" spans="1:17" x14ac:dyDescent="0.2">
      <c r="A372" t="str">
        <f ca="1">表_网址[[#This Row],[1级]]&amp;"-"&amp;表_网址[[#This Row],[2级]]&amp;"-"&amp;表_网址[[#This Row],[3级]]&amp;"-"&amp;表_网址[[#This Row],[级内]]</f>
        <v>7004-23-17-101</v>
      </c>
      <c r="B372">
        <f ca="1">MATCH(表_网址[[#This Row],[版层分类]],序列_版层分类,0)*1000+MATCH(表_网址[[#This Row],[首要关键词]],序列_首要关键词,0)</f>
        <v>7004</v>
      </c>
      <c r="C372">
        <f ca="1">IF(表_网址[[#This Row],[次要关键词]]="",10,MATCH(表_网址[[#This Row],[次要关键词]],序列_次要关键词,0)+10)</f>
        <v>23</v>
      </c>
      <c r="D372">
        <f ca="1">IF(表_网址[[#This Row],[重点关键词]]="",10,MATCH(表_网址[[#This Row],[重点关键词]],序列_重点关键词,0)+10)</f>
        <v>17</v>
      </c>
      <c r="E372">
        <f>IF(AND(表_网址[[#This Row],[首要关键词]]=K371,表_网址[[#This Row],[次要关键词]]=L371,表_网址[[#This Row],[重点关键词]]=M371),E371+1,IF(表_网址[[#This Row],[重点关键词]]="",100,101))</f>
        <v>101</v>
      </c>
      <c r="F372" t="s">
        <v>359</v>
      </c>
      <c r="G372" t="s">
        <v>360</v>
      </c>
      <c r="H372" t="s">
        <v>29</v>
      </c>
      <c r="I372" t="s">
        <v>361</v>
      </c>
      <c r="J372" t="s">
        <v>23</v>
      </c>
      <c r="K372" t="s">
        <v>279</v>
      </c>
      <c r="L372" t="s">
        <v>331</v>
      </c>
      <c r="M372" t="s">
        <v>362</v>
      </c>
      <c r="N372">
        <v>999</v>
      </c>
    </row>
    <row r="373" spans="1:17" x14ac:dyDescent="0.2">
      <c r="A373" t="str">
        <f ca="1">表_网址[[#This Row],[1级]]&amp;"-"&amp;表_网址[[#This Row],[2级]]&amp;"-"&amp;表_网址[[#This Row],[3级]]&amp;"-"&amp;表_网址[[#This Row],[级内]]</f>
        <v>7004-23-18-101</v>
      </c>
      <c r="B373">
        <f ca="1">MATCH(表_网址[[#This Row],[版层分类]],序列_版层分类,0)*1000+MATCH(表_网址[[#This Row],[首要关键词]],序列_首要关键词,0)</f>
        <v>7004</v>
      </c>
      <c r="C373">
        <f ca="1">IF(表_网址[[#This Row],[次要关键词]]="",10,MATCH(表_网址[[#This Row],[次要关键词]],序列_次要关键词,0)+10)</f>
        <v>23</v>
      </c>
      <c r="D373">
        <f ca="1">IF(表_网址[[#This Row],[重点关键词]]="",10,MATCH(表_网址[[#This Row],[重点关键词]],序列_重点关键词,0)+10)</f>
        <v>18</v>
      </c>
      <c r="E373">
        <f>IF(AND(表_网址[[#This Row],[首要关键词]]=K372,表_网址[[#This Row],[次要关键词]]=L372,表_网址[[#This Row],[重点关键词]]=M372),E372+1,IF(表_网址[[#This Row],[重点关键词]]="",100,101))</f>
        <v>101</v>
      </c>
      <c r="F373" t="s">
        <v>363</v>
      </c>
      <c r="G373" t="s">
        <v>364</v>
      </c>
      <c r="H373" t="s">
        <v>29</v>
      </c>
      <c r="I373" t="s">
        <v>365</v>
      </c>
      <c r="J373" t="s">
        <v>23</v>
      </c>
      <c r="K373" t="s">
        <v>279</v>
      </c>
      <c r="L373" t="s">
        <v>331</v>
      </c>
      <c r="M373" t="s">
        <v>366</v>
      </c>
      <c r="N373">
        <v>999</v>
      </c>
    </row>
    <row r="374" spans="1:17" x14ac:dyDescent="0.2">
      <c r="A374" t="str">
        <f ca="1">表_网址[[#This Row],[1级]]&amp;"-"&amp;表_网址[[#This Row],[2级]]&amp;"-"&amp;表_网址[[#This Row],[3级]]&amp;"-"&amp;表_网址[[#This Row],[级内]]</f>
        <v>7004-23-19-101</v>
      </c>
      <c r="B374">
        <f ca="1">MATCH(表_网址[[#This Row],[版层分类]],序列_版层分类,0)*1000+MATCH(表_网址[[#This Row],[首要关键词]],序列_首要关键词,0)</f>
        <v>7004</v>
      </c>
      <c r="C374">
        <f ca="1">IF(表_网址[[#This Row],[次要关键词]]="",10,MATCH(表_网址[[#This Row],[次要关键词]],序列_次要关键词,0)+10)</f>
        <v>23</v>
      </c>
      <c r="D374">
        <f ca="1">IF(表_网址[[#This Row],[重点关键词]]="",10,MATCH(表_网址[[#This Row],[重点关键词]],序列_重点关键词,0)+10)</f>
        <v>19</v>
      </c>
      <c r="E374">
        <f>IF(AND(表_网址[[#This Row],[首要关键词]]=K373,表_网址[[#This Row],[次要关键词]]=L373,表_网址[[#This Row],[重点关键词]]=M373),E373+1,IF(表_网址[[#This Row],[重点关键词]]="",100,101))</f>
        <v>101</v>
      </c>
      <c r="F374" t="s">
        <v>367</v>
      </c>
      <c r="G374" t="s">
        <v>368</v>
      </c>
      <c r="H374" t="s">
        <v>29</v>
      </c>
      <c r="I374" t="s">
        <v>369</v>
      </c>
      <c r="J374" t="s">
        <v>23</v>
      </c>
      <c r="K374" t="s">
        <v>279</v>
      </c>
      <c r="L374" t="s">
        <v>331</v>
      </c>
      <c r="M374" t="s">
        <v>370</v>
      </c>
      <c r="N374">
        <v>999</v>
      </c>
    </row>
    <row r="375" spans="1:17" x14ac:dyDescent="0.2">
      <c r="A375" t="str">
        <f ca="1">表_网址[[#This Row],[1级]]&amp;"-"&amp;表_网址[[#This Row],[2级]]&amp;"-"&amp;表_网址[[#This Row],[3级]]&amp;"-"&amp;表_网址[[#This Row],[级内]]</f>
        <v>7004-23-20-101</v>
      </c>
      <c r="B375">
        <f ca="1">MATCH(表_网址[[#This Row],[版层分类]],序列_版层分类,0)*1000+MATCH(表_网址[[#This Row],[首要关键词]],序列_首要关键词,0)</f>
        <v>7004</v>
      </c>
      <c r="C375">
        <f ca="1">IF(表_网址[[#This Row],[次要关键词]]="",10,MATCH(表_网址[[#This Row],[次要关键词]],序列_次要关键词,0)+10)</f>
        <v>23</v>
      </c>
      <c r="D375">
        <f ca="1">IF(表_网址[[#This Row],[重点关键词]]="",10,MATCH(表_网址[[#This Row],[重点关键词]],序列_重点关键词,0)+10)</f>
        <v>20</v>
      </c>
      <c r="E375">
        <f>IF(AND(表_网址[[#This Row],[首要关键词]]=K374,表_网址[[#This Row],[次要关键词]]=L374,表_网址[[#This Row],[重点关键词]]=M374),E374+1,IF(表_网址[[#This Row],[重点关键词]]="",100,101))</f>
        <v>101</v>
      </c>
      <c r="F375" t="s">
        <v>371</v>
      </c>
      <c r="G375" t="s">
        <v>372</v>
      </c>
      <c r="H375" t="s">
        <v>29</v>
      </c>
      <c r="I375" t="s">
        <v>373</v>
      </c>
      <c r="J375" t="s">
        <v>23</v>
      </c>
      <c r="K375" t="s">
        <v>279</v>
      </c>
      <c r="L375" t="s">
        <v>331</v>
      </c>
      <c r="M375" t="s">
        <v>374</v>
      </c>
      <c r="N375">
        <v>999</v>
      </c>
    </row>
    <row r="376" spans="1:17" x14ac:dyDescent="0.2">
      <c r="A376" t="str">
        <f ca="1">表_网址[[#This Row],[1级]]&amp;"-"&amp;表_网址[[#This Row],[2级]]&amp;"-"&amp;表_网址[[#This Row],[3级]]&amp;"-"&amp;表_网址[[#This Row],[级内]]</f>
        <v>7004-23-21-101</v>
      </c>
      <c r="B376">
        <f ca="1">MATCH(表_网址[[#This Row],[版层分类]],序列_版层分类,0)*1000+MATCH(表_网址[[#This Row],[首要关键词]],序列_首要关键词,0)</f>
        <v>7004</v>
      </c>
      <c r="C376">
        <f ca="1">IF(表_网址[[#This Row],[次要关键词]]="",10,MATCH(表_网址[[#This Row],[次要关键词]],序列_次要关键词,0)+10)</f>
        <v>23</v>
      </c>
      <c r="D376">
        <f ca="1">IF(表_网址[[#This Row],[重点关键词]]="",10,MATCH(表_网址[[#This Row],[重点关键词]],序列_重点关键词,0)+10)</f>
        <v>21</v>
      </c>
      <c r="E376">
        <f>IF(AND(表_网址[[#This Row],[首要关键词]]=K375,表_网址[[#This Row],[次要关键词]]=L375,表_网址[[#This Row],[重点关键词]]=M375),E375+1,IF(表_网址[[#This Row],[重点关键词]]="",100,101))</f>
        <v>101</v>
      </c>
      <c r="F376" t="s">
        <v>375</v>
      </c>
      <c r="G376" t="s">
        <v>376</v>
      </c>
      <c r="H376" t="s">
        <v>29</v>
      </c>
      <c r="I376" t="s">
        <v>377</v>
      </c>
      <c r="J376" t="s">
        <v>23</v>
      </c>
      <c r="K376" t="s">
        <v>279</v>
      </c>
      <c r="L376" t="s">
        <v>331</v>
      </c>
      <c r="M376" t="s">
        <v>378</v>
      </c>
      <c r="N376">
        <v>999</v>
      </c>
    </row>
    <row r="377" spans="1:17" x14ac:dyDescent="0.2">
      <c r="A377" t="str">
        <f ca="1">表_网址[[#This Row],[1级]]&amp;"-"&amp;表_网址[[#This Row],[2级]]&amp;"-"&amp;表_网址[[#This Row],[3级]]&amp;"-"&amp;表_网址[[#This Row],[级内]]</f>
        <v>7004-23-22-101</v>
      </c>
      <c r="B377">
        <f ca="1">MATCH(表_网址[[#This Row],[版层分类]],序列_版层分类,0)*1000+MATCH(表_网址[[#This Row],[首要关键词]],序列_首要关键词,0)</f>
        <v>7004</v>
      </c>
      <c r="C377">
        <f ca="1">IF(表_网址[[#This Row],[次要关键词]]="",10,MATCH(表_网址[[#This Row],[次要关键词]],序列_次要关键词,0)+10)</f>
        <v>23</v>
      </c>
      <c r="D377">
        <f ca="1">IF(表_网址[[#This Row],[重点关键词]]="",10,MATCH(表_网址[[#This Row],[重点关键词]],序列_重点关键词,0)+10)</f>
        <v>22</v>
      </c>
      <c r="E377">
        <f>IF(AND(表_网址[[#This Row],[首要关键词]]=K376,表_网址[[#This Row],[次要关键词]]=L376,表_网址[[#This Row],[重点关键词]]=M376),E376+1,IF(表_网址[[#This Row],[重点关键词]]="",100,101))</f>
        <v>101</v>
      </c>
      <c r="F377" t="s">
        <v>379</v>
      </c>
      <c r="G377" t="s">
        <v>380</v>
      </c>
      <c r="H377" t="s">
        <v>29</v>
      </c>
      <c r="I377" t="s">
        <v>381</v>
      </c>
      <c r="J377" t="s">
        <v>23</v>
      </c>
      <c r="K377" t="s">
        <v>279</v>
      </c>
      <c r="L377" t="s">
        <v>331</v>
      </c>
      <c r="M377" t="s">
        <v>382</v>
      </c>
      <c r="N377">
        <v>999</v>
      </c>
    </row>
    <row r="378" spans="1:17" x14ac:dyDescent="0.2">
      <c r="A378" t="str">
        <f ca="1">表_网址[[#This Row],[1级]]&amp;"-"&amp;表_网址[[#This Row],[2级]]&amp;"-"&amp;表_网址[[#This Row],[3级]]&amp;"-"&amp;表_网址[[#This Row],[级内]]</f>
        <v>7004-23-23-101</v>
      </c>
      <c r="B378">
        <f ca="1">MATCH(表_网址[[#This Row],[版层分类]],序列_版层分类,0)*1000+MATCH(表_网址[[#This Row],[首要关键词]],序列_首要关键词,0)</f>
        <v>7004</v>
      </c>
      <c r="C378">
        <f ca="1">IF(表_网址[[#This Row],[次要关键词]]="",10,MATCH(表_网址[[#This Row],[次要关键词]],序列_次要关键词,0)+10)</f>
        <v>23</v>
      </c>
      <c r="D378">
        <f ca="1">IF(表_网址[[#This Row],[重点关键词]]="",10,MATCH(表_网址[[#This Row],[重点关键词]],序列_重点关键词,0)+10)</f>
        <v>23</v>
      </c>
      <c r="E378">
        <f>IF(AND(表_网址[[#This Row],[首要关键词]]=K377,表_网址[[#This Row],[次要关键词]]=L377,表_网址[[#This Row],[重点关键词]]=M377),E377+1,IF(表_网址[[#This Row],[重点关键词]]="",100,101))</f>
        <v>101</v>
      </c>
      <c r="F378" t="s">
        <v>383</v>
      </c>
      <c r="G378" t="s">
        <v>384</v>
      </c>
      <c r="H378" t="s">
        <v>29</v>
      </c>
      <c r="I378" t="s">
        <v>385</v>
      </c>
      <c r="J378" t="s">
        <v>23</v>
      </c>
      <c r="K378" t="s">
        <v>279</v>
      </c>
      <c r="L378" t="s">
        <v>331</v>
      </c>
      <c r="M378" t="s">
        <v>386</v>
      </c>
      <c r="N378">
        <v>999</v>
      </c>
    </row>
    <row r="379" spans="1:17" x14ac:dyDescent="0.2">
      <c r="A379" t="str">
        <f ca="1">表_网址[[#This Row],[1级]]&amp;"-"&amp;表_网址[[#This Row],[2级]]&amp;"-"&amp;表_网址[[#This Row],[3级]]&amp;"-"&amp;表_网址[[#This Row],[级内]]</f>
        <v>7004-23-24-101</v>
      </c>
      <c r="B379">
        <f ca="1">MATCH(表_网址[[#This Row],[版层分类]],序列_版层分类,0)*1000+MATCH(表_网址[[#This Row],[首要关键词]],序列_首要关键词,0)</f>
        <v>7004</v>
      </c>
      <c r="C379">
        <f ca="1">IF(表_网址[[#This Row],[次要关键词]]="",10,MATCH(表_网址[[#This Row],[次要关键词]],序列_次要关键词,0)+10)</f>
        <v>23</v>
      </c>
      <c r="D379">
        <f ca="1">IF(表_网址[[#This Row],[重点关键词]]="",10,MATCH(表_网址[[#This Row],[重点关键词]],序列_重点关键词,0)+10)</f>
        <v>24</v>
      </c>
      <c r="E379">
        <f>IF(AND(表_网址[[#This Row],[首要关键词]]=K378,表_网址[[#This Row],[次要关键词]]=L378,表_网址[[#This Row],[重点关键词]]=M378),E378+1,IF(表_网址[[#This Row],[重点关键词]]="",100,101))</f>
        <v>101</v>
      </c>
      <c r="F379" t="s">
        <v>387</v>
      </c>
      <c r="G379" t="s">
        <v>388</v>
      </c>
      <c r="H379" t="s">
        <v>29</v>
      </c>
      <c r="I379" t="s">
        <v>389</v>
      </c>
      <c r="J379" t="s">
        <v>23</v>
      </c>
      <c r="K379" t="s">
        <v>279</v>
      </c>
      <c r="L379" t="s">
        <v>331</v>
      </c>
      <c r="M379" t="s">
        <v>390</v>
      </c>
      <c r="N379">
        <v>999</v>
      </c>
    </row>
    <row r="380" spans="1:17" x14ac:dyDescent="0.2">
      <c r="A380" t="str">
        <f ca="1">表_网址[[#This Row],[1级]]&amp;"-"&amp;表_网址[[#This Row],[2级]]&amp;"-"&amp;表_网址[[#This Row],[3级]]&amp;"-"&amp;表_网址[[#This Row],[级内]]</f>
        <v>7004-23-25-101</v>
      </c>
      <c r="B380">
        <f ca="1">MATCH(表_网址[[#This Row],[版层分类]],序列_版层分类,0)*1000+MATCH(表_网址[[#This Row],[首要关键词]],序列_首要关键词,0)</f>
        <v>7004</v>
      </c>
      <c r="C380">
        <f ca="1">IF(表_网址[[#This Row],[次要关键词]]="",10,MATCH(表_网址[[#This Row],[次要关键词]],序列_次要关键词,0)+10)</f>
        <v>23</v>
      </c>
      <c r="D380">
        <f ca="1">IF(表_网址[[#This Row],[重点关键词]]="",10,MATCH(表_网址[[#This Row],[重点关键词]],序列_重点关键词,0)+10)</f>
        <v>25</v>
      </c>
      <c r="E380">
        <f>IF(AND(表_网址[[#This Row],[首要关键词]]=K379,表_网址[[#This Row],[次要关键词]]=L379,表_网址[[#This Row],[重点关键词]]=M379),E379+1,IF(表_网址[[#This Row],[重点关键词]]="",100,101))</f>
        <v>101</v>
      </c>
      <c r="F380" t="s">
        <v>391</v>
      </c>
      <c r="G380" t="s">
        <v>392</v>
      </c>
      <c r="H380" t="s">
        <v>29</v>
      </c>
      <c r="I380" t="s">
        <v>393</v>
      </c>
      <c r="J380" t="s">
        <v>23</v>
      </c>
      <c r="K380" t="s">
        <v>279</v>
      </c>
      <c r="L380" t="s">
        <v>331</v>
      </c>
      <c r="M380" t="s">
        <v>394</v>
      </c>
      <c r="N380">
        <v>999</v>
      </c>
      <c r="O380">
        <v>999</v>
      </c>
    </row>
    <row r="381" spans="1:17" x14ac:dyDescent="0.2">
      <c r="A381" t="str">
        <f ca="1">表_网址[[#This Row],[1级]]&amp;"-"&amp;表_网址[[#This Row],[2级]]&amp;"-"&amp;表_网址[[#This Row],[3级]]&amp;"-"&amp;表_网址[[#This Row],[级内]]</f>
        <v>7004-23-26-101</v>
      </c>
      <c r="B381">
        <f ca="1">MATCH(表_网址[[#This Row],[版层分类]],序列_版层分类,0)*1000+MATCH(表_网址[[#This Row],[首要关键词]],序列_首要关键词,0)</f>
        <v>7004</v>
      </c>
      <c r="C381">
        <f ca="1">IF(表_网址[[#This Row],[次要关键词]]="",10,MATCH(表_网址[[#This Row],[次要关键词]],序列_次要关键词,0)+10)</f>
        <v>23</v>
      </c>
      <c r="D381">
        <f ca="1">IF(表_网址[[#This Row],[重点关键词]]="",10,MATCH(表_网址[[#This Row],[重点关键词]],序列_重点关键词,0)+10)</f>
        <v>26</v>
      </c>
      <c r="E381">
        <f>IF(AND(表_网址[[#This Row],[首要关键词]]=K380,表_网址[[#This Row],[次要关键词]]=L380,表_网址[[#This Row],[重点关键词]]=M380),E380+1,IF(表_网址[[#This Row],[重点关键词]]="",100,101))</f>
        <v>101</v>
      </c>
      <c r="F381" t="s">
        <v>395</v>
      </c>
      <c r="G381" t="s">
        <v>396</v>
      </c>
      <c r="H381" t="s">
        <v>29</v>
      </c>
      <c r="I381" t="s">
        <v>397</v>
      </c>
      <c r="J381" t="s">
        <v>23</v>
      </c>
      <c r="K381" t="s">
        <v>279</v>
      </c>
      <c r="L381" t="s">
        <v>331</v>
      </c>
      <c r="M381" t="s">
        <v>398</v>
      </c>
      <c r="N381">
        <v>999</v>
      </c>
    </row>
    <row r="382" spans="1:17" x14ac:dyDescent="0.2">
      <c r="A382" t="str">
        <f ca="1">表_网址[[#This Row],[1级]]&amp;"-"&amp;表_网址[[#This Row],[2级]]&amp;"-"&amp;表_网址[[#This Row],[3级]]&amp;"-"&amp;表_网址[[#This Row],[级内]]</f>
        <v>7004-23-27-101</v>
      </c>
      <c r="B382">
        <f ca="1">MATCH(表_网址[[#This Row],[版层分类]],序列_版层分类,0)*1000+MATCH(表_网址[[#This Row],[首要关键词]],序列_首要关键词,0)</f>
        <v>7004</v>
      </c>
      <c r="C382">
        <f ca="1">IF(表_网址[[#This Row],[次要关键词]]="",10,MATCH(表_网址[[#This Row],[次要关键词]],序列_次要关键词,0)+10)</f>
        <v>23</v>
      </c>
      <c r="D382">
        <f ca="1">IF(表_网址[[#This Row],[重点关键词]]="",10,MATCH(表_网址[[#This Row],[重点关键词]],序列_重点关键词,0)+10)</f>
        <v>27</v>
      </c>
      <c r="E382">
        <f>IF(AND(表_网址[[#This Row],[首要关键词]]=K381,表_网址[[#This Row],[次要关键词]]=L381,表_网址[[#This Row],[重点关键词]]=M381),E381+1,IF(表_网址[[#This Row],[重点关键词]]="",100,101))</f>
        <v>101</v>
      </c>
      <c r="F382" t="s">
        <v>399</v>
      </c>
      <c r="G382" t="s">
        <v>400</v>
      </c>
      <c r="H382" t="s">
        <v>29</v>
      </c>
      <c r="I382" t="s">
        <v>401</v>
      </c>
      <c r="J382" t="s">
        <v>23</v>
      </c>
      <c r="K382" t="s">
        <v>279</v>
      </c>
      <c r="L382" t="s">
        <v>331</v>
      </c>
      <c r="M382" t="s">
        <v>402</v>
      </c>
      <c r="N382">
        <v>999</v>
      </c>
    </row>
    <row r="383" spans="1:17" x14ac:dyDescent="0.2">
      <c r="A383" t="str">
        <f ca="1">表_网址[[#This Row],[1级]]&amp;"-"&amp;表_网址[[#This Row],[2级]]&amp;"-"&amp;表_网址[[#This Row],[3级]]&amp;"-"&amp;表_网址[[#This Row],[级内]]</f>
        <v>7004-23-28-101</v>
      </c>
      <c r="B383">
        <f ca="1">MATCH(表_网址[[#This Row],[版层分类]],序列_版层分类,0)*1000+MATCH(表_网址[[#This Row],[首要关键词]],序列_首要关键词,0)</f>
        <v>7004</v>
      </c>
      <c r="C383">
        <f ca="1">IF(表_网址[[#This Row],[次要关键词]]="",10,MATCH(表_网址[[#This Row],[次要关键词]],序列_次要关键词,0)+10)</f>
        <v>23</v>
      </c>
      <c r="D383">
        <f ca="1">IF(表_网址[[#This Row],[重点关键词]]="",10,MATCH(表_网址[[#This Row],[重点关键词]],序列_重点关键词,0)+10)</f>
        <v>28</v>
      </c>
      <c r="E383">
        <f>IF(AND(表_网址[[#This Row],[首要关键词]]=K382,表_网址[[#This Row],[次要关键词]]=L382,表_网址[[#This Row],[重点关键词]]=M382),E382+1,IF(表_网址[[#This Row],[重点关键词]]="",100,101))</f>
        <v>101</v>
      </c>
      <c r="F383" t="s">
        <v>403</v>
      </c>
      <c r="G383" t="s">
        <v>404</v>
      </c>
      <c r="H383" t="s">
        <v>29</v>
      </c>
      <c r="I383" t="s">
        <v>405</v>
      </c>
      <c r="J383" t="s">
        <v>23</v>
      </c>
      <c r="K383" t="s">
        <v>279</v>
      </c>
      <c r="L383" t="s">
        <v>331</v>
      </c>
      <c r="M383" t="s">
        <v>406</v>
      </c>
      <c r="N383">
        <v>999</v>
      </c>
    </row>
    <row r="384" spans="1:17" x14ac:dyDescent="0.2">
      <c r="A384" t="str">
        <f ca="1">表_网址[[#This Row],[1级]]&amp;"-"&amp;表_网址[[#This Row],[2级]]&amp;"-"&amp;表_网址[[#This Row],[3级]]&amp;"-"&amp;表_网址[[#This Row],[级内]]</f>
        <v>7004-23-29-101</v>
      </c>
      <c r="B384">
        <f ca="1">MATCH(表_网址[[#This Row],[版层分类]],序列_版层分类,0)*1000+MATCH(表_网址[[#This Row],[首要关键词]],序列_首要关键词,0)</f>
        <v>7004</v>
      </c>
      <c r="C384">
        <f ca="1">IF(表_网址[[#This Row],[次要关键词]]="",10,MATCH(表_网址[[#This Row],[次要关键词]],序列_次要关键词,0)+10)</f>
        <v>23</v>
      </c>
      <c r="D384">
        <f ca="1">IF(表_网址[[#This Row],[重点关键词]]="",10,MATCH(表_网址[[#This Row],[重点关键词]],序列_重点关键词,0)+10)</f>
        <v>29</v>
      </c>
      <c r="E384">
        <f>IF(AND(表_网址[[#This Row],[首要关键词]]=K383,表_网址[[#This Row],[次要关键词]]=L383,表_网址[[#This Row],[重点关键词]]=M383),E383+1,IF(表_网址[[#This Row],[重点关键词]]="",100,101))</f>
        <v>101</v>
      </c>
      <c r="F384" t="s">
        <v>407</v>
      </c>
      <c r="G384" t="s">
        <v>408</v>
      </c>
      <c r="H384" t="s">
        <v>29</v>
      </c>
      <c r="I384" t="s">
        <v>409</v>
      </c>
      <c r="J384" t="s">
        <v>23</v>
      </c>
      <c r="K384" t="s">
        <v>279</v>
      </c>
      <c r="L384" t="s">
        <v>331</v>
      </c>
      <c r="M384" t="s">
        <v>410</v>
      </c>
      <c r="N384">
        <v>999</v>
      </c>
    </row>
    <row r="385" spans="1:17" x14ac:dyDescent="0.2">
      <c r="A385" t="str">
        <f ca="1">表_网址[[#This Row],[1级]]&amp;"-"&amp;表_网址[[#This Row],[2级]]&amp;"-"&amp;表_网址[[#This Row],[3级]]&amp;"-"&amp;表_网址[[#This Row],[级内]]</f>
        <v>7004-23-30-101</v>
      </c>
      <c r="B385">
        <f ca="1">MATCH(表_网址[[#This Row],[版层分类]],序列_版层分类,0)*1000+MATCH(表_网址[[#This Row],[首要关键词]],序列_首要关键词,0)</f>
        <v>7004</v>
      </c>
      <c r="C385">
        <f ca="1">IF(表_网址[[#This Row],[次要关键词]]="",10,MATCH(表_网址[[#This Row],[次要关键词]],序列_次要关键词,0)+10)</f>
        <v>23</v>
      </c>
      <c r="D385">
        <f ca="1">IF(表_网址[[#This Row],[重点关键词]]="",10,MATCH(表_网址[[#This Row],[重点关键词]],序列_重点关键词,0)+10)</f>
        <v>30</v>
      </c>
      <c r="E385">
        <f>IF(AND(表_网址[[#This Row],[首要关键词]]=K384,表_网址[[#This Row],[次要关键词]]=L384,表_网址[[#This Row],[重点关键词]]=M384),E384+1,IF(表_网址[[#This Row],[重点关键词]]="",100,101))</f>
        <v>101</v>
      </c>
      <c r="F385" t="s">
        <v>411</v>
      </c>
      <c r="G385" t="s">
        <v>412</v>
      </c>
      <c r="H385" t="s">
        <v>29</v>
      </c>
      <c r="I385" t="s">
        <v>413</v>
      </c>
      <c r="J385" t="s">
        <v>23</v>
      </c>
      <c r="K385" t="s">
        <v>279</v>
      </c>
      <c r="L385" t="s">
        <v>331</v>
      </c>
      <c r="M385" t="s">
        <v>414</v>
      </c>
      <c r="N385">
        <v>999</v>
      </c>
    </row>
    <row r="386" spans="1:17" x14ac:dyDescent="0.2">
      <c r="A386" t="str">
        <f ca="1">表_网址[[#This Row],[1级]]&amp;"-"&amp;表_网址[[#This Row],[2级]]&amp;"-"&amp;表_网址[[#This Row],[3级]]&amp;"-"&amp;表_网址[[#This Row],[级内]]</f>
        <v>7004-24-10-100</v>
      </c>
      <c r="B386">
        <f ca="1">MATCH(表_网址[[#This Row],[版层分类]],序列_版层分类,0)*1000+MATCH(表_网址[[#This Row],[首要关键词]],序列_首要关键词,0)</f>
        <v>7004</v>
      </c>
      <c r="C386">
        <f ca="1">IF(表_网址[[#This Row],[次要关键词]]="",10,MATCH(表_网址[[#This Row],[次要关键词]],序列_次要关键词,0)+10)</f>
        <v>24</v>
      </c>
      <c r="D386">
        <f>IF(表_网址[[#This Row],[重点关键词]]="",10,MATCH(表_网址[[#This Row],[重点关键词]],序列_重点关键词,0)+10)</f>
        <v>10</v>
      </c>
      <c r="E386">
        <f>IF(AND(表_网址[[#This Row],[首要关键词]]=K385,表_网址[[#This Row],[次要关键词]]=L385,表_网址[[#This Row],[重点关键词]]=M385),E385+1,IF(表_网址[[#This Row],[重点关键词]]="",100,101))</f>
        <v>100</v>
      </c>
      <c r="F386" t="s">
        <v>415</v>
      </c>
      <c r="G386" t="s">
        <v>416</v>
      </c>
      <c r="H386" t="s">
        <v>29</v>
      </c>
      <c r="I386" t="s">
        <v>417</v>
      </c>
      <c r="J386" t="s">
        <v>23</v>
      </c>
      <c r="K386" t="s">
        <v>279</v>
      </c>
      <c r="L386" t="s">
        <v>418</v>
      </c>
      <c r="N386">
        <v>999</v>
      </c>
    </row>
    <row r="387" spans="1:17" x14ac:dyDescent="0.2">
      <c r="A387" t="str">
        <f ca="1">表_网址[[#This Row],[1级]]&amp;"-"&amp;表_网址[[#This Row],[2级]]&amp;"-"&amp;表_网址[[#This Row],[3级]]&amp;"-"&amp;表_网址[[#This Row],[级内]]</f>
        <v>7004-25-10-100</v>
      </c>
      <c r="B387">
        <f ca="1">MATCH(表_网址[[#This Row],[版层分类]],序列_版层分类,0)*1000+MATCH(表_网址[[#This Row],[首要关键词]],序列_首要关键词,0)</f>
        <v>7004</v>
      </c>
      <c r="C387">
        <f ca="1">IF(表_网址[[#This Row],[次要关键词]]="",10,MATCH(表_网址[[#This Row],[次要关键词]],序列_次要关键词,0)+10)</f>
        <v>25</v>
      </c>
      <c r="D387">
        <f>IF(表_网址[[#This Row],[重点关键词]]="",10,MATCH(表_网址[[#This Row],[重点关键词]],序列_重点关键词,0)+10)</f>
        <v>10</v>
      </c>
      <c r="E387">
        <f>IF(AND(表_网址[[#This Row],[首要关键词]]=K386,表_网址[[#This Row],[次要关键词]]=L386,表_网址[[#This Row],[重点关键词]]=M386),E386+1,IF(表_网址[[#This Row],[重点关键词]]="",100,101))</f>
        <v>100</v>
      </c>
      <c r="F387" t="s">
        <v>419</v>
      </c>
      <c r="G387" t="s">
        <v>420</v>
      </c>
      <c r="H387" t="s">
        <v>29</v>
      </c>
      <c r="I387" t="s">
        <v>421</v>
      </c>
      <c r="J387" t="s">
        <v>23</v>
      </c>
      <c r="K387" t="s">
        <v>279</v>
      </c>
      <c r="L387" t="s">
        <v>422</v>
      </c>
      <c r="N387">
        <v>999</v>
      </c>
    </row>
    <row r="388" spans="1:17" x14ac:dyDescent="0.2">
      <c r="A388" t="str">
        <f ca="1">表_网址[[#This Row],[1级]]&amp;"-"&amp;表_网址[[#This Row],[2级]]&amp;"-"&amp;表_网址[[#This Row],[3级]]&amp;"-"&amp;表_网址[[#This Row],[级内]]</f>
        <v>7004-26-10-100</v>
      </c>
      <c r="B388">
        <f ca="1">MATCH(表_网址[[#This Row],[版层分类]],序列_版层分类,0)*1000+MATCH(表_网址[[#This Row],[首要关键词]],序列_首要关键词,0)</f>
        <v>7004</v>
      </c>
      <c r="C388">
        <f ca="1">IF(表_网址[[#This Row],[次要关键词]]="",10,MATCH(表_网址[[#This Row],[次要关键词]],序列_次要关键词,0)+10)</f>
        <v>26</v>
      </c>
      <c r="D388">
        <f>IF(表_网址[[#This Row],[重点关键词]]="",10,MATCH(表_网址[[#This Row],[重点关键词]],序列_重点关键词,0)+10)</f>
        <v>10</v>
      </c>
      <c r="E388">
        <f>IF(AND(表_网址[[#This Row],[首要关键词]]=K387,表_网址[[#This Row],[次要关键词]]=L387,表_网址[[#This Row],[重点关键词]]=M387),E387+1,IF(表_网址[[#This Row],[重点关键词]]="",100,101))</f>
        <v>100</v>
      </c>
      <c r="F388" t="s">
        <v>423</v>
      </c>
      <c r="G388" t="s">
        <v>424</v>
      </c>
      <c r="H388" t="s">
        <v>29</v>
      </c>
      <c r="I388" t="s">
        <v>425</v>
      </c>
      <c r="J388" t="s">
        <v>23</v>
      </c>
      <c r="K388" t="s">
        <v>279</v>
      </c>
      <c r="L388" t="s">
        <v>426</v>
      </c>
      <c r="N388">
        <v>999</v>
      </c>
    </row>
    <row r="389" spans="1:17" x14ac:dyDescent="0.2">
      <c r="A389" t="str">
        <f ca="1">表_网址[[#This Row],[1级]]&amp;"-"&amp;表_网址[[#This Row],[2级]]&amp;"-"&amp;表_网址[[#This Row],[3级]]&amp;"-"&amp;表_网址[[#This Row],[级内]]</f>
        <v>7004-27-10-100</v>
      </c>
      <c r="B389">
        <f ca="1">MATCH(表_网址[[#This Row],[版层分类]],序列_版层分类,0)*1000+MATCH(表_网址[[#This Row],[首要关键词]],序列_首要关键词,0)</f>
        <v>7004</v>
      </c>
      <c r="C389">
        <f ca="1">IF(表_网址[[#This Row],[次要关键词]]="",10,MATCH(表_网址[[#This Row],[次要关键词]],序列_次要关键词,0)+10)</f>
        <v>27</v>
      </c>
      <c r="D389">
        <f>IF(表_网址[[#This Row],[重点关键词]]="",10,MATCH(表_网址[[#This Row],[重点关键词]],序列_重点关键词,0)+10)</f>
        <v>10</v>
      </c>
      <c r="E389">
        <f>IF(AND(表_网址[[#This Row],[首要关键词]]=K388,表_网址[[#This Row],[次要关键词]]=L388,表_网址[[#This Row],[重点关键词]]=M388),E388+1,IF(表_网址[[#This Row],[重点关键词]]="",100,101))</f>
        <v>100</v>
      </c>
      <c r="F389" t="s">
        <v>427</v>
      </c>
      <c r="G389" t="s">
        <v>428</v>
      </c>
      <c r="H389" t="s">
        <v>29</v>
      </c>
      <c r="I389" t="s">
        <v>429</v>
      </c>
      <c r="J389" t="s">
        <v>23</v>
      </c>
      <c r="K389" t="s">
        <v>279</v>
      </c>
      <c r="L389" t="s">
        <v>430</v>
      </c>
      <c r="N389">
        <v>999</v>
      </c>
      <c r="O389">
        <v>999</v>
      </c>
    </row>
    <row r="390" spans="1:17" x14ac:dyDescent="0.2">
      <c r="A390" t="str">
        <f ca="1">表_网址[[#This Row],[1级]]&amp;"-"&amp;表_网址[[#This Row],[2级]]&amp;"-"&amp;表_网址[[#This Row],[3级]]&amp;"-"&amp;表_网址[[#This Row],[级内]]</f>
        <v>7004-28-10-100</v>
      </c>
      <c r="B390">
        <f ca="1">MATCH(表_网址[[#This Row],[版层分类]],序列_版层分类,0)*1000+MATCH(表_网址[[#This Row],[首要关键词]],序列_首要关键词,0)</f>
        <v>7004</v>
      </c>
      <c r="C390">
        <f ca="1">IF(表_网址[[#This Row],[次要关键词]]="",10,MATCH(表_网址[[#This Row],[次要关键词]],序列_次要关键词,0)+10)</f>
        <v>28</v>
      </c>
      <c r="D390">
        <f>IF(表_网址[[#This Row],[重点关键词]]="",10,MATCH(表_网址[[#This Row],[重点关键词]],序列_重点关键词,0)+10)</f>
        <v>10</v>
      </c>
      <c r="E390">
        <f>IF(AND(表_网址[[#This Row],[首要关键词]]=K389,表_网址[[#This Row],[次要关键词]]=L389,表_网址[[#This Row],[重点关键词]]=M389),E389+1,IF(表_网址[[#This Row],[重点关键词]]="",100,101))</f>
        <v>100</v>
      </c>
      <c r="F390" t="s">
        <v>431</v>
      </c>
      <c r="G390" t="s">
        <v>432</v>
      </c>
      <c r="H390" t="s">
        <v>29</v>
      </c>
      <c r="I390" t="s">
        <v>433</v>
      </c>
      <c r="J390" t="s">
        <v>23</v>
      </c>
      <c r="K390" t="s">
        <v>279</v>
      </c>
      <c r="L390" t="s">
        <v>434</v>
      </c>
      <c r="N390">
        <v>999</v>
      </c>
    </row>
    <row r="391" spans="1:17" x14ac:dyDescent="0.2">
      <c r="A391" t="str">
        <f ca="1">表_网址[[#This Row],[1级]]&amp;"-"&amp;表_网址[[#This Row],[2级]]&amp;"-"&amp;表_网址[[#This Row],[3级]]&amp;"-"&amp;表_网址[[#This Row],[级内]]</f>
        <v>7004-28-11-101</v>
      </c>
      <c r="B391">
        <f ca="1">MATCH(表_网址[[#This Row],[版层分类]],序列_版层分类,0)*1000+MATCH(表_网址[[#This Row],[首要关键词]],序列_首要关键词,0)</f>
        <v>7004</v>
      </c>
      <c r="C391">
        <f ca="1">IF(表_网址[[#This Row],[次要关键词]]="",10,MATCH(表_网址[[#This Row],[次要关键词]],序列_次要关键词,0)+10)</f>
        <v>28</v>
      </c>
      <c r="D391">
        <f ca="1">IF(表_网址[[#This Row],[重点关键词]]="",10,MATCH(表_网址[[#This Row],[重点关键词]],序列_重点关键词,0)+10)</f>
        <v>11</v>
      </c>
      <c r="E391">
        <f>IF(AND(表_网址[[#This Row],[首要关键词]]=K390,表_网址[[#This Row],[次要关键词]]=L390,表_网址[[#This Row],[重点关键词]]=M390),E390+1,IF(表_网址[[#This Row],[重点关键词]]="",100,101))</f>
        <v>101</v>
      </c>
      <c r="F391" t="s">
        <v>435</v>
      </c>
      <c r="G391" t="s">
        <v>436</v>
      </c>
      <c r="H391" t="s">
        <v>29</v>
      </c>
      <c r="I391" t="s">
        <v>437</v>
      </c>
      <c r="J391" t="s">
        <v>23</v>
      </c>
      <c r="K391" t="s">
        <v>279</v>
      </c>
      <c r="L391" t="s">
        <v>434</v>
      </c>
      <c r="M391" t="s">
        <v>438</v>
      </c>
      <c r="N391">
        <v>999</v>
      </c>
    </row>
    <row r="392" spans="1:17" x14ac:dyDescent="0.2">
      <c r="A392" t="str">
        <f ca="1">表_网址[[#This Row],[1级]]&amp;"-"&amp;表_网址[[#This Row],[2级]]&amp;"-"&amp;表_网址[[#This Row],[3级]]&amp;"-"&amp;表_网址[[#This Row],[级内]]</f>
        <v>7004-29-10-100</v>
      </c>
      <c r="B392">
        <f ca="1">MATCH(表_网址[[#This Row],[版层分类]],序列_版层分类,0)*1000+MATCH(表_网址[[#This Row],[首要关键词]],序列_首要关键词,0)</f>
        <v>7004</v>
      </c>
      <c r="C392">
        <f ca="1">IF(表_网址[[#This Row],[次要关键词]]="",10,MATCH(表_网址[[#This Row],[次要关键词]],序列_次要关键词,0)+10)</f>
        <v>29</v>
      </c>
      <c r="D392">
        <f>IF(表_网址[[#This Row],[重点关键词]]="",10,MATCH(表_网址[[#This Row],[重点关键词]],序列_重点关键词,0)+10)</f>
        <v>10</v>
      </c>
      <c r="E392">
        <f>IF(AND(表_网址[[#This Row],[首要关键词]]=K391,表_网址[[#This Row],[次要关键词]]=L391,表_网址[[#This Row],[重点关键词]]=M391),E391+1,IF(表_网址[[#This Row],[重点关键词]]="",100,101))</f>
        <v>100</v>
      </c>
      <c r="F392" t="s">
        <v>439</v>
      </c>
      <c r="G392" t="s">
        <v>440</v>
      </c>
      <c r="H392" t="s">
        <v>29</v>
      </c>
      <c r="I392" t="s">
        <v>441</v>
      </c>
      <c r="J392" t="s">
        <v>23</v>
      </c>
      <c r="K392" t="s">
        <v>279</v>
      </c>
      <c r="L392" t="s">
        <v>442</v>
      </c>
      <c r="N392">
        <v>999</v>
      </c>
      <c r="O392">
        <v>999</v>
      </c>
      <c r="Q392">
        <v>32</v>
      </c>
    </row>
    <row r="393" spans="1:17" x14ac:dyDescent="0.2">
      <c r="A393" t="str">
        <f ca="1">表_网址[[#This Row],[1级]]&amp;"-"&amp;表_网址[[#This Row],[2级]]&amp;"-"&amp;表_网址[[#This Row],[3级]]&amp;"-"&amp;表_网址[[#This Row],[级内]]</f>
        <v>7004-29-11-101</v>
      </c>
      <c r="B393">
        <f ca="1">MATCH(表_网址[[#This Row],[版层分类]],序列_版层分类,0)*1000+MATCH(表_网址[[#This Row],[首要关键词]],序列_首要关键词,0)</f>
        <v>7004</v>
      </c>
      <c r="C393">
        <f ca="1">IF(表_网址[[#This Row],[次要关键词]]="",10,MATCH(表_网址[[#This Row],[次要关键词]],序列_次要关键词,0)+10)</f>
        <v>29</v>
      </c>
      <c r="D393">
        <f ca="1">IF(表_网址[[#This Row],[重点关键词]]="",10,MATCH(表_网址[[#This Row],[重点关键词]],序列_重点关键词,0)+10)</f>
        <v>11</v>
      </c>
      <c r="E393">
        <f>IF(AND(表_网址[[#This Row],[首要关键词]]=K392,表_网址[[#This Row],[次要关键词]]=L392,表_网址[[#This Row],[重点关键词]]=M392),E392+1,IF(表_网址[[#This Row],[重点关键词]]="",100,101))</f>
        <v>101</v>
      </c>
      <c r="F393" t="s">
        <v>443</v>
      </c>
      <c r="G393" t="s">
        <v>444</v>
      </c>
      <c r="H393" t="s">
        <v>29</v>
      </c>
      <c r="I393" t="s">
        <v>445</v>
      </c>
      <c r="J393" t="s">
        <v>23</v>
      </c>
      <c r="K393" t="s">
        <v>279</v>
      </c>
      <c r="L393" t="s">
        <v>442</v>
      </c>
      <c r="M393" t="s">
        <v>446</v>
      </c>
      <c r="N393">
        <v>999</v>
      </c>
    </row>
    <row r="394" spans="1:17" x14ac:dyDescent="0.2">
      <c r="A394" t="str">
        <f ca="1">表_网址[[#This Row],[1级]]&amp;"-"&amp;表_网址[[#This Row],[2级]]&amp;"-"&amp;表_网址[[#This Row],[3级]]&amp;"-"&amp;表_网址[[#This Row],[级内]]</f>
        <v>7004-30-10-100</v>
      </c>
      <c r="B394">
        <f ca="1">MATCH(表_网址[[#This Row],[版层分类]],序列_版层分类,0)*1000+MATCH(表_网址[[#This Row],[首要关键词]],序列_首要关键词,0)</f>
        <v>7004</v>
      </c>
      <c r="C394">
        <f ca="1">IF(表_网址[[#This Row],[次要关键词]]="",10,MATCH(表_网址[[#This Row],[次要关键词]],序列_次要关键词,0)+10)</f>
        <v>30</v>
      </c>
      <c r="D394">
        <f>IF(表_网址[[#This Row],[重点关键词]]="",10,MATCH(表_网址[[#This Row],[重点关键词]],序列_重点关键词,0)+10)</f>
        <v>10</v>
      </c>
      <c r="E394">
        <f>IF(AND(表_网址[[#This Row],[首要关键词]]=K393,表_网址[[#This Row],[次要关键词]]=L393,表_网址[[#This Row],[重点关键词]]=M393),E393+1,IF(表_网址[[#This Row],[重点关键词]]="",100,101))</f>
        <v>100</v>
      </c>
      <c r="F394" t="s">
        <v>447</v>
      </c>
      <c r="G394" t="s">
        <v>448</v>
      </c>
      <c r="H394" t="s">
        <v>29</v>
      </c>
      <c r="I394" t="s">
        <v>449</v>
      </c>
      <c r="J394" t="s">
        <v>23</v>
      </c>
      <c r="K394" t="s">
        <v>279</v>
      </c>
      <c r="L394" t="s">
        <v>450</v>
      </c>
      <c r="N394">
        <v>999</v>
      </c>
    </row>
    <row r="395" spans="1:17" x14ac:dyDescent="0.2">
      <c r="A395" t="str">
        <f ca="1">表_网址[[#This Row],[1级]]&amp;"-"&amp;表_网址[[#This Row],[2级]]&amp;"-"&amp;表_网址[[#This Row],[3级]]&amp;"-"&amp;表_网址[[#This Row],[级内]]</f>
        <v>7004-31-10-100</v>
      </c>
      <c r="B395">
        <f ca="1">MATCH(表_网址[[#This Row],[版层分类]],序列_版层分类,0)*1000+MATCH(表_网址[[#This Row],[首要关键词]],序列_首要关键词,0)</f>
        <v>7004</v>
      </c>
      <c r="C395">
        <f ca="1">IF(表_网址[[#This Row],[次要关键词]]="",10,MATCH(表_网址[[#This Row],[次要关键词]],序列_次要关键词,0)+10)</f>
        <v>31</v>
      </c>
      <c r="D395">
        <f>IF(表_网址[[#This Row],[重点关键词]]="",10,MATCH(表_网址[[#This Row],[重点关键词]],序列_重点关键词,0)+10)</f>
        <v>10</v>
      </c>
      <c r="E395">
        <f>IF(AND(表_网址[[#This Row],[首要关键词]]=K394,表_网址[[#This Row],[次要关键词]]=L394,表_网址[[#This Row],[重点关键词]]=M394),E394+1,IF(表_网址[[#This Row],[重点关键词]]="",100,101))</f>
        <v>100</v>
      </c>
      <c r="F395" t="s">
        <v>451</v>
      </c>
      <c r="G395" t="s">
        <v>452</v>
      </c>
      <c r="H395" t="s">
        <v>29</v>
      </c>
      <c r="I395" t="s">
        <v>453</v>
      </c>
      <c r="J395" t="s">
        <v>23</v>
      </c>
      <c r="K395" t="s">
        <v>279</v>
      </c>
      <c r="L395" t="s">
        <v>454</v>
      </c>
      <c r="N395">
        <v>999</v>
      </c>
    </row>
    <row r="396" spans="1:17" x14ac:dyDescent="0.2">
      <c r="A396" t="str">
        <f ca="1">表_网址[[#This Row],[1级]]&amp;"-"&amp;表_网址[[#This Row],[2级]]&amp;"-"&amp;表_网址[[#This Row],[3级]]&amp;"-"&amp;表_网址[[#This Row],[级内]]</f>
        <v>7004-32-10-100</v>
      </c>
      <c r="B396">
        <f ca="1">MATCH(表_网址[[#This Row],[版层分类]],序列_版层分类,0)*1000+MATCH(表_网址[[#This Row],[首要关键词]],序列_首要关键词,0)</f>
        <v>7004</v>
      </c>
      <c r="C396">
        <f ca="1">IF(表_网址[[#This Row],[次要关键词]]="",10,MATCH(表_网址[[#This Row],[次要关键词]],序列_次要关键词,0)+10)</f>
        <v>32</v>
      </c>
      <c r="D396">
        <f>IF(表_网址[[#This Row],[重点关键词]]="",10,MATCH(表_网址[[#This Row],[重点关键词]],序列_重点关键词,0)+10)</f>
        <v>10</v>
      </c>
      <c r="E396">
        <f>IF(AND(表_网址[[#This Row],[首要关键词]]=K395,表_网址[[#This Row],[次要关键词]]=L395,表_网址[[#This Row],[重点关键词]]=M395),E395+1,IF(表_网址[[#This Row],[重点关键词]]="",100,101))</f>
        <v>100</v>
      </c>
      <c r="F396" t="s">
        <v>455</v>
      </c>
      <c r="G396" t="s">
        <v>456</v>
      </c>
      <c r="H396" t="s">
        <v>29</v>
      </c>
      <c r="I396" t="s">
        <v>457</v>
      </c>
      <c r="J396" t="s">
        <v>23</v>
      </c>
      <c r="K396" t="s">
        <v>279</v>
      </c>
      <c r="L396" t="s">
        <v>458</v>
      </c>
      <c r="N396">
        <v>999</v>
      </c>
    </row>
    <row r="397" spans="1:17" x14ac:dyDescent="0.2">
      <c r="A397" t="str">
        <f ca="1">表_网址[[#This Row],[1级]]&amp;"-"&amp;表_网址[[#This Row],[2级]]&amp;"-"&amp;表_网址[[#This Row],[3级]]&amp;"-"&amp;表_网址[[#This Row],[级内]]</f>
        <v>7004-33-10-100</v>
      </c>
      <c r="B397">
        <f ca="1">MATCH(表_网址[[#This Row],[版层分类]],序列_版层分类,0)*1000+MATCH(表_网址[[#This Row],[首要关键词]],序列_首要关键词,0)</f>
        <v>7004</v>
      </c>
      <c r="C397">
        <f ca="1">IF(表_网址[[#This Row],[次要关键词]]="",10,MATCH(表_网址[[#This Row],[次要关键词]],序列_次要关键词,0)+10)</f>
        <v>33</v>
      </c>
      <c r="D397">
        <f>IF(表_网址[[#This Row],[重点关键词]]="",10,MATCH(表_网址[[#This Row],[重点关键词]],序列_重点关键词,0)+10)</f>
        <v>10</v>
      </c>
      <c r="E397">
        <f>IF(AND(表_网址[[#This Row],[首要关键词]]=K396,表_网址[[#This Row],[次要关键词]]=L396,表_网址[[#This Row],[重点关键词]]=M396),E396+1,IF(表_网址[[#This Row],[重点关键词]]="",100,101))</f>
        <v>100</v>
      </c>
      <c r="F397" t="s">
        <v>459</v>
      </c>
      <c r="G397" t="s">
        <v>460</v>
      </c>
      <c r="H397" t="s">
        <v>29</v>
      </c>
      <c r="I397" t="s">
        <v>461</v>
      </c>
      <c r="J397" t="s">
        <v>23</v>
      </c>
      <c r="K397" t="s">
        <v>279</v>
      </c>
      <c r="L397" t="s">
        <v>462</v>
      </c>
      <c r="N397">
        <v>999</v>
      </c>
    </row>
    <row r="398" spans="1:17" x14ac:dyDescent="0.2">
      <c r="A398" t="str">
        <f ca="1">表_网址[[#This Row],[1级]]&amp;"-"&amp;表_网址[[#This Row],[2级]]&amp;"-"&amp;表_网址[[#This Row],[3级]]&amp;"-"&amp;表_网址[[#This Row],[级内]]</f>
        <v>7004-34-10-100</v>
      </c>
      <c r="B398">
        <f ca="1">MATCH(表_网址[[#This Row],[版层分类]],序列_版层分类,0)*1000+MATCH(表_网址[[#This Row],[首要关键词]],序列_首要关键词,0)</f>
        <v>7004</v>
      </c>
      <c r="C398">
        <f ca="1">IF(表_网址[[#This Row],[次要关键词]]="",10,MATCH(表_网址[[#This Row],[次要关键词]],序列_次要关键词,0)+10)</f>
        <v>34</v>
      </c>
      <c r="D398">
        <f>IF(表_网址[[#This Row],[重点关键词]]="",10,MATCH(表_网址[[#This Row],[重点关键词]],序列_重点关键词,0)+10)</f>
        <v>10</v>
      </c>
      <c r="E398">
        <f>IF(AND(表_网址[[#This Row],[首要关键词]]=K397,表_网址[[#This Row],[次要关键词]]=L397,表_网址[[#This Row],[重点关键词]]=M397),E397+1,IF(表_网址[[#This Row],[重点关键词]]="",100,101))</f>
        <v>100</v>
      </c>
      <c r="F398" t="s">
        <v>463</v>
      </c>
      <c r="G398" t="s">
        <v>464</v>
      </c>
      <c r="H398" t="s">
        <v>29</v>
      </c>
      <c r="I398" t="s">
        <v>465</v>
      </c>
      <c r="J398" t="s">
        <v>23</v>
      </c>
      <c r="K398" t="s">
        <v>279</v>
      </c>
      <c r="L398" t="s">
        <v>466</v>
      </c>
      <c r="N398">
        <v>999</v>
      </c>
    </row>
    <row r="399" spans="1:17" x14ac:dyDescent="0.2">
      <c r="A399" t="str">
        <f ca="1">表_网址[[#This Row],[1级]]&amp;"-"&amp;表_网址[[#This Row],[2级]]&amp;"-"&amp;表_网址[[#This Row],[3级]]&amp;"-"&amp;表_网址[[#This Row],[级内]]</f>
        <v>7004-35-10-100</v>
      </c>
      <c r="B399">
        <f ca="1">MATCH(表_网址[[#This Row],[版层分类]],序列_版层分类,0)*1000+MATCH(表_网址[[#This Row],[首要关键词]],序列_首要关键词,0)</f>
        <v>7004</v>
      </c>
      <c r="C399">
        <f ca="1">IF(表_网址[[#This Row],[次要关键词]]="",10,MATCH(表_网址[[#This Row],[次要关键词]],序列_次要关键词,0)+10)</f>
        <v>35</v>
      </c>
      <c r="D399">
        <f>IF(表_网址[[#This Row],[重点关键词]]="",10,MATCH(表_网址[[#This Row],[重点关键词]],序列_重点关键词,0)+10)</f>
        <v>10</v>
      </c>
      <c r="E399">
        <f>IF(AND(表_网址[[#This Row],[首要关键词]]=K398,表_网址[[#This Row],[次要关键词]]=L398,表_网址[[#This Row],[重点关键词]]=M398),E398+1,IF(表_网址[[#This Row],[重点关键词]]="",100,101))</f>
        <v>100</v>
      </c>
      <c r="F399" t="s">
        <v>467</v>
      </c>
      <c r="G399" t="s">
        <v>468</v>
      </c>
      <c r="H399" t="s">
        <v>29</v>
      </c>
      <c r="I399" t="s">
        <v>469</v>
      </c>
      <c r="J399" t="s">
        <v>23</v>
      </c>
      <c r="K399" t="s">
        <v>279</v>
      </c>
      <c r="L399" t="s">
        <v>470</v>
      </c>
      <c r="N399">
        <v>999</v>
      </c>
    </row>
    <row r="400" spans="1:17" x14ac:dyDescent="0.2">
      <c r="A400" t="str">
        <f ca="1">表_网址[[#This Row],[1级]]&amp;"-"&amp;表_网址[[#This Row],[2级]]&amp;"-"&amp;表_网址[[#This Row],[3级]]&amp;"-"&amp;表_网址[[#This Row],[级内]]</f>
        <v>7004-36-10-100</v>
      </c>
      <c r="B400">
        <f ca="1">MATCH(表_网址[[#This Row],[版层分类]],序列_版层分类,0)*1000+MATCH(表_网址[[#This Row],[首要关键词]],序列_首要关键词,0)</f>
        <v>7004</v>
      </c>
      <c r="C400">
        <f ca="1">IF(表_网址[[#This Row],[次要关键词]]="",10,MATCH(表_网址[[#This Row],[次要关键词]],序列_次要关键词,0)+10)</f>
        <v>36</v>
      </c>
      <c r="D400">
        <f>IF(表_网址[[#This Row],[重点关键词]]="",10,MATCH(表_网址[[#This Row],[重点关键词]],序列_重点关键词,0)+10)</f>
        <v>10</v>
      </c>
      <c r="E400">
        <f>IF(AND(表_网址[[#This Row],[首要关键词]]=K399,表_网址[[#This Row],[次要关键词]]=L399,表_网址[[#This Row],[重点关键词]]=M399),E399+1,IF(表_网址[[#This Row],[重点关键词]]="",100,101))</f>
        <v>100</v>
      </c>
      <c r="F400" t="s">
        <v>471</v>
      </c>
      <c r="G400" t="s">
        <v>472</v>
      </c>
      <c r="H400" t="s">
        <v>29</v>
      </c>
      <c r="I400" t="s">
        <v>473</v>
      </c>
      <c r="J400" t="s">
        <v>23</v>
      </c>
      <c r="K400" t="s">
        <v>279</v>
      </c>
      <c r="L400" t="s">
        <v>474</v>
      </c>
      <c r="N400">
        <v>999</v>
      </c>
    </row>
    <row r="401" spans="1:17" x14ac:dyDescent="0.2">
      <c r="A401" t="str">
        <f ca="1">表_网址[[#This Row],[1级]]&amp;"-"&amp;表_网址[[#This Row],[2级]]&amp;"-"&amp;表_网址[[#This Row],[3级]]&amp;"-"&amp;表_网址[[#This Row],[级内]]</f>
        <v>7004-37-10-100</v>
      </c>
      <c r="B401">
        <f ca="1">MATCH(表_网址[[#This Row],[版层分类]],序列_版层分类,0)*1000+MATCH(表_网址[[#This Row],[首要关键词]],序列_首要关键词,0)</f>
        <v>7004</v>
      </c>
      <c r="C401">
        <f ca="1">IF(表_网址[[#This Row],[次要关键词]]="",10,MATCH(表_网址[[#This Row],[次要关键词]],序列_次要关键词,0)+10)</f>
        <v>37</v>
      </c>
      <c r="D401">
        <f>IF(表_网址[[#This Row],[重点关键词]]="",10,MATCH(表_网址[[#This Row],[重点关键词]],序列_重点关键词,0)+10)</f>
        <v>10</v>
      </c>
      <c r="E401">
        <f>IF(AND(表_网址[[#This Row],[首要关键词]]=K400,表_网址[[#This Row],[次要关键词]]=L400,表_网址[[#This Row],[重点关键词]]=M400),E400+1,IF(表_网址[[#This Row],[重点关键词]]="",100,101))</f>
        <v>100</v>
      </c>
      <c r="F401" t="s">
        <v>475</v>
      </c>
      <c r="G401" t="s">
        <v>476</v>
      </c>
      <c r="H401" t="s">
        <v>29</v>
      </c>
      <c r="I401" t="s">
        <v>477</v>
      </c>
      <c r="J401" t="s">
        <v>23</v>
      </c>
      <c r="K401" t="s">
        <v>279</v>
      </c>
      <c r="L401" t="s">
        <v>478</v>
      </c>
      <c r="N401">
        <v>999</v>
      </c>
    </row>
    <row r="402" spans="1:17" x14ac:dyDescent="0.2">
      <c r="A402" t="str">
        <f ca="1">表_网址[[#This Row],[1级]]&amp;"-"&amp;表_网址[[#This Row],[2级]]&amp;"-"&amp;表_网址[[#This Row],[3级]]&amp;"-"&amp;表_网址[[#This Row],[级内]]</f>
        <v>7004-38-10-100</v>
      </c>
      <c r="B402">
        <f ca="1">MATCH(表_网址[[#This Row],[版层分类]],序列_版层分类,0)*1000+MATCH(表_网址[[#This Row],[首要关键词]],序列_首要关键词,0)</f>
        <v>7004</v>
      </c>
      <c r="C402">
        <f ca="1">IF(表_网址[[#This Row],[次要关键词]]="",10,MATCH(表_网址[[#This Row],[次要关键词]],序列_次要关键词,0)+10)</f>
        <v>38</v>
      </c>
      <c r="D402">
        <f>IF(表_网址[[#This Row],[重点关键词]]="",10,MATCH(表_网址[[#This Row],[重点关键词]],序列_重点关键词,0)+10)</f>
        <v>10</v>
      </c>
      <c r="E402">
        <f>IF(AND(表_网址[[#This Row],[首要关键词]]=K401,表_网址[[#This Row],[次要关键词]]=L401,表_网址[[#This Row],[重点关键词]]=M401),E401+1,IF(表_网址[[#This Row],[重点关键词]]="",100,101))</f>
        <v>100</v>
      </c>
      <c r="F402" t="s">
        <v>479</v>
      </c>
      <c r="G402" t="s">
        <v>480</v>
      </c>
      <c r="H402" t="s">
        <v>29</v>
      </c>
      <c r="I402" t="s">
        <v>481</v>
      </c>
      <c r="J402" t="s">
        <v>23</v>
      </c>
      <c r="K402" t="s">
        <v>279</v>
      </c>
      <c r="L402" t="s">
        <v>482</v>
      </c>
      <c r="N402">
        <v>999</v>
      </c>
      <c r="Q402">
        <v>32</v>
      </c>
    </row>
    <row r="403" spans="1:17" x14ac:dyDescent="0.2">
      <c r="A403" t="str">
        <f ca="1">表_网址[[#This Row],[1级]]&amp;"-"&amp;表_网址[[#This Row],[2级]]&amp;"-"&amp;表_网址[[#This Row],[3级]]&amp;"-"&amp;表_网址[[#This Row],[级内]]</f>
        <v>7004-39-10-100</v>
      </c>
      <c r="B403">
        <f ca="1">MATCH(表_网址[[#This Row],[版层分类]],序列_版层分类,0)*1000+MATCH(表_网址[[#This Row],[首要关键词]],序列_首要关键词,0)</f>
        <v>7004</v>
      </c>
      <c r="C403">
        <f ca="1">IF(表_网址[[#This Row],[次要关键词]]="",10,MATCH(表_网址[[#This Row],[次要关键词]],序列_次要关键词,0)+10)</f>
        <v>39</v>
      </c>
      <c r="D403">
        <f>IF(表_网址[[#This Row],[重点关键词]]="",10,MATCH(表_网址[[#This Row],[重点关键词]],序列_重点关键词,0)+10)</f>
        <v>10</v>
      </c>
      <c r="E403">
        <f>IF(AND(表_网址[[#This Row],[首要关键词]]=K402,表_网址[[#This Row],[次要关键词]]=L402,表_网址[[#This Row],[重点关键词]]=M402),E402+1,IF(表_网址[[#This Row],[重点关键词]]="",100,101))</f>
        <v>100</v>
      </c>
      <c r="F403" t="s">
        <v>483</v>
      </c>
      <c r="G403" t="s">
        <v>484</v>
      </c>
      <c r="H403" t="s">
        <v>29</v>
      </c>
      <c r="I403" t="s">
        <v>485</v>
      </c>
      <c r="J403" t="s">
        <v>23</v>
      </c>
      <c r="K403" t="s">
        <v>279</v>
      </c>
      <c r="L403" t="s">
        <v>486</v>
      </c>
      <c r="N403">
        <v>999</v>
      </c>
    </row>
    <row r="404" spans="1:17" x14ac:dyDescent="0.2">
      <c r="A404" t="str">
        <f ca="1">表_网址[[#This Row],[1级]]&amp;"-"&amp;表_网址[[#This Row],[2级]]&amp;"-"&amp;表_网址[[#This Row],[3级]]&amp;"-"&amp;表_网址[[#This Row],[级内]]</f>
        <v>7004-40-10-100</v>
      </c>
      <c r="B404">
        <f ca="1">MATCH(表_网址[[#This Row],[版层分类]],序列_版层分类,0)*1000+MATCH(表_网址[[#This Row],[首要关键词]],序列_首要关键词,0)</f>
        <v>7004</v>
      </c>
      <c r="C404">
        <f ca="1">IF(表_网址[[#This Row],[次要关键词]]="",10,MATCH(表_网址[[#This Row],[次要关键词]],序列_次要关键词,0)+10)</f>
        <v>40</v>
      </c>
      <c r="D404">
        <f>IF(表_网址[[#This Row],[重点关键词]]="",10,MATCH(表_网址[[#This Row],[重点关键词]],序列_重点关键词,0)+10)</f>
        <v>10</v>
      </c>
      <c r="E404">
        <f>IF(AND(表_网址[[#This Row],[首要关键词]]=K403,表_网址[[#This Row],[次要关键词]]=L403,表_网址[[#This Row],[重点关键词]]=M403),E403+1,IF(表_网址[[#This Row],[重点关键词]]="",100,101))</f>
        <v>100</v>
      </c>
      <c r="F404" t="s">
        <v>487</v>
      </c>
      <c r="G404" t="s">
        <v>488</v>
      </c>
      <c r="H404" t="s">
        <v>29</v>
      </c>
      <c r="I404" t="s">
        <v>489</v>
      </c>
      <c r="J404" t="s">
        <v>23</v>
      </c>
      <c r="K404" t="s">
        <v>279</v>
      </c>
      <c r="L404" t="s">
        <v>490</v>
      </c>
      <c r="N404">
        <v>999</v>
      </c>
    </row>
    <row r="405" spans="1:17" x14ac:dyDescent="0.2">
      <c r="A405" t="str">
        <f ca="1">表_网址[[#This Row],[1级]]&amp;"-"&amp;表_网址[[#This Row],[2级]]&amp;"-"&amp;表_网址[[#This Row],[3级]]&amp;"-"&amp;表_网址[[#This Row],[级内]]</f>
        <v>7004-41-10-100</v>
      </c>
      <c r="B405">
        <f ca="1">MATCH(表_网址[[#This Row],[版层分类]],序列_版层分类,0)*1000+MATCH(表_网址[[#This Row],[首要关键词]],序列_首要关键词,0)</f>
        <v>7004</v>
      </c>
      <c r="C405">
        <f ca="1">IF(表_网址[[#This Row],[次要关键词]]="",10,MATCH(表_网址[[#This Row],[次要关键词]],序列_次要关键词,0)+10)</f>
        <v>41</v>
      </c>
      <c r="D405">
        <f>IF(表_网址[[#This Row],[重点关键词]]="",10,MATCH(表_网址[[#This Row],[重点关键词]],序列_重点关键词,0)+10)</f>
        <v>10</v>
      </c>
      <c r="E405">
        <f>IF(AND(表_网址[[#This Row],[首要关键词]]=K404,表_网址[[#This Row],[次要关键词]]=L404,表_网址[[#This Row],[重点关键词]]=M404),E404+1,IF(表_网址[[#This Row],[重点关键词]]="",100,101))</f>
        <v>100</v>
      </c>
      <c r="F405" t="s">
        <v>491</v>
      </c>
      <c r="G405" t="s">
        <v>492</v>
      </c>
      <c r="H405" t="s">
        <v>29</v>
      </c>
      <c r="I405" t="s">
        <v>493</v>
      </c>
      <c r="J405" t="s">
        <v>23</v>
      </c>
      <c r="K405" t="s">
        <v>279</v>
      </c>
      <c r="L405" t="s">
        <v>494</v>
      </c>
      <c r="N405">
        <v>999</v>
      </c>
      <c r="Q405">
        <v>32</v>
      </c>
    </row>
    <row r="406" spans="1:17" x14ac:dyDescent="0.2">
      <c r="A406" t="str">
        <f ca="1">表_网址[[#This Row],[1级]]&amp;"-"&amp;表_网址[[#This Row],[2级]]&amp;"-"&amp;表_网址[[#This Row],[3级]]&amp;"-"&amp;表_网址[[#This Row],[级内]]</f>
        <v>7005-10-10-100</v>
      </c>
      <c r="B406">
        <f ca="1">MATCH(表_网址[[#This Row],[版层分类]],序列_版层分类,0)*1000+MATCH(表_网址[[#This Row],[首要关键词]],序列_首要关键词,0)</f>
        <v>7005</v>
      </c>
      <c r="C406">
        <f>IF(表_网址[[#This Row],[次要关键词]]="",10,MATCH(表_网址[[#This Row],[次要关键词]],序列_次要关键词,0)+10)</f>
        <v>10</v>
      </c>
      <c r="D406">
        <f>IF(表_网址[[#This Row],[重点关键词]]="",10,MATCH(表_网址[[#This Row],[重点关键词]],序列_重点关键词,0)+10)</f>
        <v>10</v>
      </c>
      <c r="E406">
        <f>IF(AND(表_网址[[#This Row],[首要关键词]]=K405,表_网址[[#This Row],[次要关键词]]=L405,表_网址[[#This Row],[重点关键词]]=M405),E405+1,IF(表_网址[[#This Row],[重点关键词]]="",100,101))</f>
        <v>100</v>
      </c>
      <c r="F406" t="s">
        <v>29</v>
      </c>
      <c r="J406" t="s">
        <v>23</v>
      </c>
      <c r="K406" t="s">
        <v>1641</v>
      </c>
    </row>
    <row r="407" spans="1:17" x14ac:dyDescent="0.2">
      <c r="A407" t="str">
        <f ca="1">表_网址[[#This Row],[1级]]&amp;"-"&amp;表_网址[[#This Row],[2级]]&amp;"-"&amp;表_网址[[#This Row],[3级]]&amp;"-"&amp;表_网址[[#This Row],[级内]]</f>
        <v>7005-11-10-100</v>
      </c>
      <c r="B407">
        <f ca="1">MATCH(表_网址[[#This Row],[版层分类]],序列_版层分类,0)*1000+MATCH(表_网址[[#This Row],[首要关键词]],序列_首要关键词,0)</f>
        <v>7005</v>
      </c>
      <c r="C407">
        <f ca="1">IF(表_网址[[#This Row],[次要关键词]]="",10,MATCH(表_网址[[#This Row],[次要关键词]],序列_次要关键词,0)+10)</f>
        <v>11</v>
      </c>
      <c r="D407">
        <f>IF(表_网址[[#This Row],[重点关键词]]="",10,MATCH(表_网址[[#This Row],[重点关键词]],序列_重点关键词,0)+10)</f>
        <v>10</v>
      </c>
      <c r="E407">
        <f>IF(AND(表_网址[[#This Row],[首要关键词]]=K406,表_网址[[#This Row],[次要关键词]]=L406,表_网址[[#This Row],[重点关键词]]=M406),E406+1,IF(表_网址[[#This Row],[重点关键词]]="",100,101))</f>
        <v>100</v>
      </c>
      <c r="F407" t="s">
        <v>1660</v>
      </c>
      <c r="G407" t="s">
        <v>1661</v>
      </c>
      <c r="H407" t="s">
        <v>1662</v>
      </c>
      <c r="J407" t="s">
        <v>23</v>
      </c>
      <c r="K407" t="s">
        <v>1641</v>
      </c>
      <c r="L407" t="s">
        <v>1662</v>
      </c>
      <c r="N407">
        <v>999</v>
      </c>
    </row>
    <row r="408" spans="1:17" x14ac:dyDescent="0.2">
      <c r="A408" t="str">
        <f ca="1">表_网址[[#This Row],[1级]]&amp;"-"&amp;表_网址[[#This Row],[2级]]&amp;"-"&amp;表_网址[[#This Row],[3级]]&amp;"-"&amp;表_网址[[#This Row],[级内]]</f>
        <v>7005-12-10-100</v>
      </c>
      <c r="B408">
        <f ca="1">MATCH(表_网址[[#This Row],[版层分类]],序列_版层分类,0)*1000+MATCH(表_网址[[#This Row],[首要关键词]],序列_首要关键词,0)</f>
        <v>7005</v>
      </c>
      <c r="C408">
        <f ca="1">IF(表_网址[[#This Row],[次要关键词]]="",10,MATCH(表_网址[[#This Row],[次要关键词]],序列_次要关键词,0)+10)</f>
        <v>12</v>
      </c>
      <c r="D408">
        <f>IF(表_网址[[#This Row],[重点关键词]]="",10,MATCH(表_网址[[#This Row],[重点关键词]],序列_重点关键词,0)+10)</f>
        <v>10</v>
      </c>
      <c r="E408">
        <f>IF(AND(表_网址[[#This Row],[首要关键词]]=K407,表_网址[[#This Row],[次要关键词]]=L407,表_网址[[#This Row],[重点关键词]]=M407),E407+1,IF(表_网址[[#This Row],[重点关键词]]="",100,101))</f>
        <v>100</v>
      </c>
      <c r="F408" t="s">
        <v>1651</v>
      </c>
      <c r="G408" t="s">
        <v>1652</v>
      </c>
      <c r="H408" t="s">
        <v>1653</v>
      </c>
      <c r="J408" t="s">
        <v>23</v>
      </c>
      <c r="K408" t="s">
        <v>1641</v>
      </c>
      <c r="L408" t="s">
        <v>1653</v>
      </c>
      <c r="N408">
        <v>999</v>
      </c>
    </row>
    <row r="409" spans="1:17" x14ac:dyDescent="0.2">
      <c r="A409" t="str">
        <f ca="1">表_网址[[#This Row],[1级]]&amp;"-"&amp;表_网址[[#This Row],[2级]]&amp;"-"&amp;表_网址[[#This Row],[3级]]&amp;"-"&amp;表_网址[[#This Row],[级内]]</f>
        <v>7005-13-10-100</v>
      </c>
      <c r="B409">
        <f ca="1">MATCH(表_网址[[#This Row],[版层分类]],序列_版层分类,0)*1000+MATCH(表_网址[[#This Row],[首要关键词]],序列_首要关键词,0)</f>
        <v>7005</v>
      </c>
      <c r="C409">
        <f ca="1">IF(表_网址[[#This Row],[次要关键词]]="",10,MATCH(表_网址[[#This Row],[次要关键词]],序列_次要关键词,0)+10)</f>
        <v>13</v>
      </c>
      <c r="D409">
        <f>IF(表_网址[[#This Row],[重点关键词]]="",10,MATCH(表_网址[[#This Row],[重点关键词]],序列_重点关键词,0)+10)</f>
        <v>10</v>
      </c>
      <c r="E409">
        <f>IF(AND(表_网址[[#This Row],[首要关键词]]=K408,表_网址[[#This Row],[次要关键词]]=L408,表_网址[[#This Row],[重点关键词]]=M408),E408+1,IF(表_网址[[#This Row],[重点关键词]]="",100,101))</f>
        <v>100</v>
      </c>
      <c r="F409" t="s">
        <v>1657</v>
      </c>
      <c r="G409" t="s">
        <v>1658</v>
      </c>
      <c r="H409" t="s">
        <v>1659</v>
      </c>
      <c r="J409" t="s">
        <v>23</v>
      </c>
      <c r="K409" t="s">
        <v>1641</v>
      </c>
      <c r="L409" t="s">
        <v>1659</v>
      </c>
      <c r="N409">
        <v>999</v>
      </c>
    </row>
    <row r="410" spans="1:17" x14ac:dyDescent="0.2">
      <c r="A410" t="str">
        <f ca="1">表_网址[[#This Row],[1级]]&amp;"-"&amp;表_网址[[#This Row],[2级]]&amp;"-"&amp;表_网址[[#This Row],[3级]]&amp;"-"&amp;表_网址[[#This Row],[级内]]</f>
        <v>7005-14-10-100</v>
      </c>
      <c r="B410">
        <f ca="1">MATCH(表_网址[[#This Row],[版层分类]],序列_版层分类,0)*1000+MATCH(表_网址[[#This Row],[首要关键词]],序列_首要关键词,0)</f>
        <v>7005</v>
      </c>
      <c r="C410">
        <f ca="1">IF(表_网址[[#This Row],[次要关键词]]="",10,MATCH(表_网址[[#This Row],[次要关键词]],序列_次要关键词,0)+10)</f>
        <v>14</v>
      </c>
      <c r="D410">
        <f>IF(表_网址[[#This Row],[重点关键词]]="",10,MATCH(表_网址[[#This Row],[重点关键词]],序列_重点关键词,0)+10)</f>
        <v>10</v>
      </c>
      <c r="E410">
        <f>IF(AND(表_网址[[#This Row],[首要关键词]]=K409,表_网址[[#This Row],[次要关键词]]=L409,表_网址[[#This Row],[重点关键词]]=M409),E409+1,IF(表_网址[[#This Row],[重点关键词]]="",100,101))</f>
        <v>100</v>
      </c>
      <c r="F410" t="s">
        <v>1654</v>
      </c>
      <c r="G410" t="s">
        <v>1655</v>
      </c>
      <c r="H410" t="s">
        <v>1656</v>
      </c>
      <c r="J410" t="s">
        <v>23</v>
      </c>
      <c r="K410" t="s">
        <v>1641</v>
      </c>
      <c r="L410" t="s">
        <v>1656</v>
      </c>
      <c r="N410">
        <v>999</v>
      </c>
    </row>
    <row r="411" spans="1:17" x14ac:dyDescent="0.2">
      <c r="A411" t="str">
        <f ca="1">表_网址[[#This Row],[1级]]&amp;"-"&amp;表_网址[[#This Row],[2级]]&amp;"-"&amp;表_网址[[#This Row],[3级]]&amp;"-"&amp;表_网址[[#This Row],[级内]]</f>
        <v>7005-15-10-100</v>
      </c>
      <c r="B411">
        <f ca="1">MATCH(表_网址[[#This Row],[版层分类]],序列_版层分类,0)*1000+MATCH(表_网址[[#This Row],[首要关键词]],序列_首要关键词,0)</f>
        <v>7005</v>
      </c>
      <c r="C411">
        <f ca="1">IF(表_网址[[#This Row],[次要关键词]]="",10,MATCH(表_网址[[#This Row],[次要关键词]],序列_次要关键词,0)+10)</f>
        <v>15</v>
      </c>
      <c r="D411">
        <f>IF(表_网址[[#This Row],[重点关键词]]="",10,MATCH(表_网址[[#This Row],[重点关键词]],序列_重点关键词,0)+10)</f>
        <v>10</v>
      </c>
      <c r="E411">
        <f>IF(AND(表_网址[[#This Row],[首要关键词]]=K410,表_网址[[#This Row],[次要关键词]]=L410,表_网址[[#This Row],[重点关键词]]=M410),E410+1,IF(表_网址[[#This Row],[重点关键词]]="",100,101))</f>
        <v>100</v>
      </c>
      <c r="F411" t="s">
        <v>1648</v>
      </c>
      <c r="G411" t="s">
        <v>1649</v>
      </c>
      <c r="H411" t="s">
        <v>1650</v>
      </c>
      <c r="J411" t="s">
        <v>23</v>
      </c>
      <c r="K411" t="s">
        <v>1641</v>
      </c>
      <c r="L411" t="s">
        <v>1650</v>
      </c>
      <c r="N411">
        <v>999</v>
      </c>
    </row>
    <row r="412" spans="1:17" x14ac:dyDescent="0.2">
      <c r="A412" t="str">
        <f ca="1">表_网址[[#This Row],[1级]]&amp;"-"&amp;表_网址[[#This Row],[2级]]&amp;"-"&amp;表_网址[[#This Row],[3级]]&amp;"-"&amp;表_网址[[#This Row],[级内]]</f>
        <v>7005-16-10-100</v>
      </c>
      <c r="B412">
        <f ca="1">MATCH(表_网址[[#This Row],[版层分类]],序列_版层分类,0)*1000+MATCH(表_网址[[#This Row],[首要关键词]],序列_首要关键词,0)</f>
        <v>7005</v>
      </c>
      <c r="C412">
        <f ca="1">IF(表_网址[[#This Row],[次要关键词]]="",10,MATCH(表_网址[[#This Row],[次要关键词]],序列_次要关键词,0)+10)</f>
        <v>16</v>
      </c>
      <c r="D412">
        <f>IF(表_网址[[#This Row],[重点关键词]]="",10,MATCH(表_网址[[#This Row],[重点关键词]],序列_重点关键词,0)+10)</f>
        <v>10</v>
      </c>
      <c r="E412">
        <f>IF(AND(表_网址[[#This Row],[首要关键词]]=K411,表_网址[[#This Row],[次要关键词]]=L411,表_网址[[#This Row],[重点关键词]]=M411),E411+1,IF(表_网址[[#This Row],[重点关键词]]="",100,101))</f>
        <v>100</v>
      </c>
      <c r="F412" t="s">
        <v>1642</v>
      </c>
      <c r="G412" t="s">
        <v>1643</v>
      </c>
      <c r="J412" t="s">
        <v>23</v>
      </c>
      <c r="K412" t="s">
        <v>1641</v>
      </c>
      <c r="L412" t="s">
        <v>1644</v>
      </c>
      <c r="N412">
        <v>999</v>
      </c>
    </row>
    <row r="413" spans="1:17" x14ac:dyDescent="0.2">
      <c r="A413" t="str">
        <f ca="1">表_网址[[#This Row],[1级]]&amp;"-"&amp;表_网址[[#This Row],[2级]]&amp;"-"&amp;表_网址[[#This Row],[3级]]&amp;"-"&amp;表_网址[[#This Row],[级内]]</f>
        <v>7005-17-10-100</v>
      </c>
      <c r="B413">
        <f ca="1">MATCH(表_网址[[#This Row],[版层分类]],序列_版层分类,0)*1000+MATCH(表_网址[[#This Row],[首要关键词]],序列_首要关键词,0)</f>
        <v>7005</v>
      </c>
      <c r="C413">
        <f ca="1">IF(表_网址[[#This Row],[次要关键词]]="",10,MATCH(表_网址[[#This Row],[次要关键词]],序列_次要关键词,0)+10)</f>
        <v>17</v>
      </c>
      <c r="D413">
        <f>IF(表_网址[[#This Row],[重点关键词]]="",10,MATCH(表_网址[[#This Row],[重点关键词]],序列_重点关键词,0)+10)</f>
        <v>10</v>
      </c>
      <c r="E413">
        <f>IF(AND(表_网址[[#This Row],[首要关键词]]=K412,表_网址[[#This Row],[次要关键词]]=L412,表_网址[[#This Row],[重点关键词]]=M412),E412+1,IF(表_网址[[#This Row],[重点关键词]]="",100,101))</f>
        <v>100</v>
      </c>
      <c r="F413" t="s">
        <v>1663</v>
      </c>
      <c r="G413" t="s">
        <v>1664</v>
      </c>
      <c r="J413" t="s">
        <v>23</v>
      </c>
      <c r="K413" t="s">
        <v>1641</v>
      </c>
      <c r="L413" t="s">
        <v>1663</v>
      </c>
      <c r="N413">
        <v>999</v>
      </c>
    </row>
    <row r="414" spans="1:17" x14ac:dyDescent="0.2">
      <c r="A414" t="str">
        <f ca="1">表_网址[[#This Row],[1级]]&amp;"-"&amp;表_网址[[#This Row],[2级]]&amp;"-"&amp;表_网址[[#This Row],[3级]]&amp;"-"&amp;表_网址[[#This Row],[级内]]</f>
        <v>7005-18-10-100</v>
      </c>
      <c r="B414">
        <f ca="1">MATCH(表_网址[[#This Row],[版层分类]],序列_版层分类,0)*1000+MATCH(表_网址[[#This Row],[首要关键词]],序列_首要关键词,0)</f>
        <v>7005</v>
      </c>
      <c r="C414">
        <f ca="1">IF(表_网址[[#This Row],[次要关键词]]="",10,MATCH(表_网址[[#This Row],[次要关键词]],序列_次要关键词,0)+10)</f>
        <v>18</v>
      </c>
      <c r="D414">
        <f>IF(表_网址[[#This Row],[重点关键词]]="",10,MATCH(表_网址[[#This Row],[重点关键词]],序列_重点关键词,0)+10)</f>
        <v>10</v>
      </c>
      <c r="E414">
        <f>IF(AND(表_网址[[#This Row],[首要关键词]]=K413,表_网址[[#This Row],[次要关键词]]=L413,表_网址[[#This Row],[重点关键词]]=M413),E413+1,IF(表_网址[[#This Row],[重点关键词]]="",100,101))</f>
        <v>100</v>
      </c>
      <c r="F414" t="s">
        <v>1645</v>
      </c>
      <c r="G414" t="s">
        <v>1646</v>
      </c>
      <c r="H414" t="s">
        <v>1647</v>
      </c>
      <c r="J414" t="s">
        <v>23</v>
      </c>
      <c r="K414" t="s">
        <v>1641</v>
      </c>
      <c r="L414" t="s">
        <v>1647</v>
      </c>
      <c r="N414">
        <v>999</v>
      </c>
    </row>
    <row r="415" spans="1:17" x14ac:dyDescent="0.2">
      <c r="A415" t="str">
        <f ca="1">表_网址[[#This Row],[1级]]&amp;"-"&amp;表_网址[[#This Row],[2级]]&amp;"-"&amp;表_网址[[#This Row],[3级]]&amp;"-"&amp;表_网址[[#This Row],[级内]]</f>
        <v>7006-10-10-100</v>
      </c>
      <c r="B415">
        <f ca="1">MATCH(表_网址[[#This Row],[版层分类]],序列_版层分类,0)*1000+MATCH(表_网址[[#This Row],[首要关键词]],序列_首要关键词,0)</f>
        <v>7006</v>
      </c>
      <c r="C415">
        <f>IF(表_网址[[#This Row],[次要关键词]]="",10,MATCH(表_网址[[#This Row],[次要关键词]],序列_次要关键词,0)+10)</f>
        <v>10</v>
      </c>
      <c r="D415">
        <f>IF(表_网址[[#This Row],[重点关键词]]="",10,MATCH(表_网址[[#This Row],[重点关键词]],序列_重点关键词,0)+10)</f>
        <v>10</v>
      </c>
      <c r="E415">
        <f>IF(AND(表_网址[[#This Row],[首要关键词]]=K414,表_网址[[#This Row],[次要关键词]]=L414,表_网址[[#This Row],[重点关键词]]=M414),E414+1,IF(表_网址[[#This Row],[重点关键词]]="",100,101))</f>
        <v>100</v>
      </c>
      <c r="F415" t="s">
        <v>495</v>
      </c>
      <c r="G415" t="s">
        <v>496</v>
      </c>
      <c r="H415" t="s">
        <v>29</v>
      </c>
      <c r="I415" t="s">
        <v>497</v>
      </c>
      <c r="J415" t="s">
        <v>23</v>
      </c>
      <c r="K415" t="s">
        <v>498</v>
      </c>
      <c r="N415">
        <v>999</v>
      </c>
      <c r="O415">
        <v>999</v>
      </c>
      <c r="Q415">
        <v>64</v>
      </c>
    </row>
    <row r="416" spans="1:17" x14ac:dyDescent="0.2">
      <c r="A416" t="str">
        <f ca="1">表_网址[[#This Row],[1级]]&amp;"-"&amp;表_网址[[#This Row],[2级]]&amp;"-"&amp;表_网址[[#This Row],[3级]]&amp;"-"&amp;表_网址[[#This Row],[级内]]</f>
        <v>7006-11-10-100</v>
      </c>
      <c r="B416">
        <f ca="1">MATCH(表_网址[[#This Row],[版层分类]],序列_版层分类,0)*1000+MATCH(表_网址[[#This Row],[首要关键词]],序列_首要关键词,0)</f>
        <v>7006</v>
      </c>
      <c r="C416">
        <f ca="1">IF(表_网址[[#This Row],[次要关键词]]="",10,MATCH(表_网址[[#This Row],[次要关键词]],序列_次要关键词,0)+10)</f>
        <v>11</v>
      </c>
      <c r="D416">
        <f>IF(表_网址[[#This Row],[重点关键词]]="",10,MATCH(表_网址[[#This Row],[重点关键词]],序列_重点关键词,0)+10)</f>
        <v>10</v>
      </c>
      <c r="E416">
        <f>IF(AND(表_网址[[#This Row],[首要关键词]]=K415,表_网址[[#This Row],[次要关键词]]=L415,表_网址[[#This Row],[重点关键词]]=M415),E415+1,IF(表_网址[[#This Row],[重点关键词]]="",100,101))</f>
        <v>100</v>
      </c>
      <c r="F416" t="s">
        <v>499</v>
      </c>
      <c r="G416" t="s">
        <v>500</v>
      </c>
      <c r="H416" t="s">
        <v>29</v>
      </c>
      <c r="I416" t="s">
        <v>501</v>
      </c>
      <c r="J416" t="s">
        <v>23</v>
      </c>
      <c r="K416" t="s">
        <v>498</v>
      </c>
      <c r="L416" t="s">
        <v>502</v>
      </c>
      <c r="N416">
        <v>999</v>
      </c>
      <c r="O416">
        <v>999</v>
      </c>
      <c r="Q416">
        <v>32</v>
      </c>
    </row>
    <row r="417" spans="1:19" x14ac:dyDescent="0.2">
      <c r="A417" t="str">
        <f ca="1">表_网址[[#This Row],[1级]]&amp;"-"&amp;表_网址[[#This Row],[2级]]&amp;"-"&amp;表_网址[[#This Row],[3级]]&amp;"-"&amp;表_网址[[#This Row],[级内]]</f>
        <v>7006-11-10-101</v>
      </c>
      <c r="B417">
        <f ca="1">MATCH(表_网址[[#This Row],[版层分类]],序列_版层分类,0)*1000+MATCH(表_网址[[#This Row],[首要关键词]],序列_首要关键词,0)</f>
        <v>7006</v>
      </c>
      <c r="C417">
        <f ca="1">IF(表_网址[[#This Row],[次要关键词]]="",10,MATCH(表_网址[[#This Row],[次要关键词]],序列_次要关键词,0)+10)</f>
        <v>11</v>
      </c>
      <c r="D417">
        <f>IF(表_网址[[#This Row],[重点关键词]]="",10,MATCH(表_网址[[#This Row],[重点关键词]],序列_重点关键词,0)+10)</f>
        <v>10</v>
      </c>
      <c r="E417">
        <f>IF(AND(表_网址[[#This Row],[首要关键词]]=K416,表_网址[[#This Row],[次要关键词]]=L416,表_网址[[#This Row],[重点关键词]]=M416),E416+1,IF(表_网址[[#This Row],[重点关键词]]="",100,101))</f>
        <v>101</v>
      </c>
      <c r="F417" t="s">
        <v>503</v>
      </c>
      <c r="G417" t="s">
        <v>504</v>
      </c>
      <c r="H417" t="s">
        <v>29</v>
      </c>
      <c r="I417" t="s">
        <v>505</v>
      </c>
      <c r="J417" t="s">
        <v>23</v>
      </c>
      <c r="K417" t="s">
        <v>498</v>
      </c>
      <c r="L417" t="s">
        <v>502</v>
      </c>
      <c r="N417">
        <v>999</v>
      </c>
      <c r="Q417">
        <v>16</v>
      </c>
      <c r="R417" t="s">
        <v>507</v>
      </c>
      <c r="S417" t="s">
        <v>508</v>
      </c>
    </row>
    <row r="418" spans="1:19" x14ac:dyDescent="0.2">
      <c r="A418" t="str">
        <f ca="1">表_网址[[#This Row],[1级]]&amp;"-"&amp;表_网址[[#This Row],[2级]]&amp;"-"&amp;表_网址[[#This Row],[3级]]&amp;"-"&amp;表_网址[[#This Row],[级内]]</f>
        <v>7006-11-10-102</v>
      </c>
      <c r="B418">
        <f ca="1">MATCH(表_网址[[#This Row],[版层分类]],序列_版层分类,0)*1000+MATCH(表_网址[[#This Row],[首要关键词]],序列_首要关键词,0)</f>
        <v>7006</v>
      </c>
      <c r="C418">
        <f ca="1">IF(表_网址[[#This Row],[次要关键词]]="",10,MATCH(表_网址[[#This Row],[次要关键词]],序列_次要关键词,0)+10)</f>
        <v>11</v>
      </c>
      <c r="D418">
        <f>IF(表_网址[[#This Row],[重点关键词]]="",10,MATCH(表_网址[[#This Row],[重点关键词]],序列_重点关键词,0)+10)</f>
        <v>10</v>
      </c>
      <c r="E418">
        <f>IF(AND(表_网址[[#This Row],[首要关键词]]=K417,表_网址[[#This Row],[次要关键词]]=L417,表_网址[[#This Row],[重点关键词]]=M417),E417+1,IF(表_网址[[#This Row],[重点关键词]]="",100,101))</f>
        <v>102</v>
      </c>
      <c r="F418" t="s">
        <v>509</v>
      </c>
      <c r="G418" t="s">
        <v>510</v>
      </c>
      <c r="H418" t="s">
        <v>29</v>
      </c>
      <c r="I418" t="s">
        <v>511</v>
      </c>
      <c r="J418" t="s">
        <v>23</v>
      </c>
      <c r="K418" t="s">
        <v>498</v>
      </c>
      <c r="L418" t="s">
        <v>502</v>
      </c>
      <c r="N418">
        <v>999</v>
      </c>
      <c r="Q418">
        <v>16</v>
      </c>
      <c r="R418" t="s">
        <v>507</v>
      </c>
      <c r="S418" t="s">
        <v>508</v>
      </c>
    </row>
    <row r="419" spans="1:19" x14ac:dyDescent="0.2">
      <c r="A419" t="str">
        <f ca="1">表_网址[[#This Row],[1级]]&amp;"-"&amp;表_网址[[#This Row],[2级]]&amp;"-"&amp;表_网址[[#This Row],[3级]]&amp;"-"&amp;表_网址[[#This Row],[级内]]</f>
        <v>7006-11-10-103</v>
      </c>
      <c r="B419">
        <f ca="1">MATCH(表_网址[[#This Row],[版层分类]],序列_版层分类,0)*1000+MATCH(表_网址[[#This Row],[首要关键词]],序列_首要关键词,0)</f>
        <v>7006</v>
      </c>
      <c r="C419">
        <f ca="1">IF(表_网址[[#This Row],[次要关键词]]="",10,MATCH(表_网址[[#This Row],[次要关键词]],序列_次要关键词,0)+10)</f>
        <v>11</v>
      </c>
      <c r="D419">
        <f>IF(表_网址[[#This Row],[重点关键词]]="",10,MATCH(表_网址[[#This Row],[重点关键词]],序列_重点关键词,0)+10)</f>
        <v>10</v>
      </c>
      <c r="E419">
        <f>IF(AND(表_网址[[#This Row],[首要关键词]]=K418,表_网址[[#This Row],[次要关键词]]=L418,表_网址[[#This Row],[重点关键词]]=M418),E418+1,IF(表_网址[[#This Row],[重点关键词]]="",100,101))</f>
        <v>103</v>
      </c>
      <c r="F419" t="s">
        <v>512</v>
      </c>
      <c r="G419" t="s">
        <v>513</v>
      </c>
      <c r="H419" t="s">
        <v>29</v>
      </c>
      <c r="I419" t="s">
        <v>514</v>
      </c>
      <c r="J419" t="s">
        <v>23</v>
      </c>
      <c r="K419" t="s">
        <v>498</v>
      </c>
      <c r="L419" t="s">
        <v>502</v>
      </c>
      <c r="N419">
        <v>999</v>
      </c>
      <c r="Q419">
        <v>32</v>
      </c>
      <c r="R419" t="s">
        <v>507</v>
      </c>
      <c r="S419" t="s">
        <v>508</v>
      </c>
    </row>
    <row r="420" spans="1:19" x14ac:dyDescent="0.2">
      <c r="A420" t="str">
        <f ca="1">表_网址[[#This Row],[1级]]&amp;"-"&amp;表_网址[[#This Row],[2级]]&amp;"-"&amp;表_网址[[#This Row],[3级]]&amp;"-"&amp;表_网址[[#This Row],[级内]]</f>
        <v>7006-11-10-104</v>
      </c>
      <c r="B420">
        <f ca="1">MATCH(表_网址[[#This Row],[版层分类]],序列_版层分类,0)*1000+MATCH(表_网址[[#This Row],[首要关键词]],序列_首要关键词,0)</f>
        <v>7006</v>
      </c>
      <c r="C420">
        <f ca="1">IF(表_网址[[#This Row],[次要关键词]]="",10,MATCH(表_网址[[#This Row],[次要关键词]],序列_次要关键词,0)+10)</f>
        <v>11</v>
      </c>
      <c r="D420">
        <f>IF(表_网址[[#This Row],[重点关键词]]="",10,MATCH(表_网址[[#This Row],[重点关键词]],序列_重点关键词,0)+10)</f>
        <v>10</v>
      </c>
      <c r="E420">
        <f>IF(AND(表_网址[[#This Row],[首要关键词]]=K419,表_网址[[#This Row],[次要关键词]]=L419,表_网址[[#This Row],[重点关键词]]=M419),E419+1,IF(表_网址[[#This Row],[重点关键词]]="",100,101))</f>
        <v>104</v>
      </c>
      <c r="F420" t="s">
        <v>515</v>
      </c>
      <c r="G420" t="s">
        <v>516</v>
      </c>
      <c r="H420" t="s">
        <v>29</v>
      </c>
      <c r="I420" t="s">
        <v>517</v>
      </c>
      <c r="J420" t="s">
        <v>23</v>
      </c>
      <c r="K420" t="s">
        <v>498</v>
      </c>
      <c r="L420" t="s">
        <v>502</v>
      </c>
      <c r="N420">
        <v>999</v>
      </c>
      <c r="O420">
        <v>999</v>
      </c>
      <c r="Q420">
        <v>16</v>
      </c>
      <c r="R420" t="s">
        <v>507</v>
      </c>
      <c r="S420" t="s">
        <v>508</v>
      </c>
    </row>
    <row r="421" spans="1:19" x14ac:dyDescent="0.2">
      <c r="A421" t="str">
        <f ca="1">表_网址[[#This Row],[1级]]&amp;"-"&amp;表_网址[[#This Row],[2级]]&amp;"-"&amp;表_网址[[#This Row],[3级]]&amp;"-"&amp;表_网址[[#This Row],[级内]]</f>
        <v>7006-11-10-105</v>
      </c>
      <c r="B421">
        <f ca="1">MATCH(表_网址[[#This Row],[版层分类]],序列_版层分类,0)*1000+MATCH(表_网址[[#This Row],[首要关键词]],序列_首要关键词,0)</f>
        <v>7006</v>
      </c>
      <c r="C421">
        <f ca="1">IF(表_网址[[#This Row],[次要关键词]]="",10,MATCH(表_网址[[#This Row],[次要关键词]],序列_次要关键词,0)+10)</f>
        <v>11</v>
      </c>
      <c r="D421">
        <f>IF(表_网址[[#This Row],[重点关键词]]="",10,MATCH(表_网址[[#This Row],[重点关键词]],序列_重点关键词,0)+10)</f>
        <v>10</v>
      </c>
      <c r="E421">
        <f>IF(AND(表_网址[[#This Row],[首要关键词]]=K420,表_网址[[#This Row],[次要关键词]]=L420,表_网址[[#This Row],[重点关键词]]=M420),E420+1,IF(表_网址[[#This Row],[重点关键词]]="",100,101))</f>
        <v>105</v>
      </c>
      <c r="F421" t="s">
        <v>518</v>
      </c>
      <c r="G421" t="s">
        <v>197</v>
      </c>
      <c r="H421" t="s">
        <v>29</v>
      </c>
      <c r="I421" t="s">
        <v>198</v>
      </c>
      <c r="J421" t="s">
        <v>23</v>
      </c>
      <c r="K421" t="s">
        <v>498</v>
      </c>
      <c r="L421" t="s">
        <v>502</v>
      </c>
      <c r="N421">
        <v>999</v>
      </c>
      <c r="O421">
        <v>999</v>
      </c>
      <c r="Q421">
        <v>16</v>
      </c>
      <c r="R421" t="s">
        <v>507</v>
      </c>
      <c r="S421" t="s">
        <v>508</v>
      </c>
    </row>
    <row r="422" spans="1:19" x14ac:dyDescent="0.2">
      <c r="A422" t="str">
        <f ca="1">表_网址[[#This Row],[1级]]&amp;"-"&amp;表_网址[[#This Row],[2级]]&amp;"-"&amp;表_网址[[#This Row],[3级]]&amp;"-"&amp;表_网址[[#This Row],[级内]]</f>
        <v>7006-11-10-106</v>
      </c>
      <c r="B422">
        <f ca="1">MATCH(表_网址[[#This Row],[版层分类]],序列_版层分类,0)*1000+MATCH(表_网址[[#This Row],[首要关键词]],序列_首要关键词,0)</f>
        <v>7006</v>
      </c>
      <c r="C422">
        <f ca="1">IF(表_网址[[#This Row],[次要关键词]]="",10,MATCH(表_网址[[#This Row],[次要关键词]],序列_次要关键词,0)+10)</f>
        <v>11</v>
      </c>
      <c r="D422">
        <f>IF(表_网址[[#This Row],[重点关键词]]="",10,MATCH(表_网址[[#This Row],[重点关键词]],序列_重点关键词,0)+10)</f>
        <v>10</v>
      </c>
      <c r="E422">
        <f>IF(AND(表_网址[[#This Row],[首要关键词]]=K421,表_网址[[#This Row],[次要关键词]]=L421,表_网址[[#This Row],[重点关键词]]=M421),E421+1,IF(表_网址[[#This Row],[重点关键词]]="",100,101))</f>
        <v>106</v>
      </c>
      <c r="F422" t="s">
        <v>499</v>
      </c>
      <c r="G422" t="s">
        <v>500</v>
      </c>
      <c r="H422" t="s">
        <v>29</v>
      </c>
      <c r="I422" t="s">
        <v>501</v>
      </c>
      <c r="J422" t="s">
        <v>23</v>
      </c>
      <c r="K422" t="s">
        <v>498</v>
      </c>
      <c r="L422" t="s">
        <v>502</v>
      </c>
      <c r="N422">
        <v>999</v>
      </c>
      <c r="O422">
        <v>999</v>
      </c>
      <c r="Q422">
        <v>32</v>
      </c>
      <c r="R422" t="s">
        <v>507</v>
      </c>
      <c r="S422" t="s">
        <v>508</v>
      </c>
    </row>
    <row r="423" spans="1:19" x14ac:dyDescent="0.2">
      <c r="A423" t="str">
        <f ca="1">表_网址[[#This Row],[1级]]&amp;"-"&amp;表_网址[[#This Row],[2级]]&amp;"-"&amp;表_网址[[#This Row],[3级]]&amp;"-"&amp;表_网址[[#This Row],[级内]]</f>
        <v>7006-11-10-107</v>
      </c>
      <c r="B423">
        <f ca="1">MATCH(表_网址[[#This Row],[版层分类]],序列_版层分类,0)*1000+MATCH(表_网址[[#This Row],[首要关键词]],序列_首要关键词,0)</f>
        <v>7006</v>
      </c>
      <c r="C423">
        <f ca="1">IF(表_网址[[#This Row],[次要关键词]]="",10,MATCH(表_网址[[#This Row],[次要关键词]],序列_次要关键词,0)+10)</f>
        <v>11</v>
      </c>
      <c r="D423">
        <f>IF(表_网址[[#This Row],[重点关键词]]="",10,MATCH(表_网址[[#This Row],[重点关键词]],序列_重点关键词,0)+10)</f>
        <v>10</v>
      </c>
      <c r="E423">
        <f>IF(AND(表_网址[[#This Row],[首要关键词]]=K422,表_网址[[#This Row],[次要关键词]]=L422,表_网址[[#This Row],[重点关键词]]=M422),E422+1,IF(表_网址[[#This Row],[重点关键词]]="",100,101))</f>
        <v>107</v>
      </c>
      <c r="F423" t="s">
        <v>495</v>
      </c>
      <c r="G423" t="s">
        <v>496</v>
      </c>
      <c r="H423" t="s">
        <v>29</v>
      </c>
      <c r="I423" t="s">
        <v>497</v>
      </c>
      <c r="J423" t="s">
        <v>23</v>
      </c>
      <c r="K423" t="s">
        <v>498</v>
      </c>
      <c r="L423" t="s">
        <v>502</v>
      </c>
      <c r="N423">
        <v>999</v>
      </c>
      <c r="O423">
        <v>999</v>
      </c>
      <c r="Q423">
        <v>64</v>
      </c>
      <c r="R423" t="s">
        <v>507</v>
      </c>
      <c r="S423" t="s">
        <v>508</v>
      </c>
    </row>
    <row r="424" spans="1:19" x14ac:dyDescent="0.2">
      <c r="A424" t="str">
        <f ca="1">表_网址[[#This Row],[1级]]&amp;"-"&amp;表_网址[[#This Row],[2级]]&amp;"-"&amp;表_网址[[#This Row],[3级]]&amp;"-"&amp;表_网址[[#This Row],[级内]]</f>
        <v>7006-11-10-108</v>
      </c>
      <c r="B424">
        <f ca="1">MATCH(表_网址[[#This Row],[版层分类]],序列_版层分类,0)*1000+MATCH(表_网址[[#This Row],[首要关键词]],序列_首要关键词,0)</f>
        <v>7006</v>
      </c>
      <c r="C424">
        <f ca="1">IF(表_网址[[#This Row],[次要关键词]]="",10,MATCH(表_网址[[#This Row],[次要关键词]],序列_次要关键词,0)+10)</f>
        <v>11</v>
      </c>
      <c r="D424">
        <f>IF(表_网址[[#This Row],[重点关键词]]="",10,MATCH(表_网址[[#This Row],[重点关键词]],序列_重点关键词,0)+10)</f>
        <v>10</v>
      </c>
      <c r="E424">
        <f>IF(AND(表_网址[[#This Row],[首要关键词]]=K423,表_网址[[#This Row],[次要关键词]]=L423,表_网址[[#This Row],[重点关键词]]=M423),E423+1,IF(表_网址[[#This Row],[重点关键词]]="",100,101))</f>
        <v>108</v>
      </c>
      <c r="F424" t="s">
        <v>519</v>
      </c>
      <c r="G424" t="s">
        <v>520</v>
      </c>
      <c r="H424" t="s">
        <v>29</v>
      </c>
      <c r="I424" t="s">
        <v>521</v>
      </c>
      <c r="J424" t="s">
        <v>23</v>
      </c>
      <c r="K424" t="s">
        <v>498</v>
      </c>
      <c r="L424" t="s">
        <v>502</v>
      </c>
      <c r="N424">
        <v>999</v>
      </c>
      <c r="Q424">
        <v>16</v>
      </c>
      <c r="R424" t="s">
        <v>507</v>
      </c>
      <c r="S424" t="s">
        <v>508</v>
      </c>
    </row>
    <row r="425" spans="1:19" x14ac:dyDescent="0.2">
      <c r="A425" t="str">
        <f ca="1">表_网址[[#This Row],[1级]]&amp;"-"&amp;表_网址[[#This Row],[2级]]&amp;"-"&amp;表_网址[[#This Row],[3级]]&amp;"-"&amp;表_网址[[#This Row],[级内]]</f>
        <v>7006-11-10-109</v>
      </c>
      <c r="B425">
        <f ca="1">MATCH(表_网址[[#This Row],[版层分类]],序列_版层分类,0)*1000+MATCH(表_网址[[#This Row],[首要关键词]],序列_首要关键词,0)</f>
        <v>7006</v>
      </c>
      <c r="C425">
        <f ca="1">IF(表_网址[[#This Row],[次要关键词]]="",10,MATCH(表_网址[[#This Row],[次要关键词]],序列_次要关键词,0)+10)</f>
        <v>11</v>
      </c>
      <c r="D425">
        <f>IF(表_网址[[#This Row],[重点关键词]]="",10,MATCH(表_网址[[#This Row],[重点关键词]],序列_重点关键词,0)+10)</f>
        <v>10</v>
      </c>
      <c r="E425">
        <f>IF(AND(表_网址[[#This Row],[首要关键词]]=K424,表_网址[[#This Row],[次要关键词]]=L424,表_网址[[#This Row],[重点关键词]]=M424),E424+1,IF(表_网址[[#This Row],[重点关键词]]="",100,101))</f>
        <v>109</v>
      </c>
      <c r="F425" t="s">
        <v>522</v>
      </c>
      <c r="G425" t="s">
        <v>523</v>
      </c>
      <c r="H425" t="s">
        <v>29</v>
      </c>
      <c r="I425" t="s">
        <v>524</v>
      </c>
      <c r="J425" t="s">
        <v>23</v>
      </c>
      <c r="K425" t="s">
        <v>498</v>
      </c>
      <c r="L425" t="s">
        <v>502</v>
      </c>
      <c r="N425">
        <v>999</v>
      </c>
      <c r="R425" t="s">
        <v>507</v>
      </c>
      <c r="S425" t="s">
        <v>508</v>
      </c>
    </row>
    <row r="426" spans="1:19" x14ac:dyDescent="0.2">
      <c r="A426" t="str">
        <f ca="1">表_网址[[#This Row],[1级]]&amp;"-"&amp;表_网址[[#This Row],[2级]]&amp;"-"&amp;表_网址[[#This Row],[3级]]&amp;"-"&amp;表_网址[[#This Row],[级内]]</f>
        <v>7006-11-10-110</v>
      </c>
      <c r="B426">
        <f ca="1">MATCH(表_网址[[#This Row],[版层分类]],序列_版层分类,0)*1000+MATCH(表_网址[[#This Row],[首要关键词]],序列_首要关键词,0)</f>
        <v>7006</v>
      </c>
      <c r="C426">
        <f ca="1">IF(表_网址[[#This Row],[次要关键词]]="",10,MATCH(表_网址[[#This Row],[次要关键词]],序列_次要关键词,0)+10)</f>
        <v>11</v>
      </c>
      <c r="D426">
        <f>IF(表_网址[[#This Row],[重点关键词]]="",10,MATCH(表_网址[[#This Row],[重点关键词]],序列_重点关键词,0)+10)</f>
        <v>10</v>
      </c>
      <c r="E426">
        <f>IF(AND(表_网址[[#This Row],[首要关键词]]=K425,表_网址[[#This Row],[次要关键词]]=L425,表_网址[[#This Row],[重点关键词]]=M425),E425+1,IF(表_网址[[#This Row],[重点关键词]]="",100,101))</f>
        <v>110</v>
      </c>
      <c r="F426" t="s">
        <v>525</v>
      </c>
      <c r="G426" t="s">
        <v>526</v>
      </c>
      <c r="H426" t="s">
        <v>29</v>
      </c>
      <c r="I426" t="s">
        <v>527</v>
      </c>
      <c r="J426" t="s">
        <v>23</v>
      </c>
      <c r="K426" t="s">
        <v>498</v>
      </c>
      <c r="L426" t="s">
        <v>502</v>
      </c>
      <c r="N426">
        <v>999</v>
      </c>
      <c r="Q426">
        <v>16</v>
      </c>
      <c r="R426" t="s">
        <v>507</v>
      </c>
      <c r="S426" t="s">
        <v>508</v>
      </c>
    </row>
    <row r="427" spans="1:19" x14ac:dyDescent="0.2">
      <c r="A427" t="str">
        <f ca="1">表_网址[[#This Row],[1级]]&amp;"-"&amp;表_网址[[#This Row],[2级]]&amp;"-"&amp;表_网址[[#This Row],[3级]]&amp;"-"&amp;表_网址[[#This Row],[级内]]</f>
        <v>7006-11-10-111</v>
      </c>
      <c r="B427">
        <f ca="1">MATCH(表_网址[[#This Row],[版层分类]],序列_版层分类,0)*1000+MATCH(表_网址[[#This Row],[首要关键词]],序列_首要关键词,0)</f>
        <v>7006</v>
      </c>
      <c r="C427">
        <f ca="1">IF(表_网址[[#This Row],[次要关键词]]="",10,MATCH(表_网址[[#This Row],[次要关键词]],序列_次要关键词,0)+10)</f>
        <v>11</v>
      </c>
      <c r="D427">
        <f>IF(表_网址[[#This Row],[重点关键词]]="",10,MATCH(表_网址[[#This Row],[重点关键词]],序列_重点关键词,0)+10)</f>
        <v>10</v>
      </c>
      <c r="E427">
        <f>IF(AND(表_网址[[#This Row],[首要关键词]]=K426,表_网址[[#This Row],[次要关键词]]=L426,表_网址[[#This Row],[重点关键词]]=M426),E426+1,IF(表_网址[[#This Row],[重点关键词]]="",100,101))</f>
        <v>111</v>
      </c>
      <c r="F427" t="s">
        <v>528</v>
      </c>
      <c r="G427" t="s">
        <v>529</v>
      </c>
      <c r="H427" t="s">
        <v>29</v>
      </c>
      <c r="I427" t="s">
        <v>530</v>
      </c>
      <c r="J427" t="s">
        <v>23</v>
      </c>
      <c r="K427" t="s">
        <v>498</v>
      </c>
      <c r="L427" t="s">
        <v>502</v>
      </c>
      <c r="N427">
        <v>999</v>
      </c>
      <c r="O427">
        <v>999</v>
      </c>
      <c r="Q427">
        <v>16</v>
      </c>
      <c r="R427" t="s">
        <v>507</v>
      </c>
      <c r="S427" t="s">
        <v>508</v>
      </c>
    </row>
    <row r="428" spans="1:19" x14ac:dyDescent="0.2">
      <c r="A428" t="str">
        <f ca="1">表_网址[[#This Row],[1级]]&amp;"-"&amp;表_网址[[#This Row],[2级]]&amp;"-"&amp;表_网址[[#This Row],[3级]]&amp;"-"&amp;表_网址[[#This Row],[级内]]</f>
        <v>7006-11-10-112</v>
      </c>
      <c r="B428">
        <f ca="1">MATCH(表_网址[[#This Row],[版层分类]],序列_版层分类,0)*1000+MATCH(表_网址[[#This Row],[首要关键词]],序列_首要关键词,0)</f>
        <v>7006</v>
      </c>
      <c r="C428">
        <f ca="1">IF(表_网址[[#This Row],[次要关键词]]="",10,MATCH(表_网址[[#This Row],[次要关键词]],序列_次要关键词,0)+10)</f>
        <v>11</v>
      </c>
      <c r="D428">
        <f>IF(表_网址[[#This Row],[重点关键词]]="",10,MATCH(表_网址[[#This Row],[重点关键词]],序列_重点关键词,0)+10)</f>
        <v>10</v>
      </c>
      <c r="E428">
        <f>IF(AND(表_网址[[#This Row],[首要关键词]]=K427,表_网址[[#This Row],[次要关键词]]=L427,表_网址[[#This Row],[重点关键词]]=M427),E427+1,IF(表_网址[[#This Row],[重点关键词]]="",100,101))</f>
        <v>112</v>
      </c>
      <c r="F428" t="s">
        <v>531</v>
      </c>
      <c r="G428" t="s">
        <v>532</v>
      </c>
      <c r="H428" t="s">
        <v>29</v>
      </c>
      <c r="I428" t="s">
        <v>533</v>
      </c>
      <c r="J428" t="s">
        <v>23</v>
      </c>
      <c r="K428" t="s">
        <v>498</v>
      </c>
      <c r="L428" t="s">
        <v>502</v>
      </c>
      <c r="N428">
        <v>999</v>
      </c>
      <c r="Q428">
        <v>32</v>
      </c>
      <c r="R428" t="s">
        <v>507</v>
      </c>
      <c r="S428" t="s">
        <v>508</v>
      </c>
    </row>
    <row r="429" spans="1:19" x14ac:dyDescent="0.2">
      <c r="A429" t="str">
        <f ca="1">表_网址[[#This Row],[1级]]&amp;"-"&amp;表_网址[[#This Row],[2级]]&amp;"-"&amp;表_网址[[#This Row],[3级]]&amp;"-"&amp;表_网址[[#This Row],[级内]]</f>
        <v>7006-11-10-113</v>
      </c>
      <c r="B429">
        <f ca="1">MATCH(表_网址[[#This Row],[版层分类]],序列_版层分类,0)*1000+MATCH(表_网址[[#This Row],[首要关键词]],序列_首要关键词,0)</f>
        <v>7006</v>
      </c>
      <c r="C429">
        <f ca="1">IF(表_网址[[#This Row],[次要关键词]]="",10,MATCH(表_网址[[#This Row],[次要关键词]],序列_次要关键词,0)+10)</f>
        <v>11</v>
      </c>
      <c r="D429">
        <f>IF(表_网址[[#This Row],[重点关键词]]="",10,MATCH(表_网址[[#This Row],[重点关键词]],序列_重点关键词,0)+10)</f>
        <v>10</v>
      </c>
      <c r="E429">
        <f>IF(AND(表_网址[[#This Row],[首要关键词]]=K428,表_网址[[#This Row],[次要关键词]]=L428,表_网址[[#This Row],[重点关键词]]=M428),E428+1,IF(表_网址[[#This Row],[重点关键词]]="",100,101))</f>
        <v>113</v>
      </c>
      <c r="F429" t="s">
        <v>534</v>
      </c>
      <c r="G429" t="s">
        <v>535</v>
      </c>
      <c r="H429" t="s">
        <v>29</v>
      </c>
      <c r="I429" t="s">
        <v>536</v>
      </c>
      <c r="J429" t="s">
        <v>23</v>
      </c>
      <c r="K429" t="s">
        <v>498</v>
      </c>
      <c r="L429" t="s">
        <v>502</v>
      </c>
      <c r="N429">
        <v>999</v>
      </c>
      <c r="Q429">
        <v>32</v>
      </c>
      <c r="R429" t="s">
        <v>507</v>
      </c>
      <c r="S429" t="s">
        <v>508</v>
      </c>
    </row>
    <row r="430" spans="1:19" x14ac:dyDescent="0.2">
      <c r="A430" t="str">
        <f ca="1">表_网址[[#This Row],[1级]]&amp;"-"&amp;表_网址[[#This Row],[2级]]&amp;"-"&amp;表_网址[[#This Row],[3级]]&amp;"-"&amp;表_网址[[#This Row],[级内]]</f>
        <v>7006-11-10-114</v>
      </c>
      <c r="B430">
        <f ca="1">MATCH(表_网址[[#This Row],[版层分类]],序列_版层分类,0)*1000+MATCH(表_网址[[#This Row],[首要关键词]],序列_首要关键词,0)</f>
        <v>7006</v>
      </c>
      <c r="C430">
        <f ca="1">IF(表_网址[[#This Row],[次要关键词]]="",10,MATCH(表_网址[[#This Row],[次要关键词]],序列_次要关键词,0)+10)</f>
        <v>11</v>
      </c>
      <c r="D430">
        <f>IF(表_网址[[#This Row],[重点关键词]]="",10,MATCH(表_网址[[#This Row],[重点关键词]],序列_重点关键词,0)+10)</f>
        <v>10</v>
      </c>
      <c r="E430">
        <f>IF(AND(表_网址[[#This Row],[首要关键词]]=K429,表_网址[[#This Row],[次要关键词]]=L429,表_网址[[#This Row],[重点关键词]]=M429),E429+1,IF(表_网址[[#This Row],[重点关键词]]="",100,101))</f>
        <v>114</v>
      </c>
      <c r="F430" t="s">
        <v>537</v>
      </c>
      <c r="G430" t="s">
        <v>538</v>
      </c>
      <c r="H430" t="s">
        <v>29</v>
      </c>
      <c r="I430" t="s">
        <v>539</v>
      </c>
      <c r="J430" t="s">
        <v>23</v>
      </c>
      <c r="K430" t="s">
        <v>498</v>
      </c>
      <c r="L430" t="s">
        <v>502</v>
      </c>
      <c r="N430">
        <v>999</v>
      </c>
      <c r="Q430">
        <v>72</v>
      </c>
      <c r="R430" t="s">
        <v>507</v>
      </c>
      <c r="S430" t="s">
        <v>508</v>
      </c>
    </row>
    <row r="431" spans="1:19" x14ac:dyDescent="0.2">
      <c r="A431" t="str">
        <f ca="1">表_网址[[#This Row],[1级]]&amp;"-"&amp;表_网址[[#This Row],[2级]]&amp;"-"&amp;表_网址[[#This Row],[3级]]&amp;"-"&amp;表_网址[[#This Row],[级内]]</f>
        <v>7006-11-10-115</v>
      </c>
      <c r="B431">
        <f ca="1">MATCH(表_网址[[#This Row],[版层分类]],序列_版层分类,0)*1000+MATCH(表_网址[[#This Row],[首要关键词]],序列_首要关键词,0)</f>
        <v>7006</v>
      </c>
      <c r="C431">
        <f ca="1">IF(表_网址[[#This Row],[次要关键词]]="",10,MATCH(表_网址[[#This Row],[次要关键词]],序列_次要关键词,0)+10)</f>
        <v>11</v>
      </c>
      <c r="D431">
        <f>IF(表_网址[[#This Row],[重点关键词]]="",10,MATCH(表_网址[[#This Row],[重点关键词]],序列_重点关键词,0)+10)</f>
        <v>10</v>
      </c>
      <c r="E431">
        <f>IF(AND(表_网址[[#This Row],[首要关键词]]=K430,表_网址[[#This Row],[次要关键词]]=L430,表_网址[[#This Row],[重点关键词]]=M430),E430+1,IF(表_网址[[#This Row],[重点关键词]]="",100,101))</f>
        <v>115</v>
      </c>
      <c r="F431" t="s">
        <v>540</v>
      </c>
      <c r="G431" t="s">
        <v>541</v>
      </c>
      <c r="H431" t="s">
        <v>29</v>
      </c>
      <c r="I431" t="s">
        <v>542</v>
      </c>
      <c r="J431" t="s">
        <v>23</v>
      </c>
      <c r="K431" t="s">
        <v>498</v>
      </c>
      <c r="L431" t="s">
        <v>502</v>
      </c>
      <c r="N431">
        <v>999</v>
      </c>
      <c r="Q431">
        <v>16</v>
      </c>
      <c r="R431" t="s">
        <v>507</v>
      </c>
      <c r="S431" t="s">
        <v>508</v>
      </c>
    </row>
    <row r="432" spans="1:19" x14ac:dyDescent="0.2">
      <c r="A432" t="str">
        <f ca="1">表_网址[[#This Row],[1级]]&amp;"-"&amp;表_网址[[#This Row],[2级]]&amp;"-"&amp;表_网址[[#This Row],[3级]]&amp;"-"&amp;表_网址[[#This Row],[级内]]</f>
        <v>7006-12-10-100</v>
      </c>
      <c r="B432">
        <f ca="1">MATCH(表_网址[[#This Row],[版层分类]],序列_版层分类,0)*1000+MATCH(表_网址[[#This Row],[首要关键词]],序列_首要关键词,0)</f>
        <v>7006</v>
      </c>
      <c r="C432">
        <f ca="1">IF(表_网址[[#This Row],[次要关键词]]="",10,MATCH(表_网址[[#This Row],[次要关键词]],序列_次要关键词,0)+10)</f>
        <v>12</v>
      </c>
      <c r="D432">
        <f>IF(表_网址[[#This Row],[重点关键词]]="",10,MATCH(表_网址[[#This Row],[重点关键词]],序列_重点关键词,0)+10)</f>
        <v>10</v>
      </c>
      <c r="E432">
        <f>IF(AND(表_网址[[#This Row],[首要关键词]]=K431,表_网址[[#This Row],[次要关键词]]=L431,表_网址[[#This Row],[重点关键词]]=M431),E431+1,IF(表_网址[[#This Row],[重点关键词]]="",100,101))</f>
        <v>100</v>
      </c>
      <c r="F432" t="s">
        <v>1296</v>
      </c>
      <c r="G432" t="s">
        <v>1297</v>
      </c>
      <c r="H432" t="s">
        <v>29</v>
      </c>
      <c r="J432" t="s">
        <v>23</v>
      </c>
      <c r="K432" t="s">
        <v>498</v>
      </c>
      <c r="L432" t="s">
        <v>734</v>
      </c>
      <c r="N432">
        <v>999</v>
      </c>
      <c r="R432" t="s">
        <v>507</v>
      </c>
      <c r="S432" t="s">
        <v>508</v>
      </c>
    </row>
    <row r="433" spans="1:17" x14ac:dyDescent="0.2">
      <c r="A433" t="str">
        <f ca="1">表_网址[[#This Row],[1级]]&amp;"-"&amp;表_网址[[#This Row],[2级]]&amp;"-"&amp;表_网址[[#This Row],[3级]]&amp;"-"&amp;表_网址[[#This Row],[级内]]</f>
        <v>8001-10-10-100</v>
      </c>
      <c r="B433">
        <f ca="1">MATCH(表_网址[[#This Row],[版层分类]],序列_版层分类,0)*1000+MATCH(表_网址[[#This Row],[首要关键词]],序列_首要关键词,0)</f>
        <v>8001</v>
      </c>
      <c r="C433">
        <f>IF(表_网址[[#This Row],[次要关键词]]="",10,MATCH(表_网址[[#This Row],[次要关键词]],序列_次要关键词,0)+10)</f>
        <v>10</v>
      </c>
      <c r="D433">
        <f>IF(表_网址[[#This Row],[重点关键词]]="",10,MATCH(表_网址[[#This Row],[重点关键词]],序列_重点关键词,0)+10)</f>
        <v>10</v>
      </c>
      <c r="E433">
        <f>IF(AND(表_网址[[#This Row],[首要关键词]]=K432,表_网址[[#This Row],[次要关键词]]=L432,表_网址[[#This Row],[重点关键词]]=M432),E432+1,IF(表_网址[[#This Row],[重点关键词]]="",100,101))</f>
        <v>100</v>
      </c>
      <c r="F433" t="s">
        <v>1044</v>
      </c>
      <c r="G433" t="s">
        <v>1045</v>
      </c>
      <c r="H433" t="s">
        <v>29</v>
      </c>
      <c r="I433" t="s">
        <v>1046</v>
      </c>
      <c r="J433" t="s">
        <v>1692</v>
      </c>
      <c r="K433" t="s">
        <v>1047</v>
      </c>
      <c r="N433">
        <v>999</v>
      </c>
      <c r="O433">
        <v>999</v>
      </c>
      <c r="Q433">
        <v>32</v>
      </c>
    </row>
    <row r="434" spans="1:17" x14ac:dyDescent="0.2">
      <c r="A434" t="str">
        <f ca="1">表_网址[[#This Row],[1级]]&amp;"-"&amp;表_网址[[#This Row],[2级]]&amp;"-"&amp;表_网址[[#This Row],[3级]]&amp;"-"&amp;表_网址[[#This Row],[级内]]</f>
        <v>8001-10-10-101</v>
      </c>
      <c r="B434">
        <f ca="1">MATCH(表_网址[[#This Row],[版层分类]],序列_版层分类,0)*1000+MATCH(表_网址[[#This Row],[首要关键词]],序列_首要关键词,0)</f>
        <v>8001</v>
      </c>
      <c r="C434">
        <f>IF(表_网址[[#This Row],[次要关键词]]="",10,MATCH(表_网址[[#This Row],[次要关键词]],序列_次要关键词,0)+10)</f>
        <v>10</v>
      </c>
      <c r="D434">
        <f>IF(表_网址[[#This Row],[重点关键词]]="",10,MATCH(表_网址[[#This Row],[重点关键词]],序列_重点关键词,0)+10)</f>
        <v>10</v>
      </c>
      <c r="E434">
        <f>IF(AND(表_网址[[#This Row],[首要关键词]]=K433,表_网址[[#This Row],[次要关键词]]=L433,表_网址[[#This Row],[重点关键词]]=M433),E433+1,IF(表_网址[[#This Row],[重点关键词]]="",100,101))</f>
        <v>101</v>
      </c>
      <c r="F434" t="s">
        <v>1048</v>
      </c>
      <c r="G434" t="s">
        <v>1049</v>
      </c>
      <c r="I434" t="s">
        <v>1050</v>
      </c>
      <c r="J434" t="s">
        <v>1692</v>
      </c>
      <c r="K434" t="s">
        <v>1047</v>
      </c>
      <c r="N434">
        <v>999</v>
      </c>
      <c r="O434">
        <v>999</v>
      </c>
      <c r="Q434">
        <v>32</v>
      </c>
    </row>
    <row r="435" spans="1:17" x14ac:dyDescent="0.2">
      <c r="A435" t="str">
        <f ca="1">表_网址[[#This Row],[1级]]&amp;"-"&amp;表_网址[[#This Row],[2级]]&amp;"-"&amp;表_网址[[#This Row],[3级]]&amp;"-"&amp;表_网址[[#This Row],[级内]]</f>
        <v>8001-10-10-102</v>
      </c>
      <c r="B435">
        <f ca="1">MATCH(表_网址[[#This Row],[版层分类]],序列_版层分类,0)*1000+MATCH(表_网址[[#This Row],[首要关键词]],序列_首要关键词,0)</f>
        <v>8001</v>
      </c>
      <c r="C435">
        <f>IF(表_网址[[#This Row],[次要关键词]]="",10,MATCH(表_网址[[#This Row],[次要关键词]],序列_次要关键词,0)+10)</f>
        <v>10</v>
      </c>
      <c r="D435">
        <f>IF(表_网址[[#This Row],[重点关键词]]="",10,MATCH(表_网址[[#This Row],[重点关键词]],序列_重点关键词,0)+10)</f>
        <v>10</v>
      </c>
      <c r="E435">
        <f>IF(AND(表_网址[[#This Row],[首要关键词]]=K434,表_网址[[#This Row],[次要关键词]]=L434,表_网址[[#This Row],[重点关键词]]=M434),E434+1,IF(表_网址[[#This Row],[重点关键词]]="",100,101))</f>
        <v>102</v>
      </c>
      <c r="F435" t="s">
        <v>1051</v>
      </c>
      <c r="G435" t="s">
        <v>1052</v>
      </c>
      <c r="H435" t="s">
        <v>29</v>
      </c>
      <c r="I435" t="s">
        <v>1053</v>
      </c>
      <c r="J435" t="s">
        <v>1692</v>
      </c>
      <c r="K435" t="s">
        <v>1047</v>
      </c>
      <c r="N435">
        <v>999</v>
      </c>
      <c r="O435">
        <v>999</v>
      </c>
      <c r="Q435">
        <v>64</v>
      </c>
    </row>
    <row r="436" spans="1:17" x14ac:dyDescent="0.2">
      <c r="A436" t="str">
        <f ca="1">表_网址[[#This Row],[1级]]&amp;"-"&amp;表_网址[[#This Row],[2级]]&amp;"-"&amp;表_网址[[#This Row],[3级]]&amp;"-"&amp;表_网址[[#This Row],[级内]]</f>
        <v>8001-10-10-103</v>
      </c>
      <c r="B436">
        <f ca="1">MATCH(表_网址[[#This Row],[版层分类]],序列_版层分类,0)*1000+MATCH(表_网址[[#This Row],[首要关键词]],序列_首要关键词,0)</f>
        <v>8001</v>
      </c>
      <c r="C436">
        <f>IF(表_网址[[#This Row],[次要关键词]]="",10,MATCH(表_网址[[#This Row],[次要关键词]],序列_次要关键词,0)+10)</f>
        <v>10</v>
      </c>
      <c r="D436">
        <f>IF(表_网址[[#This Row],[重点关键词]]="",10,MATCH(表_网址[[#This Row],[重点关键词]],序列_重点关键词,0)+10)</f>
        <v>10</v>
      </c>
      <c r="E436">
        <f>IF(AND(表_网址[[#This Row],[首要关键词]]=K435,表_网址[[#This Row],[次要关键词]]=L435,表_网址[[#This Row],[重点关键词]]=M435),E435+1,IF(表_网址[[#This Row],[重点关键词]]="",100,101))</f>
        <v>103</v>
      </c>
      <c r="F436" t="s">
        <v>1054</v>
      </c>
      <c r="G436" t="s">
        <v>1055</v>
      </c>
      <c r="H436" t="s">
        <v>29</v>
      </c>
      <c r="I436" t="s">
        <v>1056</v>
      </c>
      <c r="J436" t="s">
        <v>1692</v>
      </c>
      <c r="K436" t="s">
        <v>1047</v>
      </c>
      <c r="N436">
        <v>999</v>
      </c>
      <c r="O436">
        <v>999</v>
      </c>
      <c r="Q436">
        <v>32</v>
      </c>
    </row>
    <row r="437" spans="1:17" x14ac:dyDescent="0.2">
      <c r="A437" t="str">
        <f ca="1">表_网址[[#This Row],[1级]]&amp;"-"&amp;表_网址[[#This Row],[2级]]&amp;"-"&amp;表_网址[[#This Row],[3级]]&amp;"-"&amp;表_网址[[#This Row],[级内]]</f>
        <v>8001-10-10-104</v>
      </c>
      <c r="B437">
        <f ca="1">MATCH(表_网址[[#This Row],[版层分类]],序列_版层分类,0)*1000+MATCH(表_网址[[#This Row],[首要关键词]],序列_首要关键词,0)</f>
        <v>8001</v>
      </c>
      <c r="C437">
        <f>IF(表_网址[[#This Row],[次要关键词]]="",10,MATCH(表_网址[[#This Row],[次要关键词]],序列_次要关键词,0)+10)</f>
        <v>10</v>
      </c>
      <c r="D437">
        <f>IF(表_网址[[#This Row],[重点关键词]]="",10,MATCH(表_网址[[#This Row],[重点关键词]],序列_重点关键词,0)+10)</f>
        <v>10</v>
      </c>
      <c r="E437">
        <f>IF(AND(表_网址[[#This Row],[首要关键词]]=K436,表_网址[[#This Row],[次要关键词]]=L436,表_网址[[#This Row],[重点关键词]]=M436),E436+1,IF(表_网址[[#This Row],[重点关键词]]="",100,101))</f>
        <v>104</v>
      </c>
      <c r="F437" t="s">
        <v>547</v>
      </c>
      <c r="G437" t="s">
        <v>548</v>
      </c>
      <c r="H437" t="s">
        <v>29</v>
      </c>
      <c r="I437" t="s">
        <v>549</v>
      </c>
      <c r="J437" t="s">
        <v>1692</v>
      </c>
      <c r="K437" t="s">
        <v>1047</v>
      </c>
      <c r="N437">
        <v>999</v>
      </c>
      <c r="O437">
        <v>999</v>
      </c>
      <c r="Q437">
        <v>32</v>
      </c>
    </row>
    <row r="438" spans="1:17" x14ac:dyDescent="0.2">
      <c r="A438" t="str">
        <f ca="1">表_网址[[#This Row],[1级]]&amp;"-"&amp;表_网址[[#This Row],[2级]]&amp;"-"&amp;表_网址[[#This Row],[3级]]&amp;"-"&amp;表_网址[[#This Row],[级内]]</f>
        <v>8001-10-10-105</v>
      </c>
      <c r="B438">
        <f ca="1">MATCH(表_网址[[#This Row],[版层分类]],序列_版层分类,0)*1000+MATCH(表_网址[[#This Row],[首要关键词]],序列_首要关键词,0)</f>
        <v>8001</v>
      </c>
      <c r="C438">
        <f>IF(表_网址[[#This Row],[次要关键词]]="",10,MATCH(表_网址[[#This Row],[次要关键词]],序列_次要关键词,0)+10)</f>
        <v>10</v>
      </c>
      <c r="D438">
        <f>IF(表_网址[[#This Row],[重点关键词]]="",10,MATCH(表_网址[[#This Row],[重点关键词]],序列_重点关键词,0)+10)</f>
        <v>10</v>
      </c>
      <c r="E438">
        <f>IF(AND(表_网址[[#This Row],[首要关键词]]=K437,表_网址[[#This Row],[次要关键词]]=L437,表_网址[[#This Row],[重点关键词]]=M437),E437+1,IF(表_网址[[#This Row],[重点关键词]]="",100,101))</f>
        <v>105</v>
      </c>
      <c r="F438" t="s">
        <v>1057</v>
      </c>
      <c r="G438" t="s">
        <v>1058</v>
      </c>
      <c r="H438" t="s">
        <v>29</v>
      </c>
      <c r="I438" t="s">
        <v>1059</v>
      </c>
      <c r="J438" t="s">
        <v>1692</v>
      </c>
      <c r="K438" t="s">
        <v>1047</v>
      </c>
      <c r="N438">
        <v>999</v>
      </c>
      <c r="O438">
        <v>999</v>
      </c>
      <c r="Q438">
        <v>32</v>
      </c>
    </row>
    <row r="439" spans="1:17" x14ac:dyDescent="0.2">
      <c r="A439" t="str">
        <f ca="1">表_网址[[#This Row],[1级]]&amp;"-"&amp;表_网址[[#This Row],[2级]]&amp;"-"&amp;表_网址[[#This Row],[3级]]&amp;"-"&amp;表_网址[[#This Row],[级内]]</f>
        <v>8001-10-10-106</v>
      </c>
      <c r="B439">
        <f ca="1">MATCH(表_网址[[#This Row],[版层分类]],序列_版层分类,0)*1000+MATCH(表_网址[[#This Row],[首要关键词]],序列_首要关键词,0)</f>
        <v>8001</v>
      </c>
      <c r="C439">
        <f>IF(表_网址[[#This Row],[次要关键词]]="",10,MATCH(表_网址[[#This Row],[次要关键词]],序列_次要关键词,0)+10)</f>
        <v>10</v>
      </c>
      <c r="D439">
        <f>IF(表_网址[[#This Row],[重点关键词]]="",10,MATCH(表_网址[[#This Row],[重点关键词]],序列_重点关键词,0)+10)</f>
        <v>10</v>
      </c>
      <c r="E439">
        <f>IF(AND(表_网址[[#This Row],[首要关键词]]=K438,表_网址[[#This Row],[次要关键词]]=L438,表_网址[[#This Row],[重点关键词]]=M438),E438+1,IF(表_网址[[#This Row],[重点关键词]]="",100,101))</f>
        <v>106</v>
      </c>
      <c r="F439" t="s">
        <v>1060</v>
      </c>
      <c r="G439" t="s">
        <v>1061</v>
      </c>
      <c r="H439" t="s">
        <v>29</v>
      </c>
      <c r="I439" t="s">
        <v>1062</v>
      </c>
      <c r="J439" t="s">
        <v>1692</v>
      </c>
      <c r="K439" t="s">
        <v>1047</v>
      </c>
      <c r="N439">
        <v>999</v>
      </c>
      <c r="O439">
        <v>999</v>
      </c>
      <c r="Q439">
        <v>256</v>
      </c>
    </row>
    <row r="440" spans="1:17" x14ac:dyDescent="0.2">
      <c r="A440" t="str">
        <f ca="1">表_网址[[#This Row],[1级]]&amp;"-"&amp;表_网址[[#This Row],[2级]]&amp;"-"&amp;表_网址[[#This Row],[3级]]&amp;"-"&amp;表_网址[[#This Row],[级内]]</f>
        <v>8002-10-10-100</v>
      </c>
      <c r="B440">
        <f ca="1">MATCH(表_网址[[#This Row],[版层分类]],序列_版层分类,0)*1000+MATCH(表_网址[[#This Row],[首要关键词]],序列_首要关键词,0)</f>
        <v>8002</v>
      </c>
      <c r="C440">
        <f>IF(表_网址[[#This Row],[次要关键词]]="",10,MATCH(表_网址[[#This Row],[次要关键词]],序列_次要关键词,0)+10)</f>
        <v>10</v>
      </c>
      <c r="D440">
        <f>IF(表_网址[[#This Row],[重点关键词]]="",10,MATCH(表_网址[[#This Row],[重点关键词]],序列_重点关键词,0)+10)</f>
        <v>10</v>
      </c>
      <c r="E440">
        <f>IF(AND(表_网址[[#This Row],[首要关键词]]=K439,表_网址[[#This Row],[次要关键词]]=L439,表_网址[[#This Row],[重点关键词]]=M439),E439+1,IF(表_网址[[#This Row],[重点关键词]]="",100,101))</f>
        <v>100</v>
      </c>
      <c r="F440" t="s">
        <v>1063</v>
      </c>
      <c r="G440" t="s">
        <v>1064</v>
      </c>
      <c r="H440" t="s">
        <v>29</v>
      </c>
      <c r="I440" t="s">
        <v>1065</v>
      </c>
      <c r="J440" t="s">
        <v>1692</v>
      </c>
      <c r="K440" t="s">
        <v>1066</v>
      </c>
      <c r="N440">
        <v>999</v>
      </c>
      <c r="O440">
        <v>999</v>
      </c>
      <c r="Q440">
        <v>32</v>
      </c>
    </row>
    <row r="441" spans="1:17" x14ac:dyDescent="0.2">
      <c r="A441" t="str">
        <f ca="1">表_网址[[#This Row],[1级]]&amp;"-"&amp;表_网址[[#This Row],[2级]]&amp;"-"&amp;表_网址[[#This Row],[3级]]&amp;"-"&amp;表_网址[[#This Row],[级内]]</f>
        <v>8002-10-10-101</v>
      </c>
      <c r="B441">
        <f ca="1">MATCH(表_网址[[#This Row],[版层分类]],序列_版层分类,0)*1000+MATCH(表_网址[[#This Row],[首要关键词]],序列_首要关键词,0)</f>
        <v>8002</v>
      </c>
      <c r="C441">
        <f>IF(表_网址[[#This Row],[次要关键词]]="",10,MATCH(表_网址[[#This Row],[次要关键词]],序列_次要关键词,0)+10)</f>
        <v>10</v>
      </c>
      <c r="D441">
        <f>IF(表_网址[[#This Row],[重点关键词]]="",10,MATCH(表_网址[[#This Row],[重点关键词]],序列_重点关键词,0)+10)</f>
        <v>10</v>
      </c>
      <c r="E441">
        <f>IF(AND(表_网址[[#This Row],[首要关键词]]=K440,表_网址[[#This Row],[次要关键词]]=L440,表_网址[[#This Row],[重点关键词]]=M440),E440+1,IF(表_网址[[#This Row],[重点关键词]]="",100,101))</f>
        <v>101</v>
      </c>
      <c r="F441" t="s">
        <v>1067</v>
      </c>
      <c r="G441" t="s">
        <v>1068</v>
      </c>
      <c r="H441" t="s">
        <v>29</v>
      </c>
      <c r="I441" t="s">
        <v>1069</v>
      </c>
      <c r="J441" t="s">
        <v>1692</v>
      </c>
      <c r="K441" t="s">
        <v>1066</v>
      </c>
      <c r="N441">
        <v>999</v>
      </c>
      <c r="O441">
        <v>999</v>
      </c>
      <c r="Q441">
        <v>64</v>
      </c>
    </row>
    <row r="442" spans="1:17" x14ac:dyDescent="0.2">
      <c r="A442" t="str">
        <f ca="1">表_网址[[#This Row],[1级]]&amp;"-"&amp;表_网址[[#This Row],[2级]]&amp;"-"&amp;表_网址[[#This Row],[3级]]&amp;"-"&amp;表_网址[[#This Row],[级内]]</f>
        <v>8002-10-10-102</v>
      </c>
      <c r="B442">
        <f ca="1">MATCH(表_网址[[#This Row],[版层分类]],序列_版层分类,0)*1000+MATCH(表_网址[[#This Row],[首要关键词]],序列_首要关键词,0)</f>
        <v>8002</v>
      </c>
      <c r="C442">
        <f>IF(表_网址[[#This Row],[次要关键词]]="",10,MATCH(表_网址[[#This Row],[次要关键词]],序列_次要关键词,0)+10)</f>
        <v>10</v>
      </c>
      <c r="D442">
        <f>IF(表_网址[[#This Row],[重点关键词]]="",10,MATCH(表_网址[[#This Row],[重点关键词]],序列_重点关键词,0)+10)</f>
        <v>10</v>
      </c>
      <c r="E442">
        <f>IF(AND(表_网址[[#This Row],[首要关键词]]=K441,表_网址[[#This Row],[次要关键词]]=L441,表_网址[[#This Row],[重点关键词]]=M441),E441+1,IF(表_网址[[#This Row],[重点关键词]]="",100,101))</f>
        <v>102</v>
      </c>
      <c r="F442" t="s">
        <v>543</v>
      </c>
      <c r="G442" t="s">
        <v>544</v>
      </c>
      <c r="H442" t="s">
        <v>29</v>
      </c>
      <c r="I442" t="s">
        <v>545</v>
      </c>
      <c r="J442" t="s">
        <v>1692</v>
      </c>
      <c r="K442" t="s">
        <v>1066</v>
      </c>
      <c r="N442">
        <v>999</v>
      </c>
      <c r="O442">
        <v>999</v>
      </c>
      <c r="Q442">
        <v>64</v>
      </c>
    </row>
    <row r="443" spans="1:17" x14ac:dyDescent="0.2">
      <c r="A443" t="str">
        <f ca="1">表_网址[[#This Row],[1级]]&amp;"-"&amp;表_网址[[#This Row],[2级]]&amp;"-"&amp;表_网址[[#This Row],[3级]]&amp;"-"&amp;表_网址[[#This Row],[级内]]</f>
        <v>8002-10-10-103</v>
      </c>
      <c r="B443">
        <f ca="1">MATCH(表_网址[[#This Row],[版层分类]],序列_版层分类,0)*1000+MATCH(表_网址[[#This Row],[首要关键词]],序列_首要关键词,0)</f>
        <v>8002</v>
      </c>
      <c r="C443">
        <f>IF(表_网址[[#This Row],[次要关键词]]="",10,MATCH(表_网址[[#This Row],[次要关键词]],序列_次要关键词,0)+10)</f>
        <v>10</v>
      </c>
      <c r="D443">
        <f>IF(表_网址[[#This Row],[重点关键词]]="",10,MATCH(表_网址[[#This Row],[重点关键词]],序列_重点关键词,0)+10)</f>
        <v>10</v>
      </c>
      <c r="E443">
        <f>IF(AND(表_网址[[#This Row],[首要关键词]]=K442,表_网址[[#This Row],[次要关键词]]=L442,表_网址[[#This Row],[重点关键词]]=M442),E442+1,IF(表_网址[[#This Row],[重点关键词]]="",100,101))</f>
        <v>103</v>
      </c>
      <c r="F443" t="s">
        <v>1070</v>
      </c>
      <c r="G443" t="s">
        <v>1071</v>
      </c>
      <c r="H443" t="s">
        <v>29</v>
      </c>
      <c r="I443" t="s">
        <v>545</v>
      </c>
      <c r="J443" t="s">
        <v>1692</v>
      </c>
      <c r="K443" t="s">
        <v>1066</v>
      </c>
      <c r="N443">
        <v>999</v>
      </c>
      <c r="O443">
        <v>999</v>
      </c>
      <c r="Q443">
        <v>64</v>
      </c>
    </row>
    <row r="444" spans="1:17" x14ac:dyDescent="0.2">
      <c r="A444" t="str">
        <f ca="1">表_网址[[#This Row],[1级]]&amp;"-"&amp;表_网址[[#This Row],[2级]]&amp;"-"&amp;表_网址[[#This Row],[3级]]&amp;"-"&amp;表_网址[[#This Row],[级内]]</f>
        <v>8002-10-10-104</v>
      </c>
      <c r="B444">
        <f ca="1">MATCH(表_网址[[#This Row],[版层分类]],序列_版层分类,0)*1000+MATCH(表_网址[[#This Row],[首要关键词]],序列_首要关键词,0)</f>
        <v>8002</v>
      </c>
      <c r="C444">
        <f>IF(表_网址[[#This Row],[次要关键词]]="",10,MATCH(表_网址[[#This Row],[次要关键词]],序列_次要关键词,0)+10)</f>
        <v>10</v>
      </c>
      <c r="D444">
        <f>IF(表_网址[[#This Row],[重点关键词]]="",10,MATCH(表_网址[[#This Row],[重点关键词]],序列_重点关键词,0)+10)</f>
        <v>10</v>
      </c>
      <c r="E444">
        <f>IF(AND(表_网址[[#This Row],[首要关键词]]=K443,表_网址[[#This Row],[次要关键词]]=L443,表_网址[[#This Row],[重点关键词]]=M443),E443+1,IF(表_网址[[#This Row],[重点关键词]]="",100,101))</f>
        <v>104</v>
      </c>
      <c r="F444" t="s">
        <v>1072</v>
      </c>
      <c r="G444" t="s">
        <v>1073</v>
      </c>
      <c r="H444" t="s">
        <v>29</v>
      </c>
      <c r="I444" t="s">
        <v>1074</v>
      </c>
      <c r="J444" t="s">
        <v>1692</v>
      </c>
      <c r="K444" t="s">
        <v>1066</v>
      </c>
      <c r="N444">
        <v>999</v>
      </c>
      <c r="O444">
        <v>999</v>
      </c>
      <c r="Q444">
        <v>32</v>
      </c>
    </row>
    <row r="445" spans="1:17" x14ac:dyDescent="0.2">
      <c r="A445" t="str">
        <f ca="1">表_网址[[#This Row],[1级]]&amp;"-"&amp;表_网址[[#This Row],[2级]]&amp;"-"&amp;表_网址[[#This Row],[3级]]&amp;"-"&amp;表_网址[[#This Row],[级内]]</f>
        <v>8002-10-10-105</v>
      </c>
      <c r="B445">
        <f ca="1">MATCH(表_网址[[#This Row],[版层分类]],序列_版层分类,0)*1000+MATCH(表_网址[[#This Row],[首要关键词]],序列_首要关键词,0)</f>
        <v>8002</v>
      </c>
      <c r="C445">
        <f>IF(表_网址[[#This Row],[次要关键词]]="",10,MATCH(表_网址[[#This Row],[次要关键词]],序列_次要关键词,0)+10)</f>
        <v>10</v>
      </c>
      <c r="D445">
        <f>IF(表_网址[[#This Row],[重点关键词]]="",10,MATCH(表_网址[[#This Row],[重点关键词]],序列_重点关键词,0)+10)</f>
        <v>10</v>
      </c>
      <c r="E445">
        <f>IF(AND(表_网址[[#This Row],[首要关键词]]=K444,表_网址[[#This Row],[次要关键词]]=L444,表_网址[[#This Row],[重点关键词]]=M444),E444+1,IF(表_网址[[#This Row],[重点关键词]]="",100,101))</f>
        <v>105</v>
      </c>
      <c r="F445" t="s">
        <v>1067</v>
      </c>
      <c r="G445" t="s">
        <v>1068</v>
      </c>
      <c r="H445" t="s">
        <v>29</v>
      </c>
      <c r="I445" t="s">
        <v>1069</v>
      </c>
      <c r="J445" t="s">
        <v>1692</v>
      </c>
      <c r="K445" t="s">
        <v>1066</v>
      </c>
      <c r="N445">
        <v>999</v>
      </c>
      <c r="O445">
        <v>999</v>
      </c>
      <c r="Q445">
        <v>64</v>
      </c>
    </row>
    <row r="446" spans="1:17" x14ac:dyDescent="0.2">
      <c r="A446" t="str">
        <f ca="1">表_网址[[#This Row],[1级]]&amp;"-"&amp;表_网址[[#This Row],[2级]]&amp;"-"&amp;表_网址[[#This Row],[3级]]&amp;"-"&amp;表_网址[[#This Row],[级内]]</f>
        <v>8002-10-10-106</v>
      </c>
      <c r="B446">
        <f ca="1">MATCH(表_网址[[#This Row],[版层分类]],序列_版层分类,0)*1000+MATCH(表_网址[[#This Row],[首要关键词]],序列_首要关键词,0)</f>
        <v>8002</v>
      </c>
      <c r="C446">
        <f>IF(表_网址[[#This Row],[次要关键词]]="",10,MATCH(表_网址[[#This Row],[次要关键词]],序列_次要关键词,0)+10)</f>
        <v>10</v>
      </c>
      <c r="D446">
        <f>IF(表_网址[[#This Row],[重点关键词]]="",10,MATCH(表_网址[[#This Row],[重点关键词]],序列_重点关键词,0)+10)</f>
        <v>10</v>
      </c>
      <c r="E446">
        <f>IF(AND(表_网址[[#This Row],[首要关键词]]=K445,表_网址[[#This Row],[次要关键词]]=L445,表_网址[[#This Row],[重点关键词]]=M445),E445+1,IF(表_网址[[#This Row],[重点关键词]]="",100,101))</f>
        <v>106</v>
      </c>
      <c r="F446" t="s">
        <v>1075</v>
      </c>
      <c r="G446" t="s">
        <v>1076</v>
      </c>
      <c r="I446" t="s">
        <v>1077</v>
      </c>
      <c r="J446" t="s">
        <v>1692</v>
      </c>
      <c r="K446" t="s">
        <v>1066</v>
      </c>
      <c r="N446">
        <v>999</v>
      </c>
      <c r="O446">
        <v>999</v>
      </c>
      <c r="Q446">
        <v>64</v>
      </c>
    </row>
    <row r="447" spans="1:17" x14ac:dyDescent="0.2">
      <c r="A447" t="str">
        <f ca="1">表_网址[[#This Row],[1级]]&amp;"-"&amp;表_网址[[#This Row],[2级]]&amp;"-"&amp;表_网址[[#This Row],[3级]]&amp;"-"&amp;表_网址[[#This Row],[级内]]</f>
        <v>8002-10-10-107</v>
      </c>
      <c r="B447">
        <f ca="1">MATCH(表_网址[[#This Row],[版层分类]],序列_版层分类,0)*1000+MATCH(表_网址[[#This Row],[首要关键词]],序列_首要关键词,0)</f>
        <v>8002</v>
      </c>
      <c r="C447">
        <f>IF(表_网址[[#This Row],[次要关键词]]="",10,MATCH(表_网址[[#This Row],[次要关键词]],序列_次要关键词,0)+10)</f>
        <v>10</v>
      </c>
      <c r="D447">
        <f>IF(表_网址[[#This Row],[重点关键词]]="",10,MATCH(表_网址[[#This Row],[重点关键词]],序列_重点关键词,0)+10)</f>
        <v>10</v>
      </c>
      <c r="E447">
        <f>IF(AND(表_网址[[#This Row],[首要关键词]]=K446,表_网址[[#This Row],[次要关键词]]=L446,表_网址[[#This Row],[重点关键词]]=M446),E446+1,IF(表_网址[[#This Row],[重点关键词]]="",100,101))</f>
        <v>107</v>
      </c>
      <c r="F447" t="s">
        <v>1078</v>
      </c>
      <c r="G447" t="s">
        <v>1079</v>
      </c>
      <c r="I447" t="s">
        <v>1080</v>
      </c>
      <c r="J447" t="s">
        <v>1692</v>
      </c>
      <c r="K447" t="s">
        <v>1066</v>
      </c>
      <c r="N447">
        <v>999</v>
      </c>
      <c r="O447">
        <v>999</v>
      </c>
      <c r="Q447">
        <v>64</v>
      </c>
    </row>
    <row r="448" spans="1:17" x14ac:dyDescent="0.2">
      <c r="A448" t="str">
        <f ca="1">表_网址[[#This Row],[1级]]&amp;"-"&amp;表_网址[[#This Row],[2级]]&amp;"-"&amp;表_网址[[#This Row],[3级]]&amp;"-"&amp;表_网址[[#This Row],[级内]]</f>
        <v>8003-10-10-100</v>
      </c>
      <c r="B448">
        <f ca="1">MATCH(表_网址[[#This Row],[版层分类]],序列_版层分类,0)*1000+MATCH(表_网址[[#This Row],[首要关键词]],序列_首要关键词,0)</f>
        <v>8003</v>
      </c>
      <c r="C448">
        <f>IF(表_网址[[#This Row],[次要关键词]]="",10,MATCH(表_网址[[#This Row],[次要关键词]],序列_次要关键词,0)+10)</f>
        <v>10</v>
      </c>
      <c r="D448">
        <f>IF(表_网址[[#This Row],[重点关键词]]="",10,MATCH(表_网址[[#This Row],[重点关键词]],序列_重点关键词,0)+10)</f>
        <v>10</v>
      </c>
      <c r="E448">
        <f>IF(AND(表_网址[[#This Row],[首要关键词]]=K447,表_网址[[#This Row],[次要关键词]]=L447,表_网址[[#This Row],[重点关键词]]=M447),E447+1,IF(表_网址[[#This Row],[重点关键词]]="",100,101))</f>
        <v>100</v>
      </c>
      <c r="F448" t="s">
        <v>1081</v>
      </c>
      <c r="G448" t="s">
        <v>1082</v>
      </c>
      <c r="I448" t="s">
        <v>1083</v>
      </c>
      <c r="J448" t="s">
        <v>1692</v>
      </c>
      <c r="K448" t="s">
        <v>595</v>
      </c>
      <c r="N448">
        <v>999</v>
      </c>
      <c r="O448">
        <v>999</v>
      </c>
      <c r="Q448">
        <v>16</v>
      </c>
    </row>
    <row r="449" spans="1:19" x14ac:dyDescent="0.2">
      <c r="A449" t="str">
        <f ca="1">表_网址[[#This Row],[1级]]&amp;"-"&amp;表_网址[[#This Row],[2级]]&amp;"-"&amp;表_网址[[#This Row],[3级]]&amp;"-"&amp;表_网址[[#This Row],[级内]]</f>
        <v>8004-10-10-100</v>
      </c>
      <c r="B449">
        <f ca="1">MATCH(表_网址[[#This Row],[版层分类]],序列_版层分类,0)*1000+MATCH(表_网址[[#This Row],[首要关键词]],序列_首要关键词,0)</f>
        <v>8004</v>
      </c>
      <c r="C449">
        <f>IF(表_网址[[#This Row],[次要关键词]]="",10,MATCH(表_网址[[#This Row],[次要关键词]],序列_次要关键词,0)+10)</f>
        <v>10</v>
      </c>
      <c r="D449">
        <f>IF(表_网址[[#This Row],[重点关键词]]="",10,MATCH(表_网址[[#This Row],[重点关键词]],序列_重点关键词,0)+10)</f>
        <v>10</v>
      </c>
      <c r="E449">
        <f>IF(AND(表_网址[[#This Row],[首要关键词]]=K448,表_网址[[#This Row],[次要关键词]]=L448,表_网址[[#This Row],[重点关键词]]=M448),E448+1,IF(表_网址[[#This Row],[重点关键词]]="",100,101))</f>
        <v>100</v>
      </c>
      <c r="F449" t="s">
        <v>625</v>
      </c>
      <c r="G449" t="s">
        <v>626</v>
      </c>
      <c r="H449" t="s">
        <v>29</v>
      </c>
      <c r="I449" t="s">
        <v>627</v>
      </c>
      <c r="J449" t="s">
        <v>1692</v>
      </c>
      <c r="K449" t="s">
        <v>1776</v>
      </c>
      <c r="N449">
        <v>999</v>
      </c>
      <c r="O449">
        <v>999</v>
      </c>
      <c r="Q449">
        <v>16</v>
      </c>
    </row>
    <row r="450" spans="1:19" x14ac:dyDescent="0.2">
      <c r="A450" t="str">
        <f ca="1">表_网址[[#This Row],[1级]]&amp;"-"&amp;表_网址[[#This Row],[2级]]&amp;"-"&amp;表_网址[[#This Row],[3级]]&amp;"-"&amp;表_网址[[#This Row],[级内]]</f>
        <v>8005-10-10-100</v>
      </c>
      <c r="B450">
        <f ca="1">MATCH(表_网址[[#This Row],[版层分类]],序列_版层分类,0)*1000+MATCH(表_网址[[#This Row],[首要关键词]],序列_首要关键词,0)</f>
        <v>8005</v>
      </c>
      <c r="C450">
        <f>IF(表_网址[[#This Row],[次要关键词]]="",10,MATCH(表_网址[[#This Row],[次要关键词]],序列_次要关键词,0)+10)</f>
        <v>10</v>
      </c>
      <c r="D450">
        <f>IF(表_网址[[#This Row],[重点关键词]]="",10,MATCH(表_网址[[#This Row],[重点关键词]],序列_重点关键词,0)+10)</f>
        <v>10</v>
      </c>
      <c r="E450">
        <f>IF(AND(表_网址[[#This Row],[首要关键词]]=K449,表_网址[[#This Row],[次要关键词]]=L449,表_网址[[#This Row],[重点关键词]]=M449),E449+1,IF(表_网址[[#This Row],[重点关键词]]="",100,101))</f>
        <v>100</v>
      </c>
      <c r="F450" t="s">
        <v>1106</v>
      </c>
      <c r="G450" t="s">
        <v>1107</v>
      </c>
      <c r="I450" t="s">
        <v>1108</v>
      </c>
      <c r="J450" t="s">
        <v>1692</v>
      </c>
      <c r="K450" t="s">
        <v>1778</v>
      </c>
      <c r="N450">
        <v>999</v>
      </c>
      <c r="O450">
        <v>999</v>
      </c>
      <c r="Q450">
        <v>16</v>
      </c>
      <c r="R450" t="s">
        <v>507</v>
      </c>
      <c r="S450" t="s">
        <v>508</v>
      </c>
    </row>
    <row r="451" spans="1:19" x14ac:dyDescent="0.2">
      <c r="A451" t="str">
        <f ca="1">表_网址[[#This Row],[1级]]&amp;"-"&amp;表_网址[[#This Row],[2级]]&amp;"-"&amp;表_网址[[#This Row],[3级]]&amp;"-"&amp;表_网址[[#This Row],[级内]]</f>
        <v>9001-10-10-100</v>
      </c>
      <c r="B451">
        <f ca="1">MATCH(表_网址[[#This Row],[版层分类]],序列_版层分类,0)*1000+MATCH(表_网址[[#This Row],[首要关键词]],序列_首要关键词,0)</f>
        <v>9001</v>
      </c>
      <c r="C451">
        <f>IF(表_网址[[#This Row],[次要关键词]]="",10,MATCH(表_网址[[#This Row],[次要关键词]],序列_次要关键词,0)+10)</f>
        <v>10</v>
      </c>
      <c r="D451">
        <f>IF(表_网址[[#This Row],[重点关键词]]="",10,MATCH(表_网址[[#This Row],[重点关键词]],序列_重点关键词,0)+10)</f>
        <v>10</v>
      </c>
      <c r="E451">
        <f>IF(AND(表_网址[[#This Row],[首要关键词]]=K450,表_网址[[#This Row],[次要关键词]]=L450,表_网址[[#This Row],[重点关键词]]=M450),E450+1,IF(表_网址[[#This Row],[重点关键词]]="",100,101))</f>
        <v>100</v>
      </c>
      <c r="F451" t="s">
        <v>1284</v>
      </c>
      <c r="G451" t="s">
        <v>1285</v>
      </c>
      <c r="I451" t="s">
        <v>1286</v>
      </c>
      <c r="J451" t="s">
        <v>506</v>
      </c>
      <c r="K451" t="s">
        <v>1283</v>
      </c>
      <c r="N451">
        <v>999</v>
      </c>
      <c r="O451">
        <v>999</v>
      </c>
    </row>
    <row r="452" spans="1:19" x14ac:dyDescent="0.2">
      <c r="A452" t="str">
        <f ca="1">表_网址[[#This Row],[1级]]&amp;"-"&amp;表_网址[[#This Row],[2级]]&amp;"-"&amp;表_网址[[#This Row],[3级]]&amp;"-"&amp;表_网址[[#This Row],[级内]]</f>
        <v>9001-12-10-100</v>
      </c>
      <c r="B452">
        <f ca="1">MATCH(表_网址[[#This Row],[版层分类]],序列_版层分类,0)*1000+MATCH(表_网址[[#This Row],[首要关键词]],序列_首要关键词,0)</f>
        <v>9001</v>
      </c>
      <c r="C452">
        <f ca="1">IF(表_网址[[#This Row],[次要关键词]]="",10,MATCH(表_网址[[#This Row],[次要关键词]],序列_次要关键词,0)+10)</f>
        <v>12</v>
      </c>
      <c r="D452">
        <f>IF(表_网址[[#This Row],[重点关键词]]="",10,MATCH(表_网址[[#This Row],[重点关键词]],序列_重点关键词,0)+10)</f>
        <v>10</v>
      </c>
      <c r="E452">
        <f>IF(AND(表_网址[[#This Row],[首要关键词]]=K451,表_网址[[#This Row],[次要关键词]]=L451,表_网址[[#This Row],[重点关键词]]=M451),E451+1,IF(表_网址[[#This Row],[重点关键词]]="",100,101))</f>
        <v>100</v>
      </c>
      <c r="J452" t="s">
        <v>506</v>
      </c>
      <c r="K452" t="s">
        <v>1283</v>
      </c>
      <c r="L452" t="s">
        <v>1033</v>
      </c>
    </row>
    <row r="453" spans="1:19" x14ac:dyDescent="0.2">
      <c r="A453" t="str">
        <f ca="1">表_网址[[#This Row],[1级]]&amp;"-"&amp;表_网址[[#This Row],[2级]]&amp;"-"&amp;表_网址[[#This Row],[3级]]&amp;"-"&amp;表_网址[[#This Row],[级内]]</f>
        <v>9001-12-11-101</v>
      </c>
      <c r="B453">
        <f ca="1">MATCH(表_网址[[#This Row],[版层分类]],序列_版层分类,0)*1000+MATCH(表_网址[[#This Row],[首要关键词]],序列_首要关键词,0)</f>
        <v>9001</v>
      </c>
      <c r="C453">
        <f ca="1">IF(表_网址[[#This Row],[次要关键词]]="",10,MATCH(表_网址[[#This Row],[次要关键词]],序列_次要关键词,0)+10)</f>
        <v>12</v>
      </c>
      <c r="D453">
        <f ca="1">IF(表_网址[[#This Row],[重点关键词]]="",10,MATCH(表_网址[[#This Row],[重点关键词]],序列_重点关键词,0)+10)</f>
        <v>11</v>
      </c>
      <c r="E453">
        <f>IF(AND(表_网址[[#This Row],[首要关键词]]=K452,表_网址[[#This Row],[次要关键词]]=L452,表_网址[[#This Row],[重点关键词]]=M452),E452+1,IF(表_网址[[#This Row],[重点关键词]]="",100,101))</f>
        <v>101</v>
      </c>
      <c r="F453" t="s">
        <v>1298</v>
      </c>
      <c r="G453" t="s">
        <v>1299</v>
      </c>
      <c r="H453" t="s">
        <v>1300</v>
      </c>
      <c r="J453" t="s">
        <v>506</v>
      </c>
      <c r="K453" t="s">
        <v>1283</v>
      </c>
      <c r="L453" t="s">
        <v>1033</v>
      </c>
      <c r="M453" t="s">
        <v>1301</v>
      </c>
      <c r="N453">
        <v>999</v>
      </c>
    </row>
    <row r="454" spans="1:19" x14ac:dyDescent="0.2">
      <c r="A454" t="str">
        <f ca="1">表_网址[[#This Row],[1级]]&amp;"-"&amp;表_网址[[#This Row],[2级]]&amp;"-"&amp;表_网址[[#This Row],[3级]]&amp;"-"&amp;表_网址[[#This Row],[级内]]</f>
        <v>9001-12-11-102</v>
      </c>
      <c r="B454">
        <f ca="1">MATCH(表_网址[[#This Row],[版层分类]],序列_版层分类,0)*1000+MATCH(表_网址[[#This Row],[首要关键词]],序列_首要关键词,0)</f>
        <v>9001</v>
      </c>
      <c r="C454">
        <f ca="1">IF(表_网址[[#This Row],[次要关键词]]="",10,MATCH(表_网址[[#This Row],[次要关键词]],序列_次要关键词,0)+10)</f>
        <v>12</v>
      </c>
      <c r="D454">
        <f ca="1">IF(表_网址[[#This Row],[重点关键词]]="",10,MATCH(表_网址[[#This Row],[重点关键词]],序列_重点关键词,0)+10)</f>
        <v>11</v>
      </c>
      <c r="E454">
        <f>IF(AND(表_网址[[#This Row],[首要关键词]]=K453,表_网址[[#This Row],[次要关键词]]=L453,表_网址[[#This Row],[重点关键词]]=M453),E453+1,IF(表_网址[[#This Row],[重点关键词]]="",100,101))</f>
        <v>102</v>
      </c>
      <c r="F454" t="s">
        <v>1302</v>
      </c>
      <c r="G454" t="s">
        <v>1303</v>
      </c>
      <c r="H454" t="s">
        <v>1304</v>
      </c>
      <c r="J454" t="s">
        <v>506</v>
      </c>
      <c r="K454" t="s">
        <v>1283</v>
      </c>
      <c r="L454" t="s">
        <v>1033</v>
      </c>
      <c r="M454" t="s">
        <v>1301</v>
      </c>
      <c r="N454">
        <v>999</v>
      </c>
    </row>
    <row r="455" spans="1:19" x14ac:dyDescent="0.2">
      <c r="A455" t="str">
        <f ca="1">表_网址[[#This Row],[1级]]&amp;"-"&amp;表_网址[[#This Row],[2级]]&amp;"-"&amp;表_网址[[#This Row],[3级]]&amp;"-"&amp;表_网址[[#This Row],[级内]]</f>
        <v>9001-12-11-103</v>
      </c>
      <c r="B455">
        <f ca="1">MATCH(表_网址[[#This Row],[版层分类]],序列_版层分类,0)*1000+MATCH(表_网址[[#This Row],[首要关键词]],序列_首要关键词,0)</f>
        <v>9001</v>
      </c>
      <c r="C455">
        <f ca="1">IF(表_网址[[#This Row],[次要关键词]]="",10,MATCH(表_网址[[#This Row],[次要关键词]],序列_次要关键词,0)+10)</f>
        <v>12</v>
      </c>
      <c r="D455">
        <f ca="1">IF(表_网址[[#This Row],[重点关键词]]="",10,MATCH(表_网址[[#This Row],[重点关键词]],序列_重点关键词,0)+10)</f>
        <v>11</v>
      </c>
      <c r="E455">
        <f>IF(AND(表_网址[[#This Row],[首要关键词]]=K454,表_网址[[#This Row],[次要关键词]]=L454,表_网址[[#This Row],[重点关键词]]=M454),E454+1,IF(表_网址[[#This Row],[重点关键词]]="",100,101))</f>
        <v>103</v>
      </c>
      <c r="F455" t="s">
        <v>1305</v>
      </c>
      <c r="G455" t="s">
        <v>1306</v>
      </c>
      <c r="H455" t="s">
        <v>1307</v>
      </c>
      <c r="J455" t="s">
        <v>506</v>
      </c>
      <c r="K455" t="s">
        <v>1283</v>
      </c>
      <c r="L455" t="s">
        <v>1033</v>
      </c>
      <c r="M455" t="s">
        <v>1301</v>
      </c>
      <c r="N455">
        <v>999</v>
      </c>
    </row>
    <row r="456" spans="1:19" x14ac:dyDescent="0.2">
      <c r="A456" t="str">
        <f ca="1">表_网址[[#This Row],[1级]]&amp;"-"&amp;表_网址[[#This Row],[2级]]&amp;"-"&amp;表_网址[[#This Row],[3级]]&amp;"-"&amp;表_网址[[#This Row],[级内]]</f>
        <v>9001-12-11-104</v>
      </c>
      <c r="B456">
        <f ca="1">MATCH(表_网址[[#This Row],[版层分类]],序列_版层分类,0)*1000+MATCH(表_网址[[#This Row],[首要关键词]],序列_首要关键词,0)</f>
        <v>9001</v>
      </c>
      <c r="C456">
        <f ca="1">IF(表_网址[[#This Row],[次要关键词]]="",10,MATCH(表_网址[[#This Row],[次要关键词]],序列_次要关键词,0)+10)</f>
        <v>12</v>
      </c>
      <c r="D456">
        <f ca="1">IF(表_网址[[#This Row],[重点关键词]]="",10,MATCH(表_网址[[#This Row],[重点关键词]],序列_重点关键词,0)+10)</f>
        <v>11</v>
      </c>
      <c r="E456">
        <f>IF(AND(表_网址[[#This Row],[首要关键词]]=K455,表_网址[[#This Row],[次要关键词]]=L455,表_网址[[#This Row],[重点关键词]]=M455),E455+1,IF(表_网址[[#This Row],[重点关键词]]="",100,101))</f>
        <v>104</v>
      </c>
      <c r="F456" t="s">
        <v>1308</v>
      </c>
      <c r="G456" t="s">
        <v>1309</v>
      </c>
      <c r="H456" t="s">
        <v>1310</v>
      </c>
      <c r="J456" t="s">
        <v>506</v>
      </c>
      <c r="K456" t="s">
        <v>1283</v>
      </c>
      <c r="L456" t="s">
        <v>1033</v>
      </c>
      <c r="M456" t="s">
        <v>1301</v>
      </c>
      <c r="N456">
        <v>999</v>
      </c>
    </row>
    <row r="457" spans="1:19" x14ac:dyDescent="0.2">
      <c r="A457" t="str">
        <f ca="1">表_网址[[#This Row],[1级]]&amp;"-"&amp;表_网址[[#This Row],[2级]]&amp;"-"&amp;表_网址[[#This Row],[3级]]&amp;"-"&amp;表_网址[[#This Row],[级内]]</f>
        <v>9001-12-12-101</v>
      </c>
      <c r="B457">
        <f ca="1">MATCH(表_网址[[#This Row],[版层分类]],序列_版层分类,0)*1000+MATCH(表_网址[[#This Row],[首要关键词]],序列_首要关键词,0)</f>
        <v>9001</v>
      </c>
      <c r="C457">
        <f ca="1">IF(表_网址[[#This Row],[次要关键词]]="",10,MATCH(表_网址[[#This Row],[次要关键词]],序列_次要关键词,0)+10)</f>
        <v>12</v>
      </c>
      <c r="D457">
        <f ca="1">IF(表_网址[[#This Row],[重点关键词]]="",10,MATCH(表_网址[[#This Row],[重点关键词]],序列_重点关键词,0)+10)</f>
        <v>12</v>
      </c>
      <c r="E457">
        <f>IF(AND(表_网址[[#This Row],[首要关键词]]=K456,表_网址[[#This Row],[次要关键词]]=L456,表_网址[[#This Row],[重点关键词]]=M456),E456+1,IF(表_网址[[#This Row],[重点关键词]]="",100,101))</f>
        <v>101</v>
      </c>
      <c r="F457" t="s">
        <v>1311</v>
      </c>
      <c r="G457" t="s">
        <v>1312</v>
      </c>
      <c r="J457" t="s">
        <v>506</v>
      </c>
      <c r="K457" t="s">
        <v>1283</v>
      </c>
      <c r="L457" t="s">
        <v>1033</v>
      </c>
      <c r="M457" t="s">
        <v>1313</v>
      </c>
      <c r="N457">
        <v>999</v>
      </c>
    </row>
    <row r="458" spans="1:19" x14ac:dyDescent="0.2">
      <c r="A458" t="str">
        <f ca="1">表_网址[[#This Row],[1级]]&amp;"-"&amp;表_网址[[#This Row],[2级]]&amp;"-"&amp;表_网址[[#This Row],[3级]]&amp;"-"&amp;表_网址[[#This Row],[级内]]</f>
        <v>9001-12-12-102</v>
      </c>
      <c r="B458">
        <f ca="1">MATCH(表_网址[[#This Row],[版层分类]],序列_版层分类,0)*1000+MATCH(表_网址[[#This Row],[首要关键词]],序列_首要关键词,0)</f>
        <v>9001</v>
      </c>
      <c r="C458">
        <f ca="1">IF(表_网址[[#This Row],[次要关键词]]="",10,MATCH(表_网址[[#This Row],[次要关键词]],序列_次要关键词,0)+10)</f>
        <v>12</v>
      </c>
      <c r="D458">
        <f ca="1">IF(表_网址[[#This Row],[重点关键词]]="",10,MATCH(表_网址[[#This Row],[重点关键词]],序列_重点关键词,0)+10)</f>
        <v>12</v>
      </c>
      <c r="E458">
        <f>IF(AND(表_网址[[#This Row],[首要关键词]]=K457,表_网址[[#This Row],[次要关键词]]=L457,表_网址[[#This Row],[重点关键词]]=M457),E457+1,IF(表_网址[[#This Row],[重点关键词]]="",100,101))</f>
        <v>102</v>
      </c>
      <c r="F458" t="s">
        <v>1314</v>
      </c>
      <c r="G458" t="s">
        <v>1315</v>
      </c>
      <c r="H458" t="s">
        <v>1316</v>
      </c>
      <c r="J458" t="s">
        <v>506</v>
      </c>
      <c r="K458" t="s">
        <v>1283</v>
      </c>
      <c r="L458" t="s">
        <v>1033</v>
      </c>
      <c r="M458" t="s">
        <v>1313</v>
      </c>
      <c r="N458">
        <v>999</v>
      </c>
    </row>
    <row r="459" spans="1:19" x14ac:dyDescent="0.2">
      <c r="A459" t="str">
        <f ca="1">表_网址[[#This Row],[1级]]&amp;"-"&amp;表_网址[[#This Row],[2级]]&amp;"-"&amp;表_网址[[#This Row],[3级]]&amp;"-"&amp;表_网址[[#This Row],[级内]]</f>
        <v>9001-12-12-103</v>
      </c>
      <c r="B459">
        <f ca="1">MATCH(表_网址[[#This Row],[版层分类]],序列_版层分类,0)*1000+MATCH(表_网址[[#This Row],[首要关键词]],序列_首要关键词,0)</f>
        <v>9001</v>
      </c>
      <c r="C459">
        <f ca="1">IF(表_网址[[#This Row],[次要关键词]]="",10,MATCH(表_网址[[#This Row],[次要关键词]],序列_次要关键词,0)+10)</f>
        <v>12</v>
      </c>
      <c r="D459">
        <f ca="1">IF(表_网址[[#This Row],[重点关键词]]="",10,MATCH(表_网址[[#This Row],[重点关键词]],序列_重点关键词,0)+10)</f>
        <v>12</v>
      </c>
      <c r="E459">
        <f>IF(AND(表_网址[[#This Row],[首要关键词]]=K458,表_网址[[#This Row],[次要关键词]]=L458,表_网址[[#This Row],[重点关键词]]=M458),E458+1,IF(表_网址[[#This Row],[重点关键词]]="",100,101))</f>
        <v>103</v>
      </c>
      <c r="F459" t="s">
        <v>1317</v>
      </c>
      <c r="G459" t="s">
        <v>1318</v>
      </c>
      <c r="H459" t="s">
        <v>1319</v>
      </c>
      <c r="J459" t="s">
        <v>506</v>
      </c>
      <c r="K459" t="s">
        <v>1283</v>
      </c>
      <c r="L459" t="s">
        <v>1033</v>
      </c>
      <c r="M459" t="s">
        <v>1313</v>
      </c>
      <c r="N459">
        <v>999</v>
      </c>
    </row>
    <row r="460" spans="1:19" x14ac:dyDescent="0.2">
      <c r="A460" t="str">
        <f ca="1">表_网址[[#This Row],[1级]]&amp;"-"&amp;表_网址[[#This Row],[2级]]&amp;"-"&amp;表_网址[[#This Row],[3级]]&amp;"-"&amp;表_网址[[#This Row],[级内]]</f>
        <v>9001-12-12-104</v>
      </c>
      <c r="B460">
        <f ca="1">MATCH(表_网址[[#This Row],[版层分类]],序列_版层分类,0)*1000+MATCH(表_网址[[#This Row],[首要关键词]],序列_首要关键词,0)</f>
        <v>9001</v>
      </c>
      <c r="C460">
        <f ca="1">IF(表_网址[[#This Row],[次要关键词]]="",10,MATCH(表_网址[[#This Row],[次要关键词]],序列_次要关键词,0)+10)</f>
        <v>12</v>
      </c>
      <c r="D460">
        <f ca="1">IF(表_网址[[#This Row],[重点关键词]]="",10,MATCH(表_网址[[#This Row],[重点关键词]],序列_重点关键词,0)+10)</f>
        <v>12</v>
      </c>
      <c r="E460">
        <f>IF(AND(表_网址[[#This Row],[首要关键词]]=K459,表_网址[[#This Row],[次要关键词]]=L459,表_网址[[#This Row],[重点关键词]]=M459),E459+1,IF(表_网址[[#This Row],[重点关键词]]="",100,101))</f>
        <v>104</v>
      </c>
      <c r="F460" t="s">
        <v>1320</v>
      </c>
      <c r="G460" t="s">
        <v>1321</v>
      </c>
      <c r="H460" t="s">
        <v>1322</v>
      </c>
      <c r="J460" t="s">
        <v>506</v>
      </c>
      <c r="K460" t="s">
        <v>1283</v>
      </c>
      <c r="L460" t="s">
        <v>1033</v>
      </c>
      <c r="M460" t="s">
        <v>1313</v>
      </c>
      <c r="N460">
        <v>999</v>
      </c>
    </row>
    <row r="461" spans="1:19" x14ac:dyDescent="0.2">
      <c r="A461" t="str">
        <f ca="1">表_网址[[#This Row],[1级]]&amp;"-"&amp;表_网址[[#This Row],[2级]]&amp;"-"&amp;表_网址[[#This Row],[3级]]&amp;"-"&amp;表_网址[[#This Row],[级内]]</f>
        <v>9001-12-13-101</v>
      </c>
      <c r="B461">
        <f ca="1">MATCH(表_网址[[#This Row],[版层分类]],序列_版层分类,0)*1000+MATCH(表_网址[[#This Row],[首要关键词]],序列_首要关键词,0)</f>
        <v>9001</v>
      </c>
      <c r="C461">
        <f ca="1">IF(表_网址[[#This Row],[次要关键词]]="",10,MATCH(表_网址[[#This Row],[次要关键词]],序列_次要关键词,0)+10)</f>
        <v>12</v>
      </c>
      <c r="D461">
        <f ca="1">IF(表_网址[[#This Row],[重点关键词]]="",10,MATCH(表_网址[[#This Row],[重点关键词]],序列_重点关键词,0)+10)</f>
        <v>13</v>
      </c>
      <c r="E461">
        <f>IF(AND(表_网址[[#This Row],[首要关键词]]=K460,表_网址[[#This Row],[次要关键词]]=L460,表_网址[[#This Row],[重点关键词]]=M460),E460+1,IF(表_网址[[#This Row],[重点关键词]]="",100,101))</f>
        <v>101</v>
      </c>
      <c r="F461" t="s">
        <v>1323</v>
      </c>
      <c r="G461" t="s">
        <v>1324</v>
      </c>
      <c r="J461" t="s">
        <v>506</v>
      </c>
      <c r="K461" t="s">
        <v>1283</v>
      </c>
      <c r="L461" t="s">
        <v>1033</v>
      </c>
      <c r="M461" t="s">
        <v>1325</v>
      </c>
      <c r="N461">
        <v>999</v>
      </c>
    </row>
    <row r="462" spans="1:19" x14ac:dyDescent="0.2">
      <c r="A462" t="str">
        <f ca="1">表_网址[[#This Row],[1级]]&amp;"-"&amp;表_网址[[#This Row],[2级]]&amp;"-"&amp;表_网址[[#This Row],[3级]]&amp;"-"&amp;表_网址[[#This Row],[级内]]</f>
        <v>9001-12-13-102</v>
      </c>
      <c r="B462">
        <f ca="1">MATCH(表_网址[[#This Row],[版层分类]],序列_版层分类,0)*1000+MATCH(表_网址[[#This Row],[首要关键词]],序列_首要关键词,0)</f>
        <v>9001</v>
      </c>
      <c r="C462">
        <f ca="1">IF(表_网址[[#This Row],[次要关键词]]="",10,MATCH(表_网址[[#This Row],[次要关键词]],序列_次要关键词,0)+10)</f>
        <v>12</v>
      </c>
      <c r="D462">
        <f ca="1">IF(表_网址[[#This Row],[重点关键词]]="",10,MATCH(表_网址[[#This Row],[重点关键词]],序列_重点关键词,0)+10)</f>
        <v>13</v>
      </c>
      <c r="E462">
        <f>IF(AND(表_网址[[#This Row],[首要关键词]]=K461,表_网址[[#This Row],[次要关键词]]=L461,表_网址[[#This Row],[重点关键词]]=M461),E461+1,IF(表_网址[[#This Row],[重点关键词]]="",100,101))</f>
        <v>102</v>
      </c>
      <c r="F462" t="s">
        <v>1326</v>
      </c>
      <c r="G462" t="s">
        <v>1327</v>
      </c>
      <c r="J462" t="s">
        <v>506</v>
      </c>
      <c r="K462" t="s">
        <v>1283</v>
      </c>
      <c r="L462" t="s">
        <v>1033</v>
      </c>
      <c r="M462" t="s">
        <v>1325</v>
      </c>
      <c r="N462">
        <v>999</v>
      </c>
    </row>
    <row r="463" spans="1:19" x14ac:dyDescent="0.2">
      <c r="A463" t="str">
        <f ca="1">表_网址[[#This Row],[1级]]&amp;"-"&amp;表_网址[[#This Row],[2级]]&amp;"-"&amp;表_网址[[#This Row],[3级]]&amp;"-"&amp;表_网址[[#This Row],[级内]]</f>
        <v>9001-12-13-103</v>
      </c>
      <c r="B463">
        <f ca="1">MATCH(表_网址[[#This Row],[版层分类]],序列_版层分类,0)*1000+MATCH(表_网址[[#This Row],[首要关键词]],序列_首要关键词,0)</f>
        <v>9001</v>
      </c>
      <c r="C463">
        <f ca="1">IF(表_网址[[#This Row],[次要关键词]]="",10,MATCH(表_网址[[#This Row],[次要关键词]],序列_次要关键词,0)+10)</f>
        <v>12</v>
      </c>
      <c r="D463">
        <f ca="1">IF(表_网址[[#This Row],[重点关键词]]="",10,MATCH(表_网址[[#This Row],[重点关键词]],序列_重点关键词,0)+10)</f>
        <v>13</v>
      </c>
      <c r="E463">
        <f>IF(AND(表_网址[[#This Row],[首要关键词]]=K462,表_网址[[#This Row],[次要关键词]]=L462,表_网址[[#This Row],[重点关键词]]=M462),E462+1,IF(表_网址[[#This Row],[重点关键词]]="",100,101))</f>
        <v>103</v>
      </c>
      <c r="F463" t="s">
        <v>1328</v>
      </c>
      <c r="G463" t="s">
        <v>1329</v>
      </c>
      <c r="H463" t="s">
        <v>1330</v>
      </c>
      <c r="J463" t="s">
        <v>506</v>
      </c>
      <c r="K463" t="s">
        <v>1283</v>
      </c>
      <c r="L463" t="s">
        <v>1033</v>
      </c>
      <c r="M463" t="s">
        <v>1325</v>
      </c>
      <c r="N463">
        <v>999</v>
      </c>
    </row>
    <row r="464" spans="1:19" x14ac:dyDescent="0.2">
      <c r="A464" t="str">
        <f ca="1">表_网址[[#This Row],[1级]]&amp;"-"&amp;表_网址[[#This Row],[2级]]&amp;"-"&amp;表_网址[[#This Row],[3级]]&amp;"-"&amp;表_网址[[#This Row],[级内]]</f>
        <v>9001-12-13-104</v>
      </c>
      <c r="B464">
        <f ca="1">MATCH(表_网址[[#This Row],[版层分类]],序列_版层分类,0)*1000+MATCH(表_网址[[#This Row],[首要关键词]],序列_首要关键词,0)</f>
        <v>9001</v>
      </c>
      <c r="C464">
        <f ca="1">IF(表_网址[[#This Row],[次要关键词]]="",10,MATCH(表_网址[[#This Row],[次要关键词]],序列_次要关键词,0)+10)</f>
        <v>12</v>
      </c>
      <c r="D464">
        <f ca="1">IF(表_网址[[#This Row],[重点关键词]]="",10,MATCH(表_网址[[#This Row],[重点关键词]],序列_重点关键词,0)+10)</f>
        <v>13</v>
      </c>
      <c r="E464">
        <f>IF(AND(表_网址[[#This Row],[首要关键词]]=K463,表_网址[[#This Row],[次要关键词]]=L463,表_网址[[#This Row],[重点关键词]]=M463),E463+1,IF(表_网址[[#This Row],[重点关键词]]="",100,101))</f>
        <v>104</v>
      </c>
      <c r="F464" t="s">
        <v>1331</v>
      </c>
      <c r="G464" t="s">
        <v>1332</v>
      </c>
      <c r="H464" t="s">
        <v>1333</v>
      </c>
      <c r="J464" t="s">
        <v>506</v>
      </c>
      <c r="K464" t="s">
        <v>1283</v>
      </c>
      <c r="L464" t="s">
        <v>1033</v>
      </c>
      <c r="M464" t="s">
        <v>1325</v>
      </c>
      <c r="N464">
        <v>999</v>
      </c>
    </row>
    <row r="465" spans="1:14" x14ac:dyDescent="0.2">
      <c r="A465" t="str">
        <f ca="1">表_网址[[#This Row],[1级]]&amp;"-"&amp;表_网址[[#This Row],[2级]]&amp;"-"&amp;表_网址[[#This Row],[3级]]&amp;"-"&amp;表_网址[[#This Row],[级内]]</f>
        <v>9001-12-13-105</v>
      </c>
      <c r="B465">
        <f ca="1">MATCH(表_网址[[#This Row],[版层分类]],序列_版层分类,0)*1000+MATCH(表_网址[[#This Row],[首要关键词]],序列_首要关键词,0)</f>
        <v>9001</v>
      </c>
      <c r="C465">
        <f ca="1">IF(表_网址[[#This Row],[次要关键词]]="",10,MATCH(表_网址[[#This Row],[次要关键词]],序列_次要关键词,0)+10)</f>
        <v>12</v>
      </c>
      <c r="D465">
        <f ca="1">IF(表_网址[[#This Row],[重点关键词]]="",10,MATCH(表_网址[[#This Row],[重点关键词]],序列_重点关键词,0)+10)</f>
        <v>13</v>
      </c>
      <c r="E465">
        <f>IF(AND(表_网址[[#This Row],[首要关键词]]=K464,表_网址[[#This Row],[次要关键词]]=L464,表_网址[[#This Row],[重点关键词]]=M464),E464+1,IF(表_网址[[#This Row],[重点关键词]]="",100,101))</f>
        <v>105</v>
      </c>
      <c r="F465" t="s">
        <v>1334</v>
      </c>
      <c r="G465" t="s">
        <v>1335</v>
      </c>
      <c r="H465" t="s">
        <v>1336</v>
      </c>
      <c r="J465" t="s">
        <v>506</v>
      </c>
      <c r="K465" t="s">
        <v>1283</v>
      </c>
      <c r="L465" t="s">
        <v>1033</v>
      </c>
      <c r="M465" t="s">
        <v>1325</v>
      </c>
      <c r="N465">
        <v>999</v>
      </c>
    </row>
    <row r="466" spans="1:14" x14ac:dyDescent="0.2">
      <c r="A466" t="str">
        <f ca="1">表_网址[[#This Row],[1级]]&amp;"-"&amp;表_网址[[#This Row],[2级]]&amp;"-"&amp;表_网址[[#This Row],[3级]]&amp;"-"&amp;表_网址[[#This Row],[级内]]</f>
        <v>9001-12-13-106</v>
      </c>
      <c r="B466">
        <f ca="1">MATCH(表_网址[[#This Row],[版层分类]],序列_版层分类,0)*1000+MATCH(表_网址[[#This Row],[首要关键词]],序列_首要关键词,0)</f>
        <v>9001</v>
      </c>
      <c r="C466">
        <f ca="1">IF(表_网址[[#This Row],[次要关键词]]="",10,MATCH(表_网址[[#This Row],[次要关键词]],序列_次要关键词,0)+10)</f>
        <v>12</v>
      </c>
      <c r="D466">
        <f ca="1">IF(表_网址[[#This Row],[重点关键词]]="",10,MATCH(表_网址[[#This Row],[重点关键词]],序列_重点关键词,0)+10)</f>
        <v>13</v>
      </c>
      <c r="E466">
        <f>IF(AND(表_网址[[#This Row],[首要关键词]]=K465,表_网址[[#This Row],[次要关键词]]=L465,表_网址[[#This Row],[重点关键词]]=M465),E465+1,IF(表_网址[[#This Row],[重点关键词]]="",100,101))</f>
        <v>106</v>
      </c>
      <c r="F466" t="s">
        <v>1337</v>
      </c>
      <c r="G466" t="s">
        <v>1338</v>
      </c>
      <c r="J466" t="s">
        <v>506</v>
      </c>
      <c r="K466" t="s">
        <v>1283</v>
      </c>
      <c r="L466" t="s">
        <v>1033</v>
      </c>
      <c r="M466" t="s">
        <v>1325</v>
      </c>
      <c r="N466">
        <v>999</v>
      </c>
    </row>
    <row r="467" spans="1:14" x14ac:dyDescent="0.2">
      <c r="A467" t="str">
        <f ca="1">表_网址[[#This Row],[1级]]&amp;"-"&amp;表_网址[[#This Row],[2级]]&amp;"-"&amp;表_网址[[#This Row],[3级]]&amp;"-"&amp;表_网址[[#This Row],[级内]]</f>
        <v>9001-12-13-107</v>
      </c>
      <c r="B467">
        <f ca="1">MATCH(表_网址[[#This Row],[版层分类]],序列_版层分类,0)*1000+MATCH(表_网址[[#This Row],[首要关键词]],序列_首要关键词,0)</f>
        <v>9001</v>
      </c>
      <c r="C467">
        <f ca="1">IF(表_网址[[#This Row],[次要关键词]]="",10,MATCH(表_网址[[#This Row],[次要关键词]],序列_次要关键词,0)+10)</f>
        <v>12</v>
      </c>
      <c r="D467">
        <f ca="1">IF(表_网址[[#This Row],[重点关键词]]="",10,MATCH(表_网址[[#This Row],[重点关键词]],序列_重点关键词,0)+10)</f>
        <v>13</v>
      </c>
      <c r="E467">
        <f>IF(AND(表_网址[[#This Row],[首要关键词]]=K466,表_网址[[#This Row],[次要关键词]]=L466,表_网址[[#This Row],[重点关键词]]=M466),E466+1,IF(表_网址[[#This Row],[重点关键词]]="",100,101))</f>
        <v>107</v>
      </c>
      <c r="F467" t="s">
        <v>1339</v>
      </c>
      <c r="G467" t="s">
        <v>1340</v>
      </c>
      <c r="J467" t="s">
        <v>506</v>
      </c>
      <c r="K467" t="s">
        <v>1283</v>
      </c>
      <c r="L467" t="s">
        <v>1033</v>
      </c>
      <c r="M467" t="s">
        <v>1325</v>
      </c>
      <c r="N467">
        <v>999</v>
      </c>
    </row>
    <row r="468" spans="1:14" x14ac:dyDescent="0.2">
      <c r="A468" t="str">
        <f ca="1">表_网址[[#This Row],[1级]]&amp;"-"&amp;表_网址[[#This Row],[2级]]&amp;"-"&amp;表_网址[[#This Row],[3级]]&amp;"-"&amp;表_网址[[#This Row],[级内]]</f>
        <v>9001-12-13-108</v>
      </c>
      <c r="B468">
        <f ca="1">MATCH(表_网址[[#This Row],[版层分类]],序列_版层分类,0)*1000+MATCH(表_网址[[#This Row],[首要关键词]],序列_首要关键词,0)</f>
        <v>9001</v>
      </c>
      <c r="C468">
        <f ca="1">IF(表_网址[[#This Row],[次要关键词]]="",10,MATCH(表_网址[[#This Row],[次要关键词]],序列_次要关键词,0)+10)</f>
        <v>12</v>
      </c>
      <c r="D468">
        <f ca="1">IF(表_网址[[#This Row],[重点关键词]]="",10,MATCH(表_网址[[#This Row],[重点关键词]],序列_重点关键词,0)+10)</f>
        <v>13</v>
      </c>
      <c r="E468">
        <f>IF(AND(表_网址[[#This Row],[首要关键词]]=K467,表_网址[[#This Row],[次要关键词]]=L467,表_网址[[#This Row],[重点关键词]]=M467),E467+1,IF(表_网址[[#This Row],[重点关键词]]="",100,101))</f>
        <v>108</v>
      </c>
      <c r="F468" t="s">
        <v>1341</v>
      </c>
      <c r="G468" t="s">
        <v>1342</v>
      </c>
      <c r="J468" t="s">
        <v>506</v>
      </c>
      <c r="K468" t="s">
        <v>1283</v>
      </c>
      <c r="L468" t="s">
        <v>1033</v>
      </c>
      <c r="M468" t="s">
        <v>1325</v>
      </c>
      <c r="N468">
        <v>999</v>
      </c>
    </row>
    <row r="469" spans="1:14" x14ac:dyDescent="0.2">
      <c r="A469" t="str">
        <f ca="1">表_网址[[#This Row],[1级]]&amp;"-"&amp;表_网址[[#This Row],[2级]]&amp;"-"&amp;表_网址[[#This Row],[3级]]&amp;"-"&amp;表_网址[[#This Row],[级内]]</f>
        <v>9001-12-13-109</v>
      </c>
      <c r="B469">
        <f ca="1">MATCH(表_网址[[#This Row],[版层分类]],序列_版层分类,0)*1000+MATCH(表_网址[[#This Row],[首要关键词]],序列_首要关键词,0)</f>
        <v>9001</v>
      </c>
      <c r="C469">
        <f ca="1">IF(表_网址[[#This Row],[次要关键词]]="",10,MATCH(表_网址[[#This Row],[次要关键词]],序列_次要关键词,0)+10)</f>
        <v>12</v>
      </c>
      <c r="D469">
        <f ca="1">IF(表_网址[[#This Row],[重点关键词]]="",10,MATCH(表_网址[[#This Row],[重点关键词]],序列_重点关键词,0)+10)</f>
        <v>13</v>
      </c>
      <c r="E469">
        <f>IF(AND(表_网址[[#This Row],[首要关键词]]=K468,表_网址[[#This Row],[次要关键词]]=L468,表_网址[[#This Row],[重点关键词]]=M468),E468+1,IF(表_网址[[#This Row],[重点关键词]]="",100,101))</f>
        <v>109</v>
      </c>
      <c r="F469" t="s">
        <v>1343</v>
      </c>
      <c r="G469" t="s">
        <v>1344</v>
      </c>
      <c r="J469" t="s">
        <v>506</v>
      </c>
      <c r="K469" t="s">
        <v>1283</v>
      </c>
      <c r="L469" t="s">
        <v>1033</v>
      </c>
      <c r="M469" t="s">
        <v>1325</v>
      </c>
      <c r="N469">
        <v>999</v>
      </c>
    </row>
    <row r="470" spans="1:14" x14ac:dyDescent="0.2">
      <c r="A470" t="str">
        <f ca="1">表_网址[[#This Row],[1级]]&amp;"-"&amp;表_网址[[#This Row],[2级]]&amp;"-"&amp;表_网址[[#This Row],[3级]]&amp;"-"&amp;表_网址[[#This Row],[级内]]</f>
        <v>9001-12-13-110</v>
      </c>
      <c r="B470">
        <f ca="1">MATCH(表_网址[[#This Row],[版层分类]],序列_版层分类,0)*1000+MATCH(表_网址[[#This Row],[首要关键词]],序列_首要关键词,0)</f>
        <v>9001</v>
      </c>
      <c r="C470">
        <f ca="1">IF(表_网址[[#This Row],[次要关键词]]="",10,MATCH(表_网址[[#This Row],[次要关键词]],序列_次要关键词,0)+10)</f>
        <v>12</v>
      </c>
      <c r="D470">
        <f ca="1">IF(表_网址[[#This Row],[重点关键词]]="",10,MATCH(表_网址[[#This Row],[重点关键词]],序列_重点关键词,0)+10)</f>
        <v>13</v>
      </c>
      <c r="E470">
        <f>IF(AND(表_网址[[#This Row],[首要关键词]]=K469,表_网址[[#This Row],[次要关键词]]=L469,表_网址[[#This Row],[重点关键词]]=M469),E469+1,IF(表_网址[[#This Row],[重点关键词]]="",100,101))</f>
        <v>110</v>
      </c>
      <c r="F470" t="s">
        <v>1345</v>
      </c>
      <c r="G470" t="s">
        <v>1346</v>
      </c>
      <c r="J470" t="s">
        <v>506</v>
      </c>
      <c r="K470" t="s">
        <v>1283</v>
      </c>
      <c r="L470" t="s">
        <v>1033</v>
      </c>
      <c r="M470" t="s">
        <v>1325</v>
      </c>
      <c r="N470">
        <v>999</v>
      </c>
    </row>
    <row r="471" spans="1:14" x14ac:dyDescent="0.2">
      <c r="A471" t="str">
        <f ca="1">表_网址[[#This Row],[1级]]&amp;"-"&amp;表_网址[[#This Row],[2级]]&amp;"-"&amp;表_网址[[#This Row],[3级]]&amp;"-"&amp;表_网址[[#This Row],[级内]]</f>
        <v>9001-12-13-111</v>
      </c>
      <c r="B471">
        <f ca="1">MATCH(表_网址[[#This Row],[版层分类]],序列_版层分类,0)*1000+MATCH(表_网址[[#This Row],[首要关键词]],序列_首要关键词,0)</f>
        <v>9001</v>
      </c>
      <c r="C471">
        <f ca="1">IF(表_网址[[#This Row],[次要关键词]]="",10,MATCH(表_网址[[#This Row],[次要关键词]],序列_次要关键词,0)+10)</f>
        <v>12</v>
      </c>
      <c r="D471">
        <f ca="1">IF(表_网址[[#This Row],[重点关键词]]="",10,MATCH(表_网址[[#This Row],[重点关键词]],序列_重点关键词,0)+10)</f>
        <v>13</v>
      </c>
      <c r="E471">
        <f>IF(AND(表_网址[[#This Row],[首要关键词]]=K470,表_网址[[#This Row],[次要关键词]]=L470,表_网址[[#This Row],[重点关键词]]=M470),E470+1,IF(表_网址[[#This Row],[重点关键词]]="",100,101))</f>
        <v>111</v>
      </c>
      <c r="F471" t="s">
        <v>1347</v>
      </c>
      <c r="G471" t="s">
        <v>1348</v>
      </c>
      <c r="J471" t="s">
        <v>506</v>
      </c>
      <c r="K471" t="s">
        <v>1283</v>
      </c>
      <c r="L471" t="s">
        <v>1033</v>
      </c>
      <c r="M471" t="s">
        <v>1325</v>
      </c>
      <c r="N471">
        <v>999</v>
      </c>
    </row>
    <row r="472" spans="1:14" x14ac:dyDescent="0.2">
      <c r="A472" t="str">
        <f ca="1">表_网址[[#This Row],[1级]]&amp;"-"&amp;表_网址[[#This Row],[2级]]&amp;"-"&amp;表_网址[[#This Row],[3级]]&amp;"-"&amp;表_网址[[#This Row],[级内]]</f>
        <v>9001-12-13-112</v>
      </c>
      <c r="B472">
        <f ca="1">MATCH(表_网址[[#This Row],[版层分类]],序列_版层分类,0)*1000+MATCH(表_网址[[#This Row],[首要关键词]],序列_首要关键词,0)</f>
        <v>9001</v>
      </c>
      <c r="C472">
        <f ca="1">IF(表_网址[[#This Row],[次要关键词]]="",10,MATCH(表_网址[[#This Row],[次要关键词]],序列_次要关键词,0)+10)</f>
        <v>12</v>
      </c>
      <c r="D472">
        <f ca="1">IF(表_网址[[#This Row],[重点关键词]]="",10,MATCH(表_网址[[#This Row],[重点关键词]],序列_重点关键词,0)+10)</f>
        <v>13</v>
      </c>
      <c r="E472">
        <f>IF(AND(表_网址[[#This Row],[首要关键词]]=K471,表_网址[[#This Row],[次要关键词]]=L471,表_网址[[#This Row],[重点关键词]]=M471),E471+1,IF(表_网址[[#This Row],[重点关键词]]="",100,101))</f>
        <v>112</v>
      </c>
      <c r="F472" t="s">
        <v>1349</v>
      </c>
      <c r="G472" t="s">
        <v>1350</v>
      </c>
      <c r="H472" t="s">
        <v>1351</v>
      </c>
      <c r="J472" t="s">
        <v>506</v>
      </c>
      <c r="K472" t="s">
        <v>1283</v>
      </c>
      <c r="L472" t="s">
        <v>1033</v>
      </c>
      <c r="M472" t="s">
        <v>1325</v>
      </c>
      <c r="N472">
        <v>999</v>
      </c>
    </row>
    <row r="473" spans="1:14" x14ac:dyDescent="0.2">
      <c r="A473" t="str">
        <f ca="1">表_网址[[#This Row],[1级]]&amp;"-"&amp;表_网址[[#This Row],[2级]]&amp;"-"&amp;表_网址[[#This Row],[3级]]&amp;"-"&amp;表_网址[[#This Row],[级内]]</f>
        <v>9001-12-13-113</v>
      </c>
      <c r="B473">
        <f ca="1">MATCH(表_网址[[#This Row],[版层分类]],序列_版层分类,0)*1000+MATCH(表_网址[[#This Row],[首要关键词]],序列_首要关键词,0)</f>
        <v>9001</v>
      </c>
      <c r="C473">
        <f ca="1">IF(表_网址[[#This Row],[次要关键词]]="",10,MATCH(表_网址[[#This Row],[次要关键词]],序列_次要关键词,0)+10)</f>
        <v>12</v>
      </c>
      <c r="D473">
        <f ca="1">IF(表_网址[[#This Row],[重点关键词]]="",10,MATCH(表_网址[[#This Row],[重点关键词]],序列_重点关键词,0)+10)</f>
        <v>13</v>
      </c>
      <c r="E473">
        <f>IF(AND(表_网址[[#This Row],[首要关键词]]=K472,表_网址[[#This Row],[次要关键词]]=L472,表_网址[[#This Row],[重点关键词]]=M472),E472+1,IF(表_网址[[#This Row],[重点关键词]]="",100,101))</f>
        <v>113</v>
      </c>
      <c r="F473" t="s">
        <v>1352</v>
      </c>
      <c r="G473" t="s">
        <v>1353</v>
      </c>
      <c r="J473" t="s">
        <v>506</v>
      </c>
      <c r="K473" t="s">
        <v>1283</v>
      </c>
      <c r="L473" t="s">
        <v>1033</v>
      </c>
      <c r="M473" t="s">
        <v>1325</v>
      </c>
      <c r="N473">
        <v>999</v>
      </c>
    </row>
    <row r="474" spans="1:14" x14ac:dyDescent="0.2">
      <c r="A474" t="str">
        <f ca="1">表_网址[[#This Row],[1级]]&amp;"-"&amp;表_网址[[#This Row],[2级]]&amp;"-"&amp;表_网址[[#This Row],[3级]]&amp;"-"&amp;表_网址[[#This Row],[级内]]</f>
        <v>9001-12-13-114</v>
      </c>
      <c r="B474">
        <f ca="1">MATCH(表_网址[[#This Row],[版层分类]],序列_版层分类,0)*1000+MATCH(表_网址[[#This Row],[首要关键词]],序列_首要关键词,0)</f>
        <v>9001</v>
      </c>
      <c r="C474">
        <f ca="1">IF(表_网址[[#This Row],[次要关键词]]="",10,MATCH(表_网址[[#This Row],[次要关键词]],序列_次要关键词,0)+10)</f>
        <v>12</v>
      </c>
      <c r="D474">
        <f ca="1">IF(表_网址[[#This Row],[重点关键词]]="",10,MATCH(表_网址[[#This Row],[重点关键词]],序列_重点关键词,0)+10)</f>
        <v>13</v>
      </c>
      <c r="E474">
        <f>IF(AND(表_网址[[#This Row],[首要关键词]]=K473,表_网址[[#This Row],[次要关键词]]=L473,表_网址[[#This Row],[重点关键词]]=M473),E473+1,IF(表_网址[[#This Row],[重点关键词]]="",100,101))</f>
        <v>114</v>
      </c>
      <c r="F474" t="s">
        <v>1354</v>
      </c>
      <c r="G474" t="s">
        <v>1355</v>
      </c>
      <c r="J474" t="s">
        <v>506</v>
      </c>
      <c r="K474" t="s">
        <v>1283</v>
      </c>
      <c r="L474" t="s">
        <v>1033</v>
      </c>
      <c r="M474" t="s">
        <v>1325</v>
      </c>
      <c r="N474">
        <v>999</v>
      </c>
    </row>
    <row r="475" spans="1:14" x14ac:dyDescent="0.2">
      <c r="A475" t="str">
        <f ca="1">表_网址[[#This Row],[1级]]&amp;"-"&amp;表_网址[[#This Row],[2级]]&amp;"-"&amp;表_网址[[#This Row],[3级]]&amp;"-"&amp;表_网址[[#This Row],[级内]]</f>
        <v>9001-12-13-115</v>
      </c>
      <c r="B475">
        <f ca="1">MATCH(表_网址[[#This Row],[版层分类]],序列_版层分类,0)*1000+MATCH(表_网址[[#This Row],[首要关键词]],序列_首要关键词,0)</f>
        <v>9001</v>
      </c>
      <c r="C475">
        <f ca="1">IF(表_网址[[#This Row],[次要关键词]]="",10,MATCH(表_网址[[#This Row],[次要关键词]],序列_次要关键词,0)+10)</f>
        <v>12</v>
      </c>
      <c r="D475">
        <f ca="1">IF(表_网址[[#This Row],[重点关键词]]="",10,MATCH(表_网址[[#This Row],[重点关键词]],序列_重点关键词,0)+10)</f>
        <v>13</v>
      </c>
      <c r="E475">
        <f>IF(AND(表_网址[[#This Row],[首要关键词]]=K474,表_网址[[#This Row],[次要关键词]]=L474,表_网址[[#This Row],[重点关键词]]=M474),E474+1,IF(表_网址[[#This Row],[重点关键词]]="",100,101))</f>
        <v>115</v>
      </c>
      <c r="F475" t="s">
        <v>1356</v>
      </c>
      <c r="G475" t="s">
        <v>1357</v>
      </c>
      <c r="J475" t="s">
        <v>506</v>
      </c>
      <c r="K475" t="s">
        <v>1283</v>
      </c>
      <c r="L475" t="s">
        <v>1033</v>
      </c>
      <c r="M475" t="s">
        <v>1325</v>
      </c>
      <c r="N475">
        <v>999</v>
      </c>
    </row>
    <row r="476" spans="1:14" x14ac:dyDescent="0.2">
      <c r="A476" t="str">
        <f ca="1">表_网址[[#This Row],[1级]]&amp;"-"&amp;表_网址[[#This Row],[2级]]&amp;"-"&amp;表_网址[[#This Row],[3级]]&amp;"-"&amp;表_网址[[#This Row],[级内]]</f>
        <v>9001-12-13-116</v>
      </c>
      <c r="B476">
        <f ca="1">MATCH(表_网址[[#This Row],[版层分类]],序列_版层分类,0)*1000+MATCH(表_网址[[#This Row],[首要关键词]],序列_首要关键词,0)</f>
        <v>9001</v>
      </c>
      <c r="C476">
        <f ca="1">IF(表_网址[[#This Row],[次要关键词]]="",10,MATCH(表_网址[[#This Row],[次要关键词]],序列_次要关键词,0)+10)</f>
        <v>12</v>
      </c>
      <c r="D476">
        <f ca="1">IF(表_网址[[#This Row],[重点关键词]]="",10,MATCH(表_网址[[#This Row],[重点关键词]],序列_重点关键词,0)+10)</f>
        <v>13</v>
      </c>
      <c r="E476">
        <f>IF(AND(表_网址[[#This Row],[首要关键词]]=K475,表_网址[[#This Row],[次要关键词]]=L475,表_网址[[#This Row],[重点关键词]]=M475),E475+1,IF(表_网址[[#This Row],[重点关键词]]="",100,101))</f>
        <v>116</v>
      </c>
      <c r="F476" t="s">
        <v>1358</v>
      </c>
      <c r="G476" t="s">
        <v>1359</v>
      </c>
      <c r="J476" t="s">
        <v>506</v>
      </c>
      <c r="K476" t="s">
        <v>1283</v>
      </c>
      <c r="L476" t="s">
        <v>1033</v>
      </c>
      <c r="M476" t="s">
        <v>1325</v>
      </c>
      <c r="N476">
        <v>999</v>
      </c>
    </row>
    <row r="477" spans="1:14" x14ac:dyDescent="0.2">
      <c r="A477" t="str">
        <f ca="1">表_网址[[#This Row],[1级]]&amp;"-"&amp;表_网址[[#This Row],[2级]]&amp;"-"&amp;表_网址[[#This Row],[3级]]&amp;"-"&amp;表_网址[[#This Row],[级内]]</f>
        <v>9001-12-13-117</v>
      </c>
      <c r="B477">
        <f ca="1">MATCH(表_网址[[#This Row],[版层分类]],序列_版层分类,0)*1000+MATCH(表_网址[[#This Row],[首要关键词]],序列_首要关键词,0)</f>
        <v>9001</v>
      </c>
      <c r="C477">
        <f ca="1">IF(表_网址[[#This Row],[次要关键词]]="",10,MATCH(表_网址[[#This Row],[次要关键词]],序列_次要关键词,0)+10)</f>
        <v>12</v>
      </c>
      <c r="D477">
        <f ca="1">IF(表_网址[[#This Row],[重点关键词]]="",10,MATCH(表_网址[[#This Row],[重点关键词]],序列_重点关键词,0)+10)</f>
        <v>13</v>
      </c>
      <c r="E477">
        <f>IF(AND(表_网址[[#This Row],[首要关键词]]=K476,表_网址[[#This Row],[次要关键词]]=L476,表_网址[[#This Row],[重点关键词]]=M476),E476+1,IF(表_网址[[#This Row],[重点关键词]]="",100,101))</f>
        <v>117</v>
      </c>
      <c r="F477" t="s">
        <v>1360</v>
      </c>
      <c r="G477" t="s">
        <v>1361</v>
      </c>
      <c r="H477" t="s">
        <v>1362</v>
      </c>
      <c r="J477" t="s">
        <v>506</v>
      </c>
      <c r="K477" t="s">
        <v>1283</v>
      </c>
      <c r="L477" t="s">
        <v>1033</v>
      </c>
      <c r="M477" t="s">
        <v>1325</v>
      </c>
      <c r="N477">
        <v>999</v>
      </c>
    </row>
    <row r="478" spans="1:14" x14ac:dyDescent="0.2">
      <c r="A478" t="str">
        <f ca="1">表_网址[[#This Row],[1级]]&amp;"-"&amp;表_网址[[#This Row],[2级]]&amp;"-"&amp;表_网址[[#This Row],[3级]]&amp;"-"&amp;表_网址[[#This Row],[级内]]</f>
        <v>9001-12-13-118</v>
      </c>
      <c r="B478">
        <f ca="1">MATCH(表_网址[[#This Row],[版层分类]],序列_版层分类,0)*1000+MATCH(表_网址[[#This Row],[首要关键词]],序列_首要关键词,0)</f>
        <v>9001</v>
      </c>
      <c r="C478">
        <f ca="1">IF(表_网址[[#This Row],[次要关键词]]="",10,MATCH(表_网址[[#This Row],[次要关键词]],序列_次要关键词,0)+10)</f>
        <v>12</v>
      </c>
      <c r="D478">
        <f ca="1">IF(表_网址[[#This Row],[重点关键词]]="",10,MATCH(表_网址[[#This Row],[重点关键词]],序列_重点关键词,0)+10)</f>
        <v>13</v>
      </c>
      <c r="E478">
        <f>IF(AND(表_网址[[#This Row],[首要关键词]]=K477,表_网址[[#This Row],[次要关键词]]=L477,表_网址[[#This Row],[重点关键词]]=M477),E477+1,IF(表_网址[[#This Row],[重点关键词]]="",100,101))</f>
        <v>118</v>
      </c>
      <c r="F478" t="s">
        <v>1363</v>
      </c>
      <c r="G478" t="s">
        <v>1364</v>
      </c>
      <c r="H478" t="s">
        <v>1365</v>
      </c>
      <c r="J478" t="s">
        <v>506</v>
      </c>
      <c r="K478" t="s">
        <v>1283</v>
      </c>
      <c r="L478" t="s">
        <v>1033</v>
      </c>
      <c r="M478" t="s">
        <v>1325</v>
      </c>
      <c r="N478">
        <v>999</v>
      </c>
    </row>
    <row r="479" spans="1:14" x14ac:dyDescent="0.2">
      <c r="A479" t="str">
        <f ca="1">表_网址[[#This Row],[1级]]&amp;"-"&amp;表_网址[[#This Row],[2级]]&amp;"-"&amp;表_网址[[#This Row],[3级]]&amp;"-"&amp;表_网址[[#This Row],[级内]]</f>
        <v>9001-12-13-119</v>
      </c>
      <c r="B479">
        <f ca="1">MATCH(表_网址[[#This Row],[版层分类]],序列_版层分类,0)*1000+MATCH(表_网址[[#This Row],[首要关键词]],序列_首要关键词,0)</f>
        <v>9001</v>
      </c>
      <c r="C479">
        <f ca="1">IF(表_网址[[#This Row],[次要关键词]]="",10,MATCH(表_网址[[#This Row],[次要关键词]],序列_次要关键词,0)+10)</f>
        <v>12</v>
      </c>
      <c r="D479">
        <f ca="1">IF(表_网址[[#This Row],[重点关键词]]="",10,MATCH(表_网址[[#This Row],[重点关键词]],序列_重点关键词,0)+10)</f>
        <v>13</v>
      </c>
      <c r="E479">
        <f>IF(AND(表_网址[[#This Row],[首要关键词]]=K478,表_网址[[#This Row],[次要关键词]]=L478,表_网址[[#This Row],[重点关键词]]=M478),E478+1,IF(表_网址[[#This Row],[重点关键词]]="",100,101))</f>
        <v>119</v>
      </c>
      <c r="F479" t="s">
        <v>1366</v>
      </c>
      <c r="G479" t="s">
        <v>1367</v>
      </c>
      <c r="J479" t="s">
        <v>506</v>
      </c>
      <c r="K479" t="s">
        <v>1283</v>
      </c>
      <c r="L479" t="s">
        <v>1033</v>
      </c>
      <c r="M479" t="s">
        <v>1325</v>
      </c>
      <c r="N479">
        <v>999</v>
      </c>
    </row>
    <row r="480" spans="1:14" x14ac:dyDescent="0.2">
      <c r="A480" t="str">
        <f ca="1">表_网址[[#This Row],[1级]]&amp;"-"&amp;表_网址[[#This Row],[2级]]&amp;"-"&amp;表_网址[[#This Row],[3级]]&amp;"-"&amp;表_网址[[#This Row],[级内]]</f>
        <v>9001-12-13-120</v>
      </c>
      <c r="B480">
        <f ca="1">MATCH(表_网址[[#This Row],[版层分类]],序列_版层分类,0)*1000+MATCH(表_网址[[#This Row],[首要关键词]],序列_首要关键词,0)</f>
        <v>9001</v>
      </c>
      <c r="C480">
        <f ca="1">IF(表_网址[[#This Row],[次要关键词]]="",10,MATCH(表_网址[[#This Row],[次要关键词]],序列_次要关键词,0)+10)</f>
        <v>12</v>
      </c>
      <c r="D480">
        <f ca="1">IF(表_网址[[#This Row],[重点关键词]]="",10,MATCH(表_网址[[#This Row],[重点关键词]],序列_重点关键词,0)+10)</f>
        <v>13</v>
      </c>
      <c r="E480">
        <f>IF(AND(表_网址[[#This Row],[首要关键词]]=K479,表_网址[[#This Row],[次要关键词]]=L479,表_网址[[#This Row],[重点关键词]]=M479),E479+1,IF(表_网址[[#This Row],[重点关键词]]="",100,101))</f>
        <v>120</v>
      </c>
      <c r="F480" t="s">
        <v>1368</v>
      </c>
      <c r="G480" t="s">
        <v>1369</v>
      </c>
      <c r="H480" t="s">
        <v>1370</v>
      </c>
      <c r="J480" t="s">
        <v>506</v>
      </c>
      <c r="K480" t="s">
        <v>1283</v>
      </c>
      <c r="L480" t="s">
        <v>1033</v>
      </c>
      <c r="M480" t="s">
        <v>1325</v>
      </c>
      <c r="N480">
        <v>999</v>
      </c>
    </row>
    <row r="481" spans="1:14" x14ac:dyDescent="0.2">
      <c r="A481" t="str">
        <f ca="1">表_网址[[#This Row],[1级]]&amp;"-"&amp;表_网址[[#This Row],[2级]]&amp;"-"&amp;表_网址[[#This Row],[3级]]&amp;"-"&amp;表_网址[[#This Row],[级内]]</f>
        <v>9001-12-13-121</v>
      </c>
      <c r="B481">
        <f ca="1">MATCH(表_网址[[#This Row],[版层分类]],序列_版层分类,0)*1000+MATCH(表_网址[[#This Row],[首要关键词]],序列_首要关键词,0)</f>
        <v>9001</v>
      </c>
      <c r="C481">
        <f ca="1">IF(表_网址[[#This Row],[次要关键词]]="",10,MATCH(表_网址[[#This Row],[次要关键词]],序列_次要关键词,0)+10)</f>
        <v>12</v>
      </c>
      <c r="D481">
        <f ca="1">IF(表_网址[[#This Row],[重点关键词]]="",10,MATCH(表_网址[[#This Row],[重点关键词]],序列_重点关键词,0)+10)</f>
        <v>13</v>
      </c>
      <c r="E481">
        <f>IF(AND(表_网址[[#This Row],[首要关键词]]=K480,表_网址[[#This Row],[次要关键词]]=L480,表_网址[[#This Row],[重点关键词]]=M480),E480+1,IF(表_网址[[#This Row],[重点关键词]]="",100,101))</f>
        <v>121</v>
      </c>
      <c r="F481" t="s">
        <v>1371</v>
      </c>
      <c r="G481" t="s">
        <v>1372</v>
      </c>
      <c r="H481" t="s">
        <v>1373</v>
      </c>
      <c r="J481" t="s">
        <v>506</v>
      </c>
      <c r="K481" t="s">
        <v>1283</v>
      </c>
      <c r="L481" t="s">
        <v>1033</v>
      </c>
      <c r="M481" t="s">
        <v>1325</v>
      </c>
      <c r="N481">
        <v>999</v>
      </c>
    </row>
    <row r="482" spans="1:14" x14ac:dyDescent="0.2">
      <c r="A482" t="str">
        <f ca="1">表_网址[[#This Row],[1级]]&amp;"-"&amp;表_网址[[#This Row],[2级]]&amp;"-"&amp;表_网址[[#This Row],[3级]]&amp;"-"&amp;表_网址[[#This Row],[级内]]</f>
        <v>9001-12-13-122</v>
      </c>
      <c r="B482">
        <f ca="1">MATCH(表_网址[[#This Row],[版层分类]],序列_版层分类,0)*1000+MATCH(表_网址[[#This Row],[首要关键词]],序列_首要关键词,0)</f>
        <v>9001</v>
      </c>
      <c r="C482">
        <f ca="1">IF(表_网址[[#This Row],[次要关键词]]="",10,MATCH(表_网址[[#This Row],[次要关键词]],序列_次要关键词,0)+10)</f>
        <v>12</v>
      </c>
      <c r="D482">
        <f ca="1">IF(表_网址[[#This Row],[重点关键词]]="",10,MATCH(表_网址[[#This Row],[重点关键词]],序列_重点关键词,0)+10)</f>
        <v>13</v>
      </c>
      <c r="E482">
        <f>IF(AND(表_网址[[#This Row],[首要关键词]]=K481,表_网址[[#This Row],[次要关键词]]=L481,表_网址[[#This Row],[重点关键词]]=M481),E481+1,IF(表_网址[[#This Row],[重点关键词]]="",100,101))</f>
        <v>122</v>
      </c>
      <c r="F482" t="s">
        <v>1374</v>
      </c>
      <c r="G482" t="s">
        <v>1375</v>
      </c>
      <c r="H482" t="s">
        <v>1376</v>
      </c>
      <c r="J482" t="s">
        <v>506</v>
      </c>
      <c r="K482" t="s">
        <v>1283</v>
      </c>
      <c r="L482" t="s">
        <v>1033</v>
      </c>
      <c r="M482" t="s">
        <v>1325</v>
      </c>
      <c r="N482">
        <v>999</v>
      </c>
    </row>
    <row r="483" spans="1:14" x14ac:dyDescent="0.2">
      <c r="A483" t="str">
        <f ca="1">表_网址[[#This Row],[1级]]&amp;"-"&amp;表_网址[[#This Row],[2级]]&amp;"-"&amp;表_网址[[#This Row],[3级]]&amp;"-"&amp;表_网址[[#This Row],[级内]]</f>
        <v>9001-12-13-123</v>
      </c>
      <c r="B483">
        <f ca="1">MATCH(表_网址[[#This Row],[版层分类]],序列_版层分类,0)*1000+MATCH(表_网址[[#This Row],[首要关键词]],序列_首要关键词,0)</f>
        <v>9001</v>
      </c>
      <c r="C483">
        <f ca="1">IF(表_网址[[#This Row],[次要关键词]]="",10,MATCH(表_网址[[#This Row],[次要关键词]],序列_次要关键词,0)+10)</f>
        <v>12</v>
      </c>
      <c r="D483">
        <f ca="1">IF(表_网址[[#This Row],[重点关键词]]="",10,MATCH(表_网址[[#This Row],[重点关键词]],序列_重点关键词,0)+10)</f>
        <v>13</v>
      </c>
      <c r="E483">
        <f>IF(AND(表_网址[[#This Row],[首要关键词]]=K482,表_网址[[#This Row],[次要关键词]]=L482,表_网址[[#This Row],[重点关键词]]=M482),E482+1,IF(表_网址[[#This Row],[重点关键词]]="",100,101))</f>
        <v>123</v>
      </c>
      <c r="F483" t="s">
        <v>1377</v>
      </c>
      <c r="G483" t="s">
        <v>1378</v>
      </c>
      <c r="H483" t="s">
        <v>1379</v>
      </c>
      <c r="J483" t="s">
        <v>506</v>
      </c>
      <c r="K483" t="s">
        <v>1283</v>
      </c>
      <c r="L483" t="s">
        <v>1033</v>
      </c>
      <c r="M483" t="s">
        <v>1325</v>
      </c>
      <c r="N483">
        <v>999</v>
      </c>
    </row>
    <row r="484" spans="1:14" x14ac:dyDescent="0.2">
      <c r="A484" t="str">
        <f ca="1">表_网址[[#This Row],[1级]]&amp;"-"&amp;表_网址[[#This Row],[2级]]&amp;"-"&amp;表_网址[[#This Row],[3级]]&amp;"-"&amp;表_网址[[#This Row],[级内]]</f>
        <v>9001-12-13-124</v>
      </c>
      <c r="B484">
        <f ca="1">MATCH(表_网址[[#This Row],[版层分类]],序列_版层分类,0)*1000+MATCH(表_网址[[#This Row],[首要关键词]],序列_首要关键词,0)</f>
        <v>9001</v>
      </c>
      <c r="C484">
        <f ca="1">IF(表_网址[[#This Row],[次要关键词]]="",10,MATCH(表_网址[[#This Row],[次要关键词]],序列_次要关键词,0)+10)</f>
        <v>12</v>
      </c>
      <c r="D484">
        <f ca="1">IF(表_网址[[#This Row],[重点关键词]]="",10,MATCH(表_网址[[#This Row],[重点关键词]],序列_重点关键词,0)+10)</f>
        <v>13</v>
      </c>
      <c r="E484">
        <f>IF(AND(表_网址[[#This Row],[首要关键词]]=K483,表_网址[[#This Row],[次要关键词]]=L483,表_网址[[#This Row],[重点关键词]]=M483),E483+1,IF(表_网址[[#This Row],[重点关键词]]="",100,101))</f>
        <v>124</v>
      </c>
      <c r="F484" t="s">
        <v>1380</v>
      </c>
      <c r="G484" t="s">
        <v>1381</v>
      </c>
      <c r="J484" t="s">
        <v>506</v>
      </c>
      <c r="K484" t="s">
        <v>1283</v>
      </c>
      <c r="L484" t="s">
        <v>1033</v>
      </c>
      <c r="M484" t="s">
        <v>1325</v>
      </c>
      <c r="N484">
        <v>999</v>
      </c>
    </row>
    <row r="485" spans="1:14" x14ac:dyDescent="0.2">
      <c r="A485" t="str">
        <f ca="1">表_网址[[#This Row],[1级]]&amp;"-"&amp;表_网址[[#This Row],[2级]]&amp;"-"&amp;表_网址[[#This Row],[3级]]&amp;"-"&amp;表_网址[[#This Row],[级内]]</f>
        <v>9001-12-13-125</v>
      </c>
      <c r="B485">
        <f ca="1">MATCH(表_网址[[#This Row],[版层分类]],序列_版层分类,0)*1000+MATCH(表_网址[[#This Row],[首要关键词]],序列_首要关键词,0)</f>
        <v>9001</v>
      </c>
      <c r="C485">
        <f ca="1">IF(表_网址[[#This Row],[次要关键词]]="",10,MATCH(表_网址[[#This Row],[次要关键词]],序列_次要关键词,0)+10)</f>
        <v>12</v>
      </c>
      <c r="D485">
        <f ca="1">IF(表_网址[[#This Row],[重点关键词]]="",10,MATCH(表_网址[[#This Row],[重点关键词]],序列_重点关键词,0)+10)</f>
        <v>13</v>
      </c>
      <c r="E485">
        <f>IF(AND(表_网址[[#This Row],[首要关键词]]=K484,表_网址[[#This Row],[次要关键词]]=L484,表_网址[[#This Row],[重点关键词]]=M484),E484+1,IF(表_网址[[#This Row],[重点关键词]]="",100,101))</f>
        <v>125</v>
      </c>
      <c r="F485" t="s">
        <v>1382</v>
      </c>
      <c r="G485" t="s">
        <v>1383</v>
      </c>
      <c r="J485" t="s">
        <v>506</v>
      </c>
      <c r="K485" t="s">
        <v>1283</v>
      </c>
      <c r="L485" t="s">
        <v>1033</v>
      </c>
      <c r="M485" t="s">
        <v>1325</v>
      </c>
      <c r="N485">
        <v>999</v>
      </c>
    </row>
    <row r="486" spans="1:14" x14ac:dyDescent="0.2">
      <c r="A486" t="str">
        <f ca="1">表_网址[[#This Row],[1级]]&amp;"-"&amp;表_网址[[#This Row],[2级]]&amp;"-"&amp;表_网址[[#This Row],[3级]]&amp;"-"&amp;表_网址[[#This Row],[级内]]</f>
        <v>9001-12-13-126</v>
      </c>
      <c r="B486">
        <f ca="1">MATCH(表_网址[[#This Row],[版层分类]],序列_版层分类,0)*1000+MATCH(表_网址[[#This Row],[首要关键词]],序列_首要关键词,0)</f>
        <v>9001</v>
      </c>
      <c r="C486">
        <f ca="1">IF(表_网址[[#This Row],[次要关键词]]="",10,MATCH(表_网址[[#This Row],[次要关键词]],序列_次要关键词,0)+10)</f>
        <v>12</v>
      </c>
      <c r="D486">
        <f ca="1">IF(表_网址[[#This Row],[重点关键词]]="",10,MATCH(表_网址[[#This Row],[重点关键词]],序列_重点关键词,0)+10)</f>
        <v>13</v>
      </c>
      <c r="E486">
        <f>IF(AND(表_网址[[#This Row],[首要关键词]]=K485,表_网址[[#This Row],[次要关键词]]=L485,表_网址[[#This Row],[重点关键词]]=M485),E485+1,IF(表_网址[[#This Row],[重点关键词]]="",100,101))</f>
        <v>126</v>
      </c>
      <c r="F486" t="s">
        <v>1384</v>
      </c>
      <c r="G486" t="s">
        <v>1385</v>
      </c>
      <c r="J486" t="s">
        <v>506</v>
      </c>
      <c r="K486" t="s">
        <v>1283</v>
      </c>
      <c r="L486" t="s">
        <v>1033</v>
      </c>
      <c r="M486" t="s">
        <v>1325</v>
      </c>
      <c r="N486">
        <v>999</v>
      </c>
    </row>
    <row r="487" spans="1:14" x14ac:dyDescent="0.2">
      <c r="A487" t="str">
        <f ca="1">表_网址[[#This Row],[1级]]&amp;"-"&amp;表_网址[[#This Row],[2级]]&amp;"-"&amp;表_网址[[#This Row],[3级]]&amp;"-"&amp;表_网址[[#This Row],[级内]]</f>
        <v>9001-12-13-127</v>
      </c>
      <c r="B487">
        <f ca="1">MATCH(表_网址[[#This Row],[版层分类]],序列_版层分类,0)*1000+MATCH(表_网址[[#This Row],[首要关键词]],序列_首要关键词,0)</f>
        <v>9001</v>
      </c>
      <c r="C487">
        <f ca="1">IF(表_网址[[#This Row],[次要关键词]]="",10,MATCH(表_网址[[#This Row],[次要关键词]],序列_次要关键词,0)+10)</f>
        <v>12</v>
      </c>
      <c r="D487">
        <f ca="1">IF(表_网址[[#This Row],[重点关键词]]="",10,MATCH(表_网址[[#This Row],[重点关键词]],序列_重点关键词,0)+10)</f>
        <v>13</v>
      </c>
      <c r="E487">
        <f>IF(AND(表_网址[[#This Row],[首要关键词]]=K486,表_网址[[#This Row],[次要关键词]]=L486,表_网址[[#This Row],[重点关键词]]=M486),E486+1,IF(表_网址[[#This Row],[重点关键词]]="",100,101))</f>
        <v>127</v>
      </c>
      <c r="F487" t="s">
        <v>1386</v>
      </c>
      <c r="G487" t="s">
        <v>1387</v>
      </c>
      <c r="H487" t="s">
        <v>1388</v>
      </c>
      <c r="J487" t="s">
        <v>506</v>
      </c>
      <c r="K487" t="s">
        <v>1283</v>
      </c>
      <c r="L487" t="s">
        <v>1033</v>
      </c>
      <c r="M487" t="s">
        <v>1325</v>
      </c>
      <c r="N487">
        <v>999</v>
      </c>
    </row>
    <row r="488" spans="1:14" x14ac:dyDescent="0.2">
      <c r="A488" t="str">
        <f ca="1">表_网址[[#This Row],[1级]]&amp;"-"&amp;表_网址[[#This Row],[2级]]&amp;"-"&amp;表_网址[[#This Row],[3级]]&amp;"-"&amp;表_网址[[#This Row],[级内]]</f>
        <v>9001-12-13-128</v>
      </c>
      <c r="B488">
        <f ca="1">MATCH(表_网址[[#This Row],[版层分类]],序列_版层分类,0)*1000+MATCH(表_网址[[#This Row],[首要关键词]],序列_首要关键词,0)</f>
        <v>9001</v>
      </c>
      <c r="C488">
        <f ca="1">IF(表_网址[[#This Row],[次要关键词]]="",10,MATCH(表_网址[[#This Row],[次要关键词]],序列_次要关键词,0)+10)</f>
        <v>12</v>
      </c>
      <c r="D488">
        <f ca="1">IF(表_网址[[#This Row],[重点关键词]]="",10,MATCH(表_网址[[#This Row],[重点关键词]],序列_重点关键词,0)+10)</f>
        <v>13</v>
      </c>
      <c r="E488">
        <f>IF(AND(表_网址[[#This Row],[首要关键词]]=K487,表_网址[[#This Row],[次要关键词]]=L487,表_网址[[#This Row],[重点关键词]]=M487),E487+1,IF(表_网址[[#This Row],[重点关键词]]="",100,101))</f>
        <v>128</v>
      </c>
      <c r="F488" t="s">
        <v>1389</v>
      </c>
      <c r="G488" t="s">
        <v>1390</v>
      </c>
      <c r="H488" t="s">
        <v>1391</v>
      </c>
      <c r="J488" t="s">
        <v>506</v>
      </c>
      <c r="K488" t="s">
        <v>1283</v>
      </c>
      <c r="L488" t="s">
        <v>1033</v>
      </c>
      <c r="M488" t="s">
        <v>1325</v>
      </c>
      <c r="N488">
        <v>999</v>
      </c>
    </row>
    <row r="489" spans="1:14" x14ac:dyDescent="0.2">
      <c r="A489" t="str">
        <f ca="1">表_网址[[#This Row],[1级]]&amp;"-"&amp;表_网址[[#This Row],[2级]]&amp;"-"&amp;表_网址[[#This Row],[3级]]&amp;"-"&amp;表_网址[[#This Row],[级内]]</f>
        <v>9001-12-13-129</v>
      </c>
      <c r="B489">
        <f ca="1">MATCH(表_网址[[#This Row],[版层分类]],序列_版层分类,0)*1000+MATCH(表_网址[[#This Row],[首要关键词]],序列_首要关键词,0)</f>
        <v>9001</v>
      </c>
      <c r="C489">
        <f ca="1">IF(表_网址[[#This Row],[次要关键词]]="",10,MATCH(表_网址[[#This Row],[次要关键词]],序列_次要关键词,0)+10)</f>
        <v>12</v>
      </c>
      <c r="D489">
        <f ca="1">IF(表_网址[[#This Row],[重点关键词]]="",10,MATCH(表_网址[[#This Row],[重点关键词]],序列_重点关键词,0)+10)</f>
        <v>13</v>
      </c>
      <c r="E489">
        <f>IF(AND(表_网址[[#This Row],[首要关键词]]=K488,表_网址[[#This Row],[次要关键词]]=L488,表_网址[[#This Row],[重点关键词]]=M488),E488+1,IF(表_网址[[#This Row],[重点关键词]]="",100,101))</f>
        <v>129</v>
      </c>
      <c r="F489" t="s">
        <v>1392</v>
      </c>
      <c r="G489" t="s">
        <v>1393</v>
      </c>
      <c r="J489" t="s">
        <v>506</v>
      </c>
      <c r="K489" t="s">
        <v>1283</v>
      </c>
      <c r="L489" t="s">
        <v>1033</v>
      </c>
      <c r="M489" t="s">
        <v>1325</v>
      </c>
      <c r="N489">
        <v>999</v>
      </c>
    </row>
    <row r="490" spans="1:14" x14ac:dyDescent="0.2">
      <c r="A490" t="str">
        <f ca="1">表_网址[[#This Row],[1级]]&amp;"-"&amp;表_网址[[#This Row],[2级]]&amp;"-"&amp;表_网址[[#This Row],[3级]]&amp;"-"&amp;表_网址[[#This Row],[级内]]</f>
        <v>9001-12-13-130</v>
      </c>
      <c r="B490">
        <f ca="1">MATCH(表_网址[[#This Row],[版层分类]],序列_版层分类,0)*1000+MATCH(表_网址[[#This Row],[首要关键词]],序列_首要关键词,0)</f>
        <v>9001</v>
      </c>
      <c r="C490">
        <f ca="1">IF(表_网址[[#This Row],[次要关键词]]="",10,MATCH(表_网址[[#This Row],[次要关键词]],序列_次要关键词,0)+10)</f>
        <v>12</v>
      </c>
      <c r="D490">
        <f ca="1">IF(表_网址[[#This Row],[重点关键词]]="",10,MATCH(表_网址[[#This Row],[重点关键词]],序列_重点关键词,0)+10)</f>
        <v>13</v>
      </c>
      <c r="E490">
        <f>IF(AND(表_网址[[#This Row],[首要关键词]]=K489,表_网址[[#This Row],[次要关键词]]=L489,表_网址[[#This Row],[重点关键词]]=M489),E489+1,IF(表_网址[[#This Row],[重点关键词]]="",100,101))</f>
        <v>130</v>
      </c>
      <c r="F490" t="s">
        <v>1394</v>
      </c>
      <c r="G490" t="s">
        <v>1395</v>
      </c>
      <c r="J490" t="s">
        <v>506</v>
      </c>
      <c r="K490" t="s">
        <v>1283</v>
      </c>
      <c r="L490" t="s">
        <v>1033</v>
      </c>
      <c r="M490" t="s">
        <v>1325</v>
      </c>
      <c r="N490">
        <v>999</v>
      </c>
    </row>
    <row r="491" spans="1:14" x14ac:dyDescent="0.2">
      <c r="A491" t="str">
        <f ca="1">表_网址[[#This Row],[1级]]&amp;"-"&amp;表_网址[[#This Row],[2级]]&amp;"-"&amp;表_网址[[#This Row],[3级]]&amp;"-"&amp;表_网址[[#This Row],[级内]]</f>
        <v>9001-12-13-131</v>
      </c>
      <c r="B491">
        <f ca="1">MATCH(表_网址[[#This Row],[版层分类]],序列_版层分类,0)*1000+MATCH(表_网址[[#This Row],[首要关键词]],序列_首要关键词,0)</f>
        <v>9001</v>
      </c>
      <c r="C491">
        <f ca="1">IF(表_网址[[#This Row],[次要关键词]]="",10,MATCH(表_网址[[#This Row],[次要关键词]],序列_次要关键词,0)+10)</f>
        <v>12</v>
      </c>
      <c r="D491">
        <f ca="1">IF(表_网址[[#This Row],[重点关键词]]="",10,MATCH(表_网址[[#This Row],[重点关键词]],序列_重点关键词,0)+10)</f>
        <v>13</v>
      </c>
      <c r="E491">
        <f>IF(AND(表_网址[[#This Row],[首要关键词]]=K490,表_网址[[#This Row],[次要关键词]]=L490,表_网址[[#This Row],[重点关键词]]=M490),E490+1,IF(表_网址[[#This Row],[重点关键词]]="",100,101))</f>
        <v>131</v>
      </c>
      <c r="F491" t="s">
        <v>1396</v>
      </c>
      <c r="G491" t="s">
        <v>1397</v>
      </c>
      <c r="J491" t="s">
        <v>506</v>
      </c>
      <c r="K491" t="s">
        <v>1283</v>
      </c>
      <c r="L491" t="s">
        <v>1033</v>
      </c>
      <c r="M491" t="s">
        <v>1325</v>
      </c>
      <c r="N491">
        <v>999</v>
      </c>
    </row>
    <row r="492" spans="1:14" x14ac:dyDescent="0.2">
      <c r="A492" t="str">
        <f ca="1">表_网址[[#This Row],[1级]]&amp;"-"&amp;表_网址[[#This Row],[2级]]&amp;"-"&amp;表_网址[[#This Row],[3级]]&amp;"-"&amp;表_网址[[#This Row],[级内]]</f>
        <v>9001-12-13-132</v>
      </c>
      <c r="B492">
        <f ca="1">MATCH(表_网址[[#This Row],[版层分类]],序列_版层分类,0)*1000+MATCH(表_网址[[#This Row],[首要关键词]],序列_首要关键词,0)</f>
        <v>9001</v>
      </c>
      <c r="C492">
        <f ca="1">IF(表_网址[[#This Row],[次要关键词]]="",10,MATCH(表_网址[[#This Row],[次要关键词]],序列_次要关键词,0)+10)</f>
        <v>12</v>
      </c>
      <c r="D492">
        <f ca="1">IF(表_网址[[#This Row],[重点关键词]]="",10,MATCH(表_网址[[#This Row],[重点关键词]],序列_重点关键词,0)+10)</f>
        <v>13</v>
      </c>
      <c r="E492">
        <f>IF(AND(表_网址[[#This Row],[首要关键词]]=K491,表_网址[[#This Row],[次要关键词]]=L491,表_网址[[#This Row],[重点关键词]]=M491),E491+1,IF(表_网址[[#This Row],[重点关键词]]="",100,101))</f>
        <v>132</v>
      </c>
      <c r="F492" t="s">
        <v>1398</v>
      </c>
      <c r="G492" t="s">
        <v>1399</v>
      </c>
      <c r="H492" t="s">
        <v>1400</v>
      </c>
      <c r="J492" t="s">
        <v>506</v>
      </c>
      <c r="K492" t="s">
        <v>1283</v>
      </c>
      <c r="L492" t="s">
        <v>1033</v>
      </c>
      <c r="M492" t="s">
        <v>1325</v>
      </c>
      <c r="N492">
        <v>999</v>
      </c>
    </row>
    <row r="493" spans="1:14" x14ac:dyDescent="0.2">
      <c r="A493" t="str">
        <f ca="1">表_网址[[#This Row],[1级]]&amp;"-"&amp;表_网址[[#This Row],[2级]]&amp;"-"&amp;表_网址[[#This Row],[3级]]&amp;"-"&amp;表_网址[[#This Row],[级内]]</f>
        <v>9001-12-13-133</v>
      </c>
      <c r="B493">
        <f ca="1">MATCH(表_网址[[#This Row],[版层分类]],序列_版层分类,0)*1000+MATCH(表_网址[[#This Row],[首要关键词]],序列_首要关键词,0)</f>
        <v>9001</v>
      </c>
      <c r="C493">
        <f ca="1">IF(表_网址[[#This Row],[次要关键词]]="",10,MATCH(表_网址[[#This Row],[次要关键词]],序列_次要关键词,0)+10)</f>
        <v>12</v>
      </c>
      <c r="D493">
        <f ca="1">IF(表_网址[[#This Row],[重点关键词]]="",10,MATCH(表_网址[[#This Row],[重点关键词]],序列_重点关键词,0)+10)</f>
        <v>13</v>
      </c>
      <c r="E493">
        <f>IF(AND(表_网址[[#This Row],[首要关键词]]=K492,表_网址[[#This Row],[次要关键词]]=L492,表_网址[[#This Row],[重点关键词]]=M492),E492+1,IF(表_网址[[#This Row],[重点关键词]]="",100,101))</f>
        <v>133</v>
      </c>
      <c r="F493" t="s">
        <v>1401</v>
      </c>
      <c r="G493" t="s">
        <v>1402</v>
      </c>
      <c r="J493" t="s">
        <v>506</v>
      </c>
      <c r="K493" t="s">
        <v>1283</v>
      </c>
      <c r="L493" t="s">
        <v>1033</v>
      </c>
      <c r="M493" t="s">
        <v>1325</v>
      </c>
      <c r="N493">
        <v>999</v>
      </c>
    </row>
    <row r="494" spans="1:14" x14ac:dyDescent="0.2">
      <c r="A494" t="str">
        <f ca="1">表_网址[[#This Row],[1级]]&amp;"-"&amp;表_网址[[#This Row],[2级]]&amp;"-"&amp;表_网址[[#This Row],[3级]]&amp;"-"&amp;表_网址[[#This Row],[级内]]</f>
        <v>9001-12-13-134</v>
      </c>
      <c r="B494">
        <f ca="1">MATCH(表_网址[[#This Row],[版层分类]],序列_版层分类,0)*1000+MATCH(表_网址[[#This Row],[首要关键词]],序列_首要关键词,0)</f>
        <v>9001</v>
      </c>
      <c r="C494">
        <f ca="1">IF(表_网址[[#This Row],[次要关键词]]="",10,MATCH(表_网址[[#This Row],[次要关键词]],序列_次要关键词,0)+10)</f>
        <v>12</v>
      </c>
      <c r="D494">
        <f ca="1">IF(表_网址[[#This Row],[重点关键词]]="",10,MATCH(表_网址[[#This Row],[重点关键词]],序列_重点关键词,0)+10)</f>
        <v>13</v>
      </c>
      <c r="E494">
        <f>IF(AND(表_网址[[#This Row],[首要关键词]]=K493,表_网址[[#This Row],[次要关键词]]=L493,表_网址[[#This Row],[重点关键词]]=M493),E493+1,IF(表_网址[[#This Row],[重点关键词]]="",100,101))</f>
        <v>134</v>
      </c>
      <c r="F494" t="s">
        <v>1403</v>
      </c>
      <c r="G494" t="s">
        <v>1404</v>
      </c>
      <c r="J494" t="s">
        <v>506</v>
      </c>
      <c r="K494" t="s">
        <v>1283</v>
      </c>
      <c r="L494" t="s">
        <v>1033</v>
      </c>
      <c r="M494" t="s">
        <v>1325</v>
      </c>
      <c r="N494">
        <v>999</v>
      </c>
    </row>
    <row r="495" spans="1:14" x14ac:dyDescent="0.2">
      <c r="A495" t="str">
        <f ca="1">表_网址[[#This Row],[1级]]&amp;"-"&amp;表_网址[[#This Row],[2级]]&amp;"-"&amp;表_网址[[#This Row],[3级]]&amp;"-"&amp;表_网址[[#This Row],[级内]]</f>
        <v>9001-12-13-135</v>
      </c>
      <c r="B495">
        <f ca="1">MATCH(表_网址[[#This Row],[版层分类]],序列_版层分类,0)*1000+MATCH(表_网址[[#This Row],[首要关键词]],序列_首要关键词,0)</f>
        <v>9001</v>
      </c>
      <c r="C495">
        <f ca="1">IF(表_网址[[#This Row],[次要关键词]]="",10,MATCH(表_网址[[#This Row],[次要关键词]],序列_次要关键词,0)+10)</f>
        <v>12</v>
      </c>
      <c r="D495">
        <f ca="1">IF(表_网址[[#This Row],[重点关键词]]="",10,MATCH(表_网址[[#This Row],[重点关键词]],序列_重点关键词,0)+10)</f>
        <v>13</v>
      </c>
      <c r="E495">
        <f>IF(AND(表_网址[[#This Row],[首要关键词]]=K494,表_网址[[#This Row],[次要关键词]]=L494,表_网址[[#This Row],[重点关键词]]=M494),E494+1,IF(表_网址[[#This Row],[重点关键词]]="",100,101))</f>
        <v>135</v>
      </c>
      <c r="F495" t="s">
        <v>1405</v>
      </c>
      <c r="G495" t="s">
        <v>1406</v>
      </c>
      <c r="J495" t="s">
        <v>506</v>
      </c>
      <c r="K495" t="s">
        <v>1283</v>
      </c>
      <c r="L495" t="s">
        <v>1033</v>
      </c>
      <c r="M495" t="s">
        <v>1325</v>
      </c>
      <c r="N495">
        <v>999</v>
      </c>
    </row>
    <row r="496" spans="1:14" x14ac:dyDescent="0.2">
      <c r="A496" t="str">
        <f ca="1">表_网址[[#This Row],[1级]]&amp;"-"&amp;表_网址[[#This Row],[2级]]&amp;"-"&amp;表_网址[[#This Row],[3级]]&amp;"-"&amp;表_网址[[#This Row],[级内]]</f>
        <v>9001-12-13-136</v>
      </c>
      <c r="B496">
        <f ca="1">MATCH(表_网址[[#This Row],[版层分类]],序列_版层分类,0)*1000+MATCH(表_网址[[#This Row],[首要关键词]],序列_首要关键词,0)</f>
        <v>9001</v>
      </c>
      <c r="C496">
        <f ca="1">IF(表_网址[[#This Row],[次要关键词]]="",10,MATCH(表_网址[[#This Row],[次要关键词]],序列_次要关键词,0)+10)</f>
        <v>12</v>
      </c>
      <c r="D496">
        <f ca="1">IF(表_网址[[#This Row],[重点关键词]]="",10,MATCH(表_网址[[#This Row],[重点关键词]],序列_重点关键词,0)+10)</f>
        <v>13</v>
      </c>
      <c r="E496">
        <f>IF(AND(表_网址[[#This Row],[首要关键词]]=K495,表_网址[[#This Row],[次要关键词]]=L495,表_网址[[#This Row],[重点关键词]]=M495),E495+1,IF(表_网址[[#This Row],[重点关键词]]="",100,101))</f>
        <v>136</v>
      </c>
      <c r="F496" t="s">
        <v>1407</v>
      </c>
      <c r="G496" t="s">
        <v>1408</v>
      </c>
      <c r="J496" t="s">
        <v>506</v>
      </c>
      <c r="K496" t="s">
        <v>1283</v>
      </c>
      <c r="L496" t="s">
        <v>1033</v>
      </c>
      <c r="M496" t="s">
        <v>1325</v>
      </c>
      <c r="N496">
        <v>999</v>
      </c>
    </row>
    <row r="497" spans="1:14" x14ac:dyDescent="0.2">
      <c r="A497" t="str">
        <f ca="1">表_网址[[#This Row],[1级]]&amp;"-"&amp;表_网址[[#This Row],[2级]]&amp;"-"&amp;表_网址[[#This Row],[3级]]&amp;"-"&amp;表_网址[[#This Row],[级内]]</f>
        <v>9001-12-13-137</v>
      </c>
      <c r="B497">
        <f ca="1">MATCH(表_网址[[#This Row],[版层分类]],序列_版层分类,0)*1000+MATCH(表_网址[[#This Row],[首要关键词]],序列_首要关键词,0)</f>
        <v>9001</v>
      </c>
      <c r="C497">
        <f ca="1">IF(表_网址[[#This Row],[次要关键词]]="",10,MATCH(表_网址[[#This Row],[次要关键词]],序列_次要关键词,0)+10)</f>
        <v>12</v>
      </c>
      <c r="D497">
        <f ca="1">IF(表_网址[[#This Row],[重点关键词]]="",10,MATCH(表_网址[[#This Row],[重点关键词]],序列_重点关键词,0)+10)</f>
        <v>13</v>
      </c>
      <c r="E497">
        <f>IF(AND(表_网址[[#This Row],[首要关键词]]=K496,表_网址[[#This Row],[次要关键词]]=L496,表_网址[[#This Row],[重点关键词]]=M496),E496+1,IF(表_网址[[#This Row],[重点关键词]]="",100,101))</f>
        <v>137</v>
      </c>
      <c r="F497" t="s">
        <v>1409</v>
      </c>
      <c r="G497" t="s">
        <v>1410</v>
      </c>
      <c r="J497" t="s">
        <v>506</v>
      </c>
      <c r="K497" t="s">
        <v>1283</v>
      </c>
      <c r="L497" t="s">
        <v>1033</v>
      </c>
      <c r="M497" t="s">
        <v>1325</v>
      </c>
      <c r="N497">
        <v>999</v>
      </c>
    </row>
    <row r="498" spans="1:14" x14ac:dyDescent="0.2">
      <c r="A498" t="str">
        <f ca="1">表_网址[[#This Row],[1级]]&amp;"-"&amp;表_网址[[#This Row],[2级]]&amp;"-"&amp;表_网址[[#This Row],[3级]]&amp;"-"&amp;表_网址[[#This Row],[级内]]</f>
        <v>9001-12-13-138</v>
      </c>
      <c r="B498">
        <f ca="1">MATCH(表_网址[[#This Row],[版层分类]],序列_版层分类,0)*1000+MATCH(表_网址[[#This Row],[首要关键词]],序列_首要关键词,0)</f>
        <v>9001</v>
      </c>
      <c r="C498">
        <f ca="1">IF(表_网址[[#This Row],[次要关键词]]="",10,MATCH(表_网址[[#This Row],[次要关键词]],序列_次要关键词,0)+10)</f>
        <v>12</v>
      </c>
      <c r="D498">
        <f ca="1">IF(表_网址[[#This Row],[重点关键词]]="",10,MATCH(表_网址[[#This Row],[重点关键词]],序列_重点关键词,0)+10)</f>
        <v>13</v>
      </c>
      <c r="E498">
        <f>IF(AND(表_网址[[#This Row],[首要关键词]]=K497,表_网址[[#This Row],[次要关键词]]=L497,表_网址[[#This Row],[重点关键词]]=M497),E497+1,IF(表_网址[[#This Row],[重点关键词]]="",100,101))</f>
        <v>138</v>
      </c>
      <c r="F498" t="s">
        <v>1411</v>
      </c>
      <c r="G498" t="s">
        <v>1412</v>
      </c>
      <c r="H498" t="s">
        <v>1413</v>
      </c>
      <c r="J498" t="s">
        <v>506</v>
      </c>
      <c r="K498" t="s">
        <v>1283</v>
      </c>
      <c r="L498" t="s">
        <v>1033</v>
      </c>
      <c r="M498" t="s">
        <v>1325</v>
      </c>
      <c r="N498">
        <v>999</v>
      </c>
    </row>
    <row r="499" spans="1:14" x14ac:dyDescent="0.2">
      <c r="A499" t="str">
        <f ca="1">表_网址[[#This Row],[1级]]&amp;"-"&amp;表_网址[[#This Row],[2级]]&amp;"-"&amp;表_网址[[#This Row],[3级]]&amp;"-"&amp;表_网址[[#This Row],[级内]]</f>
        <v>9001-12-13-139</v>
      </c>
      <c r="B499">
        <f ca="1">MATCH(表_网址[[#This Row],[版层分类]],序列_版层分类,0)*1000+MATCH(表_网址[[#This Row],[首要关键词]],序列_首要关键词,0)</f>
        <v>9001</v>
      </c>
      <c r="C499">
        <f ca="1">IF(表_网址[[#This Row],[次要关键词]]="",10,MATCH(表_网址[[#This Row],[次要关键词]],序列_次要关键词,0)+10)</f>
        <v>12</v>
      </c>
      <c r="D499">
        <f ca="1">IF(表_网址[[#This Row],[重点关键词]]="",10,MATCH(表_网址[[#This Row],[重点关键词]],序列_重点关键词,0)+10)</f>
        <v>13</v>
      </c>
      <c r="E499">
        <f>IF(AND(表_网址[[#This Row],[首要关键词]]=K498,表_网址[[#This Row],[次要关键词]]=L498,表_网址[[#This Row],[重点关键词]]=M498),E498+1,IF(表_网址[[#This Row],[重点关键词]]="",100,101))</f>
        <v>139</v>
      </c>
      <c r="F499" t="s">
        <v>1414</v>
      </c>
      <c r="G499" t="s">
        <v>1415</v>
      </c>
      <c r="J499" t="s">
        <v>506</v>
      </c>
      <c r="K499" t="s">
        <v>1283</v>
      </c>
      <c r="L499" t="s">
        <v>1033</v>
      </c>
      <c r="M499" t="s">
        <v>1325</v>
      </c>
      <c r="N499">
        <v>999</v>
      </c>
    </row>
    <row r="500" spans="1:14" x14ac:dyDescent="0.2">
      <c r="A500" t="str">
        <f ca="1">表_网址[[#This Row],[1级]]&amp;"-"&amp;表_网址[[#This Row],[2级]]&amp;"-"&amp;表_网址[[#This Row],[3级]]&amp;"-"&amp;表_网址[[#This Row],[级内]]</f>
        <v>9001-12-13-140</v>
      </c>
      <c r="B500">
        <f ca="1">MATCH(表_网址[[#This Row],[版层分类]],序列_版层分类,0)*1000+MATCH(表_网址[[#This Row],[首要关键词]],序列_首要关键词,0)</f>
        <v>9001</v>
      </c>
      <c r="C500">
        <f ca="1">IF(表_网址[[#This Row],[次要关键词]]="",10,MATCH(表_网址[[#This Row],[次要关键词]],序列_次要关键词,0)+10)</f>
        <v>12</v>
      </c>
      <c r="D500">
        <f ca="1">IF(表_网址[[#This Row],[重点关键词]]="",10,MATCH(表_网址[[#This Row],[重点关键词]],序列_重点关键词,0)+10)</f>
        <v>13</v>
      </c>
      <c r="E500">
        <f>IF(AND(表_网址[[#This Row],[首要关键词]]=K499,表_网址[[#This Row],[次要关键词]]=L499,表_网址[[#This Row],[重点关键词]]=M499),E499+1,IF(表_网址[[#This Row],[重点关键词]]="",100,101))</f>
        <v>140</v>
      </c>
      <c r="F500" t="s">
        <v>1416</v>
      </c>
      <c r="G500" t="s">
        <v>1417</v>
      </c>
      <c r="J500" t="s">
        <v>506</v>
      </c>
      <c r="K500" t="s">
        <v>1283</v>
      </c>
      <c r="L500" t="s">
        <v>1033</v>
      </c>
      <c r="M500" t="s">
        <v>1325</v>
      </c>
      <c r="N500">
        <v>999</v>
      </c>
    </row>
    <row r="501" spans="1:14" x14ac:dyDescent="0.2">
      <c r="A501" t="str">
        <f ca="1">表_网址[[#This Row],[1级]]&amp;"-"&amp;表_网址[[#This Row],[2级]]&amp;"-"&amp;表_网址[[#This Row],[3级]]&amp;"-"&amp;表_网址[[#This Row],[级内]]</f>
        <v>9001-12-13-141</v>
      </c>
      <c r="B501">
        <f ca="1">MATCH(表_网址[[#This Row],[版层分类]],序列_版层分类,0)*1000+MATCH(表_网址[[#This Row],[首要关键词]],序列_首要关键词,0)</f>
        <v>9001</v>
      </c>
      <c r="C501">
        <f ca="1">IF(表_网址[[#This Row],[次要关键词]]="",10,MATCH(表_网址[[#This Row],[次要关键词]],序列_次要关键词,0)+10)</f>
        <v>12</v>
      </c>
      <c r="D501">
        <f ca="1">IF(表_网址[[#This Row],[重点关键词]]="",10,MATCH(表_网址[[#This Row],[重点关键词]],序列_重点关键词,0)+10)</f>
        <v>13</v>
      </c>
      <c r="E501">
        <f>IF(AND(表_网址[[#This Row],[首要关键词]]=K500,表_网址[[#This Row],[次要关键词]]=L500,表_网址[[#This Row],[重点关键词]]=M500),E500+1,IF(表_网址[[#This Row],[重点关键词]]="",100,101))</f>
        <v>141</v>
      </c>
      <c r="F501" t="s">
        <v>1418</v>
      </c>
      <c r="G501" t="s">
        <v>1419</v>
      </c>
      <c r="J501" t="s">
        <v>506</v>
      </c>
      <c r="K501" t="s">
        <v>1283</v>
      </c>
      <c r="L501" t="s">
        <v>1033</v>
      </c>
      <c r="M501" t="s">
        <v>1325</v>
      </c>
      <c r="N501">
        <v>999</v>
      </c>
    </row>
    <row r="502" spans="1:14" x14ac:dyDescent="0.2">
      <c r="A502" t="str">
        <f ca="1">表_网址[[#This Row],[1级]]&amp;"-"&amp;表_网址[[#This Row],[2级]]&amp;"-"&amp;表_网址[[#This Row],[3级]]&amp;"-"&amp;表_网址[[#This Row],[级内]]</f>
        <v>9001-12-13-142</v>
      </c>
      <c r="B502">
        <f ca="1">MATCH(表_网址[[#This Row],[版层分类]],序列_版层分类,0)*1000+MATCH(表_网址[[#This Row],[首要关键词]],序列_首要关键词,0)</f>
        <v>9001</v>
      </c>
      <c r="C502">
        <f ca="1">IF(表_网址[[#This Row],[次要关键词]]="",10,MATCH(表_网址[[#This Row],[次要关键词]],序列_次要关键词,0)+10)</f>
        <v>12</v>
      </c>
      <c r="D502">
        <f ca="1">IF(表_网址[[#This Row],[重点关键词]]="",10,MATCH(表_网址[[#This Row],[重点关键词]],序列_重点关键词,0)+10)</f>
        <v>13</v>
      </c>
      <c r="E502">
        <f>IF(AND(表_网址[[#This Row],[首要关键词]]=K501,表_网址[[#This Row],[次要关键词]]=L501,表_网址[[#This Row],[重点关键词]]=M501),E501+1,IF(表_网址[[#This Row],[重点关键词]]="",100,101))</f>
        <v>142</v>
      </c>
      <c r="F502" t="s">
        <v>1420</v>
      </c>
      <c r="G502" t="s">
        <v>1421</v>
      </c>
      <c r="H502" t="s">
        <v>1422</v>
      </c>
      <c r="J502" t="s">
        <v>506</v>
      </c>
      <c r="K502" t="s">
        <v>1283</v>
      </c>
      <c r="L502" t="s">
        <v>1033</v>
      </c>
      <c r="M502" t="s">
        <v>1325</v>
      </c>
      <c r="N502">
        <v>999</v>
      </c>
    </row>
    <row r="503" spans="1:14" x14ac:dyDescent="0.2">
      <c r="A503" t="str">
        <f ca="1">表_网址[[#This Row],[1级]]&amp;"-"&amp;表_网址[[#This Row],[2级]]&amp;"-"&amp;表_网址[[#This Row],[3级]]&amp;"-"&amp;表_网址[[#This Row],[级内]]</f>
        <v>9001-12-13-143</v>
      </c>
      <c r="B503">
        <f ca="1">MATCH(表_网址[[#This Row],[版层分类]],序列_版层分类,0)*1000+MATCH(表_网址[[#This Row],[首要关键词]],序列_首要关键词,0)</f>
        <v>9001</v>
      </c>
      <c r="C503">
        <f ca="1">IF(表_网址[[#This Row],[次要关键词]]="",10,MATCH(表_网址[[#This Row],[次要关键词]],序列_次要关键词,0)+10)</f>
        <v>12</v>
      </c>
      <c r="D503">
        <f ca="1">IF(表_网址[[#This Row],[重点关键词]]="",10,MATCH(表_网址[[#This Row],[重点关键词]],序列_重点关键词,0)+10)</f>
        <v>13</v>
      </c>
      <c r="E503">
        <f>IF(AND(表_网址[[#This Row],[首要关键词]]=K502,表_网址[[#This Row],[次要关键词]]=L502,表_网址[[#This Row],[重点关键词]]=M502),E502+1,IF(表_网址[[#This Row],[重点关键词]]="",100,101))</f>
        <v>143</v>
      </c>
      <c r="F503" t="s">
        <v>1423</v>
      </c>
      <c r="G503" t="s">
        <v>1424</v>
      </c>
      <c r="J503" t="s">
        <v>506</v>
      </c>
      <c r="K503" t="s">
        <v>1283</v>
      </c>
      <c r="L503" t="s">
        <v>1033</v>
      </c>
      <c r="M503" t="s">
        <v>1325</v>
      </c>
      <c r="N503">
        <v>999</v>
      </c>
    </row>
    <row r="504" spans="1:14" x14ac:dyDescent="0.2">
      <c r="A504" t="str">
        <f ca="1">表_网址[[#This Row],[1级]]&amp;"-"&amp;表_网址[[#This Row],[2级]]&amp;"-"&amp;表_网址[[#This Row],[3级]]&amp;"-"&amp;表_网址[[#This Row],[级内]]</f>
        <v>9001-12-14-101</v>
      </c>
      <c r="B504">
        <f ca="1">MATCH(表_网址[[#This Row],[版层分类]],序列_版层分类,0)*1000+MATCH(表_网址[[#This Row],[首要关键词]],序列_首要关键词,0)</f>
        <v>9001</v>
      </c>
      <c r="C504">
        <f ca="1">IF(表_网址[[#This Row],[次要关键词]]="",10,MATCH(表_网址[[#This Row],[次要关键词]],序列_次要关键词,0)+10)</f>
        <v>12</v>
      </c>
      <c r="D504">
        <f ca="1">IF(表_网址[[#This Row],[重点关键词]]="",10,MATCH(表_网址[[#This Row],[重点关键词]],序列_重点关键词,0)+10)</f>
        <v>14</v>
      </c>
      <c r="E504">
        <f>IF(AND(表_网址[[#This Row],[首要关键词]]=K503,表_网址[[#This Row],[次要关键词]]=L503,表_网址[[#This Row],[重点关键词]]=M503),E503+1,IF(表_网址[[#This Row],[重点关键词]]="",100,101))</f>
        <v>101</v>
      </c>
      <c r="F504" t="s">
        <v>1425</v>
      </c>
      <c r="G504" t="s">
        <v>1426</v>
      </c>
      <c r="J504" t="s">
        <v>506</v>
      </c>
      <c r="K504" t="s">
        <v>1283</v>
      </c>
      <c r="L504" t="s">
        <v>1033</v>
      </c>
      <c r="M504" t="s">
        <v>1261</v>
      </c>
      <c r="N504">
        <v>999</v>
      </c>
    </row>
    <row r="505" spans="1:14" x14ac:dyDescent="0.2">
      <c r="A505" t="str">
        <f ca="1">表_网址[[#This Row],[1级]]&amp;"-"&amp;表_网址[[#This Row],[2级]]&amp;"-"&amp;表_网址[[#This Row],[3级]]&amp;"-"&amp;表_网址[[#This Row],[级内]]</f>
        <v>9001-12-14-102</v>
      </c>
      <c r="B505">
        <f ca="1">MATCH(表_网址[[#This Row],[版层分类]],序列_版层分类,0)*1000+MATCH(表_网址[[#This Row],[首要关键词]],序列_首要关键词,0)</f>
        <v>9001</v>
      </c>
      <c r="C505">
        <f ca="1">IF(表_网址[[#This Row],[次要关键词]]="",10,MATCH(表_网址[[#This Row],[次要关键词]],序列_次要关键词,0)+10)</f>
        <v>12</v>
      </c>
      <c r="D505">
        <f ca="1">IF(表_网址[[#This Row],[重点关键词]]="",10,MATCH(表_网址[[#This Row],[重点关键词]],序列_重点关键词,0)+10)</f>
        <v>14</v>
      </c>
      <c r="E505">
        <f>IF(AND(表_网址[[#This Row],[首要关键词]]=K504,表_网址[[#This Row],[次要关键词]]=L504,表_网址[[#This Row],[重点关键词]]=M504),E504+1,IF(表_网址[[#This Row],[重点关键词]]="",100,101))</f>
        <v>102</v>
      </c>
      <c r="F505" t="s">
        <v>1427</v>
      </c>
      <c r="G505" t="s">
        <v>1428</v>
      </c>
      <c r="J505" t="s">
        <v>506</v>
      </c>
      <c r="K505" t="s">
        <v>1283</v>
      </c>
      <c r="L505" t="s">
        <v>1033</v>
      </c>
      <c r="M505" t="s">
        <v>1261</v>
      </c>
      <c r="N505">
        <v>999</v>
      </c>
    </row>
    <row r="506" spans="1:14" x14ac:dyDescent="0.2">
      <c r="A506" t="str">
        <f ca="1">表_网址[[#This Row],[1级]]&amp;"-"&amp;表_网址[[#This Row],[2级]]&amp;"-"&amp;表_网址[[#This Row],[3级]]&amp;"-"&amp;表_网址[[#This Row],[级内]]</f>
        <v>9001-12-14-103</v>
      </c>
      <c r="B506">
        <f ca="1">MATCH(表_网址[[#This Row],[版层分类]],序列_版层分类,0)*1000+MATCH(表_网址[[#This Row],[首要关键词]],序列_首要关键词,0)</f>
        <v>9001</v>
      </c>
      <c r="C506">
        <f ca="1">IF(表_网址[[#This Row],[次要关键词]]="",10,MATCH(表_网址[[#This Row],[次要关键词]],序列_次要关键词,0)+10)</f>
        <v>12</v>
      </c>
      <c r="D506">
        <f ca="1">IF(表_网址[[#This Row],[重点关键词]]="",10,MATCH(表_网址[[#This Row],[重点关键词]],序列_重点关键词,0)+10)</f>
        <v>14</v>
      </c>
      <c r="E506">
        <f>IF(AND(表_网址[[#This Row],[首要关键词]]=K505,表_网址[[#This Row],[次要关键词]]=L505,表_网址[[#This Row],[重点关键词]]=M505),E505+1,IF(表_网址[[#This Row],[重点关键词]]="",100,101))</f>
        <v>103</v>
      </c>
      <c r="F506" t="s">
        <v>1429</v>
      </c>
      <c r="G506" t="s">
        <v>1430</v>
      </c>
      <c r="J506" t="s">
        <v>506</v>
      </c>
      <c r="K506" t="s">
        <v>1283</v>
      </c>
      <c r="L506" t="s">
        <v>1033</v>
      </c>
      <c r="M506" t="s">
        <v>1261</v>
      </c>
      <c r="N506">
        <v>999</v>
      </c>
    </row>
    <row r="507" spans="1:14" x14ac:dyDescent="0.2">
      <c r="A507" t="str">
        <f ca="1">表_网址[[#This Row],[1级]]&amp;"-"&amp;表_网址[[#This Row],[2级]]&amp;"-"&amp;表_网址[[#This Row],[3级]]&amp;"-"&amp;表_网址[[#This Row],[级内]]</f>
        <v>9001-12-14-104</v>
      </c>
      <c r="B507">
        <f ca="1">MATCH(表_网址[[#This Row],[版层分类]],序列_版层分类,0)*1000+MATCH(表_网址[[#This Row],[首要关键词]],序列_首要关键词,0)</f>
        <v>9001</v>
      </c>
      <c r="C507">
        <f ca="1">IF(表_网址[[#This Row],[次要关键词]]="",10,MATCH(表_网址[[#This Row],[次要关键词]],序列_次要关键词,0)+10)</f>
        <v>12</v>
      </c>
      <c r="D507">
        <f ca="1">IF(表_网址[[#This Row],[重点关键词]]="",10,MATCH(表_网址[[#This Row],[重点关键词]],序列_重点关键词,0)+10)</f>
        <v>14</v>
      </c>
      <c r="E507">
        <f>IF(AND(表_网址[[#This Row],[首要关键词]]=K506,表_网址[[#This Row],[次要关键词]]=L506,表_网址[[#This Row],[重点关键词]]=M506),E506+1,IF(表_网址[[#This Row],[重点关键词]]="",100,101))</f>
        <v>104</v>
      </c>
      <c r="F507" t="s">
        <v>1431</v>
      </c>
      <c r="G507" t="s">
        <v>1432</v>
      </c>
      <c r="J507" t="s">
        <v>506</v>
      </c>
      <c r="K507" t="s">
        <v>1283</v>
      </c>
      <c r="L507" t="s">
        <v>1033</v>
      </c>
      <c r="M507" t="s">
        <v>1261</v>
      </c>
      <c r="N507">
        <v>999</v>
      </c>
    </row>
    <row r="508" spans="1:14" x14ac:dyDescent="0.2">
      <c r="A508" t="str">
        <f ca="1">表_网址[[#This Row],[1级]]&amp;"-"&amp;表_网址[[#This Row],[2级]]&amp;"-"&amp;表_网址[[#This Row],[3级]]&amp;"-"&amp;表_网址[[#This Row],[级内]]</f>
        <v>9001-12-14-105</v>
      </c>
      <c r="B508">
        <f ca="1">MATCH(表_网址[[#This Row],[版层分类]],序列_版层分类,0)*1000+MATCH(表_网址[[#This Row],[首要关键词]],序列_首要关键词,0)</f>
        <v>9001</v>
      </c>
      <c r="C508">
        <f ca="1">IF(表_网址[[#This Row],[次要关键词]]="",10,MATCH(表_网址[[#This Row],[次要关键词]],序列_次要关键词,0)+10)</f>
        <v>12</v>
      </c>
      <c r="D508">
        <f ca="1">IF(表_网址[[#This Row],[重点关键词]]="",10,MATCH(表_网址[[#This Row],[重点关键词]],序列_重点关键词,0)+10)</f>
        <v>14</v>
      </c>
      <c r="E508">
        <f>IF(AND(表_网址[[#This Row],[首要关键词]]=K507,表_网址[[#This Row],[次要关键词]]=L507,表_网址[[#This Row],[重点关键词]]=M507),E507+1,IF(表_网址[[#This Row],[重点关键词]]="",100,101))</f>
        <v>105</v>
      </c>
      <c r="F508" t="s">
        <v>1433</v>
      </c>
      <c r="G508" t="s">
        <v>1434</v>
      </c>
      <c r="J508" t="s">
        <v>506</v>
      </c>
      <c r="K508" t="s">
        <v>1283</v>
      </c>
      <c r="L508" t="s">
        <v>1033</v>
      </c>
      <c r="M508" t="s">
        <v>1261</v>
      </c>
      <c r="N508">
        <v>999</v>
      </c>
    </row>
    <row r="509" spans="1:14" x14ac:dyDescent="0.2">
      <c r="A509" t="str">
        <f ca="1">表_网址[[#This Row],[1级]]&amp;"-"&amp;表_网址[[#This Row],[2级]]&amp;"-"&amp;表_网址[[#This Row],[3级]]&amp;"-"&amp;表_网址[[#This Row],[级内]]</f>
        <v>9001-12-14-106</v>
      </c>
      <c r="B509">
        <f ca="1">MATCH(表_网址[[#This Row],[版层分类]],序列_版层分类,0)*1000+MATCH(表_网址[[#This Row],[首要关键词]],序列_首要关键词,0)</f>
        <v>9001</v>
      </c>
      <c r="C509">
        <f ca="1">IF(表_网址[[#This Row],[次要关键词]]="",10,MATCH(表_网址[[#This Row],[次要关键词]],序列_次要关键词,0)+10)</f>
        <v>12</v>
      </c>
      <c r="D509">
        <f ca="1">IF(表_网址[[#This Row],[重点关键词]]="",10,MATCH(表_网址[[#This Row],[重点关键词]],序列_重点关键词,0)+10)</f>
        <v>14</v>
      </c>
      <c r="E509">
        <f>IF(AND(表_网址[[#This Row],[首要关键词]]=K508,表_网址[[#This Row],[次要关键词]]=L508,表_网址[[#This Row],[重点关键词]]=M508),E508+1,IF(表_网址[[#This Row],[重点关键词]]="",100,101))</f>
        <v>106</v>
      </c>
      <c r="F509" t="s">
        <v>1435</v>
      </c>
      <c r="G509" t="s">
        <v>1436</v>
      </c>
      <c r="J509" t="s">
        <v>506</v>
      </c>
      <c r="K509" t="s">
        <v>1283</v>
      </c>
      <c r="L509" t="s">
        <v>1033</v>
      </c>
      <c r="M509" t="s">
        <v>1261</v>
      </c>
      <c r="N509">
        <v>999</v>
      </c>
    </row>
    <row r="510" spans="1:14" x14ac:dyDescent="0.2">
      <c r="A510" t="str">
        <f ca="1">表_网址[[#This Row],[1级]]&amp;"-"&amp;表_网址[[#This Row],[2级]]&amp;"-"&amp;表_网址[[#This Row],[3级]]&amp;"-"&amp;表_网址[[#This Row],[级内]]</f>
        <v>9001-12-14-107</v>
      </c>
      <c r="B510">
        <f ca="1">MATCH(表_网址[[#This Row],[版层分类]],序列_版层分类,0)*1000+MATCH(表_网址[[#This Row],[首要关键词]],序列_首要关键词,0)</f>
        <v>9001</v>
      </c>
      <c r="C510">
        <f ca="1">IF(表_网址[[#This Row],[次要关键词]]="",10,MATCH(表_网址[[#This Row],[次要关键词]],序列_次要关键词,0)+10)</f>
        <v>12</v>
      </c>
      <c r="D510">
        <f ca="1">IF(表_网址[[#This Row],[重点关键词]]="",10,MATCH(表_网址[[#This Row],[重点关键词]],序列_重点关键词,0)+10)</f>
        <v>14</v>
      </c>
      <c r="E510">
        <f>IF(AND(表_网址[[#This Row],[首要关键词]]=K509,表_网址[[#This Row],[次要关键词]]=L509,表_网址[[#This Row],[重点关键词]]=M509),E509+1,IF(表_网址[[#This Row],[重点关键词]]="",100,101))</f>
        <v>107</v>
      </c>
      <c r="F510" t="s">
        <v>1437</v>
      </c>
      <c r="G510" t="s">
        <v>1438</v>
      </c>
      <c r="J510" t="s">
        <v>506</v>
      </c>
      <c r="K510" t="s">
        <v>1283</v>
      </c>
      <c r="L510" t="s">
        <v>1033</v>
      </c>
      <c r="M510" t="s">
        <v>1261</v>
      </c>
      <c r="N510">
        <v>999</v>
      </c>
    </row>
    <row r="511" spans="1:14" x14ac:dyDescent="0.2">
      <c r="A511" t="str">
        <f ca="1">表_网址[[#This Row],[1级]]&amp;"-"&amp;表_网址[[#This Row],[2级]]&amp;"-"&amp;表_网址[[#This Row],[3级]]&amp;"-"&amp;表_网址[[#This Row],[级内]]</f>
        <v>9001-12-14-108</v>
      </c>
      <c r="B511">
        <f ca="1">MATCH(表_网址[[#This Row],[版层分类]],序列_版层分类,0)*1000+MATCH(表_网址[[#This Row],[首要关键词]],序列_首要关键词,0)</f>
        <v>9001</v>
      </c>
      <c r="C511">
        <f ca="1">IF(表_网址[[#This Row],[次要关键词]]="",10,MATCH(表_网址[[#This Row],[次要关键词]],序列_次要关键词,0)+10)</f>
        <v>12</v>
      </c>
      <c r="D511">
        <f ca="1">IF(表_网址[[#This Row],[重点关键词]]="",10,MATCH(表_网址[[#This Row],[重点关键词]],序列_重点关键词,0)+10)</f>
        <v>14</v>
      </c>
      <c r="E511">
        <f>IF(AND(表_网址[[#This Row],[首要关键词]]=K510,表_网址[[#This Row],[次要关键词]]=L510,表_网址[[#This Row],[重点关键词]]=M510),E510+1,IF(表_网址[[#This Row],[重点关键词]]="",100,101))</f>
        <v>108</v>
      </c>
      <c r="F511" t="s">
        <v>1439</v>
      </c>
      <c r="G511" t="s">
        <v>1440</v>
      </c>
      <c r="J511" t="s">
        <v>506</v>
      </c>
      <c r="K511" t="s">
        <v>1283</v>
      </c>
      <c r="L511" t="s">
        <v>1033</v>
      </c>
      <c r="M511" t="s">
        <v>1261</v>
      </c>
      <c r="N511">
        <v>999</v>
      </c>
    </row>
    <row r="512" spans="1:14" x14ac:dyDescent="0.2">
      <c r="A512" t="str">
        <f ca="1">表_网址[[#This Row],[1级]]&amp;"-"&amp;表_网址[[#This Row],[2级]]&amp;"-"&amp;表_网址[[#This Row],[3级]]&amp;"-"&amp;表_网址[[#This Row],[级内]]</f>
        <v>9001-12-14-109</v>
      </c>
      <c r="B512">
        <f ca="1">MATCH(表_网址[[#This Row],[版层分类]],序列_版层分类,0)*1000+MATCH(表_网址[[#This Row],[首要关键词]],序列_首要关键词,0)</f>
        <v>9001</v>
      </c>
      <c r="C512">
        <f ca="1">IF(表_网址[[#This Row],[次要关键词]]="",10,MATCH(表_网址[[#This Row],[次要关键词]],序列_次要关键词,0)+10)</f>
        <v>12</v>
      </c>
      <c r="D512">
        <f ca="1">IF(表_网址[[#This Row],[重点关键词]]="",10,MATCH(表_网址[[#This Row],[重点关键词]],序列_重点关键词,0)+10)</f>
        <v>14</v>
      </c>
      <c r="E512">
        <f>IF(AND(表_网址[[#This Row],[首要关键词]]=K511,表_网址[[#This Row],[次要关键词]]=L511,表_网址[[#This Row],[重点关键词]]=M511),E511+1,IF(表_网址[[#This Row],[重点关键词]]="",100,101))</f>
        <v>109</v>
      </c>
      <c r="F512" t="s">
        <v>1441</v>
      </c>
      <c r="G512" t="s">
        <v>1442</v>
      </c>
      <c r="J512" t="s">
        <v>506</v>
      </c>
      <c r="K512" t="s">
        <v>1283</v>
      </c>
      <c r="L512" t="s">
        <v>1033</v>
      </c>
      <c r="M512" t="s">
        <v>1261</v>
      </c>
      <c r="N512">
        <v>999</v>
      </c>
    </row>
    <row r="513" spans="1:14" x14ac:dyDescent="0.2">
      <c r="A513" t="str">
        <f ca="1">表_网址[[#This Row],[1级]]&amp;"-"&amp;表_网址[[#This Row],[2级]]&amp;"-"&amp;表_网址[[#This Row],[3级]]&amp;"-"&amp;表_网址[[#This Row],[级内]]</f>
        <v>9001-12-14-110</v>
      </c>
      <c r="B513">
        <f ca="1">MATCH(表_网址[[#This Row],[版层分类]],序列_版层分类,0)*1000+MATCH(表_网址[[#This Row],[首要关键词]],序列_首要关键词,0)</f>
        <v>9001</v>
      </c>
      <c r="C513">
        <f ca="1">IF(表_网址[[#This Row],[次要关键词]]="",10,MATCH(表_网址[[#This Row],[次要关键词]],序列_次要关键词,0)+10)</f>
        <v>12</v>
      </c>
      <c r="D513">
        <f ca="1">IF(表_网址[[#This Row],[重点关键词]]="",10,MATCH(表_网址[[#This Row],[重点关键词]],序列_重点关键词,0)+10)</f>
        <v>14</v>
      </c>
      <c r="E513">
        <f>IF(AND(表_网址[[#This Row],[首要关键词]]=K512,表_网址[[#This Row],[次要关键词]]=L512,表_网址[[#This Row],[重点关键词]]=M512),E512+1,IF(表_网址[[#This Row],[重点关键词]]="",100,101))</f>
        <v>110</v>
      </c>
      <c r="F513" t="s">
        <v>1443</v>
      </c>
      <c r="G513" t="s">
        <v>1444</v>
      </c>
      <c r="J513" t="s">
        <v>506</v>
      </c>
      <c r="K513" t="s">
        <v>1283</v>
      </c>
      <c r="L513" t="s">
        <v>1033</v>
      </c>
      <c r="M513" t="s">
        <v>1261</v>
      </c>
      <c r="N513">
        <v>999</v>
      </c>
    </row>
    <row r="514" spans="1:14" x14ac:dyDescent="0.2">
      <c r="A514" t="str">
        <f ca="1">表_网址[[#This Row],[1级]]&amp;"-"&amp;表_网址[[#This Row],[2级]]&amp;"-"&amp;表_网址[[#This Row],[3级]]&amp;"-"&amp;表_网址[[#This Row],[级内]]</f>
        <v>9001-12-14-111</v>
      </c>
      <c r="B514">
        <f ca="1">MATCH(表_网址[[#This Row],[版层分类]],序列_版层分类,0)*1000+MATCH(表_网址[[#This Row],[首要关键词]],序列_首要关键词,0)</f>
        <v>9001</v>
      </c>
      <c r="C514">
        <f ca="1">IF(表_网址[[#This Row],[次要关键词]]="",10,MATCH(表_网址[[#This Row],[次要关键词]],序列_次要关键词,0)+10)</f>
        <v>12</v>
      </c>
      <c r="D514">
        <f ca="1">IF(表_网址[[#This Row],[重点关键词]]="",10,MATCH(表_网址[[#This Row],[重点关键词]],序列_重点关键词,0)+10)</f>
        <v>14</v>
      </c>
      <c r="E514">
        <f>IF(AND(表_网址[[#This Row],[首要关键词]]=K513,表_网址[[#This Row],[次要关键词]]=L513,表_网址[[#This Row],[重点关键词]]=M513),E513+1,IF(表_网址[[#This Row],[重点关键词]]="",100,101))</f>
        <v>111</v>
      </c>
      <c r="F514" t="s">
        <v>1445</v>
      </c>
      <c r="G514" t="s">
        <v>1446</v>
      </c>
      <c r="J514" t="s">
        <v>506</v>
      </c>
      <c r="K514" t="s">
        <v>1283</v>
      </c>
      <c r="L514" t="s">
        <v>1033</v>
      </c>
      <c r="M514" t="s">
        <v>1261</v>
      </c>
      <c r="N514">
        <v>999</v>
      </c>
    </row>
    <row r="515" spans="1:14" x14ac:dyDescent="0.2">
      <c r="A515" t="str">
        <f ca="1">表_网址[[#This Row],[1级]]&amp;"-"&amp;表_网址[[#This Row],[2级]]&amp;"-"&amp;表_网址[[#This Row],[3级]]&amp;"-"&amp;表_网址[[#This Row],[级内]]</f>
        <v>9001-12-14-112</v>
      </c>
      <c r="B515">
        <f ca="1">MATCH(表_网址[[#This Row],[版层分类]],序列_版层分类,0)*1000+MATCH(表_网址[[#This Row],[首要关键词]],序列_首要关键词,0)</f>
        <v>9001</v>
      </c>
      <c r="C515">
        <f ca="1">IF(表_网址[[#This Row],[次要关键词]]="",10,MATCH(表_网址[[#This Row],[次要关键词]],序列_次要关键词,0)+10)</f>
        <v>12</v>
      </c>
      <c r="D515">
        <f ca="1">IF(表_网址[[#This Row],[重点关键词]]="",10,MATCH(表_网址[[#This Row],[重点关键词]],序列_重点关键词,0)+10)</f>
        <v>14</v>
      </c>
      <c r="E515">
        <f>IF(AND(表_网址[[#This Row],[首要关键词]]=K514,表_网址[[#This Row],[次要关键词]]=L514,表_网址[[#This Row],[重点关键词]]=M514),E514+1,IF(表_网址[[#This Row],[重点关键词]]="",100,101))</f>
        <v>112</v>
      </c>
      <c r="F515" t="s">
        <v>1447</v>
      </c>
      <c r="G515" t="s">
        <v>1448</v>
      </c>
      <c r="J515" t="s">
        <v>506</v>
      </c>
      <c r="K515" t="s">
        <v>1283</v>
      </c>
      <c r="L515" t="s">
        <v>1033</v>
      </c>
      <c r="M515" t="s">
        <v>1261</v>
      </c>
      <c r="N515">
        <v>999</v>
      </c>
    </row>
    <row r="516" spans="1:14" x14ac:dyDescent="0.2">
      <c r="A516" t="str">
        <f ca="1">表_网址[[#This Row],[1级]]&amp;"-"&amp;表_网址[[#This Row],[2级]]&amp;"-"&amp;表_网址[[#This Row],[3级]]&amp;"-"&amp;表_网址[[#This Row],[级内]]</f>
        <v>9001-12-14-113</v>
      </c>
      <c r="B516">
        <f ca="1">MATCH(表_网址[[#This Row],[版层分类]],序列_版层分类,0)*1000+MATCH(表_网址[[#This Row],[首要关键词]],序列_首要关键词,0)</f>
        <v>9001</v>
      </c>
      <c r="C516">
        <f ca="1">IF(表_网址[[#This Row],[次要关键词]]="",10,MATCH(表_网址[[#This Row],[次要关键词]],序列_次要关键词,0)+10)</f>
        <v>12</v>
      </c>
      <c r="D516">
        <f ca="1">IF(表_网址[[#This Row],[重点关键词]]="",10,MATCH(表_网址[[#This Row],[重点关键词]],序列_重点关键词,0)+10)</f>
        <v>14</v>
      </c>
      <c r="E516">
        <f>IF(AND(表_网址[[#This Row],[首要关键词]]=K515,表_网址[[#This Row],[次要关键词]]=L515,表_网址[[#This Row],[重点关键词]]=M515),E515+1,IF(表_网址[[#This Row],[重点关键词]]="",100,101))</f>
        <v>113</v>
      </c>
      <c r="F516" t="s">
        <v>1449</v>
      </c>
      <c r="G516" t="s">
        <v>1450</v>
      </c>
      <c r="J516" t="s">
        <v>506</v>
      </c>
      <c r="K516" t="s">
        <v>1283</v>
      </c>
      <c r="L516" t="s">
        <v>1033</v>
      </c>
      <c r="M516" t="s">
        <v>1261</v>
      </c>
      <c r="N516">
        <v>999</v>
      </c>
    </row>
    <row r="517" spans="1:14" x14ac:dyDescent="0.2">
      <c r="A517" t="str">
        <f ca="1">表_网址[[#This Row],[1级]]&amp;"-"&amp;表_网址[[#This Row],[2级]]&amp;"-"&amp;表_网址[[#This Row],[3级]]&amp;"-"&amp;表_网址[[#This Row],[级内]]</f>
        <v>9001-12-14-114</v>
      </c>
      <c r="B517">
        <f ca="1">MATCH(表_网址[[#This Row],[版层分类]],序列_版层分类,0)*1000+MATCH(表_网址[[#This Row],[首要关键词]],序列_首要关键词,0)</f>
        <v>9001</v>
      </c>
      <c r="C517">
        <f ca="1">IF(表_网址[[#This Row],[次要关键词]]="",10,MATCH(表_网址[[#This Row],[次要关键词]],序列_次要关键词,0)+10)</f>
        <v>12</v>
      </c>
      <c r="D517">
        <f ca="1">IF(表_网址[[#This Row],[重点关键词]]="",10,MATCH(表_网址[[#This Row],[重点关键词]],序列_重点关键词,0)+10)</f>
        <v>14</v>
      </c>
      <c r="E517">
        <f>IF(AND(表_网址[[#This Row],[首要关键词]]=K516,表_网址[[#This Row],[次要关键词]]=L516,表_网址[[#This Row],[重点关键词]]=M516),E516+1,IF(表_网址[[#This Row],[重点关键词]]="",100,101))</f>
        <v>114</v>
      </c>
      <c r="F517" t="s">
        <v>1451</v>
      </c>
      <c r="G517" t="s">
        <v>1452</v>
      </c>
      <c r="J517" t="s">
        <v>506</v>
      </c>
      <c r="K517" t="s">
        <v>1283</v>
      </c>
      <c r="L517" t="s">
        <v>1033</v>
      </c>
      <c r="M517" t="s">
        <v>1261</v>
      </c>
      <c r="N517">
        <v>999</v>
      </c>
    </row>
    <row r="518" spans="1:14" x14ac:dyDescent="0.2">
      <c r="A518" t="str">
        <f ca="1">表_网址[[#This Row],[1级]]&amp;"-"&amp;表_网址[[#This Row],[2级]]&amp;"-"&amp;表_网址[[#This Row],[3级]]&amp;"-"&amp;表_网址[[#This Row],[级内]]</f>
        <v>9001-12-14-115</v>
      </c>
      <c r="B518">
        <f ca="1">MATCH(表_网址[[#This Row],[版层分类]],序列_版层分类,0)*1000+MATCH(表_网址[[#This Row],[首要关键词]],序列_首要关键词,0)</f>
        <v>9001</v>
      </c>
      <c r="C518">
        <f ca="1">IF(表_网址[[#This Row],[次要关键词]]="",10,MATCH(表_网址[[#This Row],[次要关键词]],序列_次要关键词,0)+10)</f>
        <v>12</v>
      </c>
      <c r="D518">
        <f ca="1">IF(表_网址[[#This Row],[重点关键词]]="",10,MATCH(表_网址[[#This Row],[重点关键词]],序列_重点关键词,0)+10)</f>
        <v>14</v>
      </c>
      <c r="E518">
        <f>IF(AND(表_网址[[#This Row],[首要关键词]]=K517,表_网址[[#This Row],[次要关键词]]=L517,表_网址[[#This Row],[重点关键词]]=M517),E517+1,IF(表_网址[[#This Row],[重点关键词]]="",100,101))</f>
        <v>115</v>
      </c>
      <c r="F518" t="s">
        <v>1453</v>
      </c>
      <c r="G518" t="s">
        <v>1454</v>
      </c>
      <c r="J518" t="s">
        <v>506</v>
      </c>
      <c r="K518" t="s">
        <v>1283</v>
      </c>
      <c r="L518" t="s">
        <v>1033</v>
      </c>
      <c r="M518" t="s">
        <v>1261</v>
      </c>
      <c r="N518">
        <v>999</v>
      </c>
    </row>
    <row r="519" spans="1:14" x14ac:dyDescent="0.2">
      <c r="A519" t="str">
        <f ca="1">表_网址[[#This Row],[1级]]&amp;"-"&amp;表_网址[[#This Row],[2级]]&amp;"-"&amp;表_网址[[#This Row],[3级]]&amp;"-"&amp;表_网址[[#This Row],[级内]]</f>
        <v>9001-12-14-116</v>
      </c>
      <c r="B519">
        <f ca="1">MATCH(表_网址[[#This Row],[版层分类]],序列_版层分类,0)*1000+MATCH(表_网址[[#This Row],[首要关键词]],序列_首要关键词,0)</f>
        <v>9001</v>
      </c>
      <c r="C519">
        <f ca="1">IF(表_网址[[#This Row],[次要关键词]]="",10,MATCH(表_网址[[#This Row],[次要关键词]],序列_次要关键词,0)+10)</f>
        <v>12</v>
      </c>
      <c r="D519">
        <f ca="1">IF(表_网址[[#This Row],[重点关键词]]="",10,MATCH(表_网址[[#This Row],[重点关键词]],序列_重点关键词,0)+10)</f>
        <v>14</v>
      </c>
      <c r="E519">
        <f>IF(AND(表_网址[[#This Row],[首要关键词]]=K518,表_网址[[#This Row],[次要关键词]]=L518,表_网址[[#This Row],[重点关键词]]=M518),E518+1,IF(表_网址[[#This Row],[重点关键词]]="",100,101))</f>
        <v>116</v>
      </c>
      <c r="F519" t="s">
        <v>1455</v>
      </c>
      <c r="G519" t="s">
        <v>1456</v>
      </c>
      <c r="J519" t="s">
        <v>506</v>
      </c>
      <c r="K519" t="s">
        <v>1283</v>
      </c>
      <c r="L519" t="s">
        <v>1033</v>
      </c>
      <c r="M519" t="s">
        <v>1261</v>
      </c>
      <c r="N519">
        <v>999</v>
      </c>
    </row>
    <row r="520" spans="1:14" x14ac:dyDescent="0.2">
      <c r="A520" t="str">
        <f ca="1">表_网址[[#This Row],[1级]]&amp;"-"&amp;表_网址[[#This Row],[2级]]&amp;"-"&amp;表_网址[[#This Row],[3级]]&amp;"-"&amp;表_网址[[#This Row],[级内]]</f>
        <v>9001-12-14-117</v>
      </c>
      <c r="B520">
        <f ca="1">MATCH(表_网址[[#This Row],[版层分类]],序列_版层分类,0)*1000+MATCH(表_网址[[#This Row],[首要关键词]],序列_首要关键词,0)</f>
        <v>9001</v>
      </c>
      <c r="C520">
        <f ca="1">IF(表_网址[[#This Row],[次要关键词]]="",10,MATCH(表_网址[[#This Row],[次要关键词]],序列_次要关键词,0)+10)</f>
        <v>12</v>
      </c>
      <c r="D520">
        <f ca="1">IF(表_网址[[#This Row],[重点关键词]]="",10,MATCH(表_网址[[#This Row],[重点关键词]],序列_重点关键词,0)+10)</f>
        <v>14</v>
      </c>
      <c r="E520">
        <f>IF(AND(表_网址[[#This Row],[首要关键词]]=K519,表_网址[[#This Row],[次要关键词]]=L519,表_网址[[#This Row],[重点关键词]]=M519),E519+1,IF(表_网址[[#This Row],[重点关键词]]="",100,101))</f>
        <v>117</v>
      </c>
      <c r="F520" t="s">
        <v>1457</v>
      </c>
      <c r="G520" t="s">
        <v>1458</v>
      </c>
      <c r="J520" t="s">
        <v>506</v>
      </c>
      <c r="K520" t="s">
        <v>1283</v>
      </c>
      <c r="L520" t="s">
        <v>1033</v>
      </c>
      <c r="M520" t="s">
        <v>1261</v>
      </c>
      <c r="N520">
        <v>999</v>
      </c>
    </row>
    <row r="521" spans="1:14" x14ac:dyDescent="0.2">
      <c r="A521" t="str">
        <f ca="1">表_网址[[#This Row],[1级]]&amp;"-"&amp;表_网址[[#This Row],[2级]]&amp;"-"&amp;表_网址[[#This Row],[3级]]&amp;"-"&amp;表_网址[[#This Row],[级内]]</f>
        <v>9001-12-14-118</v>
      </c>
      <c r="B521">
        <f ca="1">MATCH(表_网址[[#This Row],[版层分类]],序列_版层分类,0)*1000+MATCH(表_网址[[#This Row],[首要关键词]],序列_首要关键词,0)</f>
        <v>9001</v>
      </c>
      <c r="C521">
        <f ca="1">IF(表_网址[[#This Row],[次要关键词]]="",10,MATCH(表_网址[[#This Row],[次要关键词]],序列_次要关键词,0)+10)</f>
        <v>12</v>
      </c>
      <c r="D521">
        <f ca="1">IF(表_网址[[#This Row],[重点关键词]]="",10,MATCH(表_网址[[#This Row],[重点关键词]],序列_重点关键词,0)+10)</f>
        <v>14</v>
      </c>
      <c r="E521">
        <f>IF(AND(表_网址[[#This Row],[首要关键词]]=K520,表_网址[[#This Row],[次要关键词]]=L520,表_网址[[#This Row],[重点关键词]]=M520),E520+1,IF(表_网址[[#This Row],[重点关键词]]="",100,101))</f>
        <v>118</v>
      </c>
      <c r="F521" t="s">
        <v>1459</v>
      </c>
      <c r="G521" t="s">
        <v>1460</v>
      </c>
      <c r="J521" t="s">
        <v>506</v>
      </c>
      <c r="K521" t="s">
        <v>1283</v>
      </c>
      <c r="L521" t="s">
        <v>1033</v>
      </c>
      <c r="M521" t="s">
        <v>1261</v>
      </c>
      <c r="N521">
        <v>999</v>
      </c>
    </row>
    <row r="522" spans="1:14" x14ac:dyDescent="0.2">
      <c r="A522" t="str">
        <f ca="1">表_网址[[#This Row],[1级]]&amp;"-"&amp;表_网址[[#This Row],[2级]]&amp;"-"&amp;表_网址[[#This Row],[3级]]&amp;"-"&amp;表_网址[[#This Row],[级内]]</f>
        <v>9001-12-14-119</v>
      </c>
      <c r="B522">
        <f ca="1">MATCH(表_网址[[#This Row],[版层分类]],序列_版层分类,0)*1000+MATCH(表_网址[[#This Row],[首要关键词]],序列_首要关键词,0)</f>
        <v>9001</v>
      </c>
      <c r="C522">
        <f ca="1">IF(表_网址[[#This Row],[次要关键词]]="",10,MATCH(表_网址[[#This Row],[次要关键词]],序列_次要关键词,0)+10)</f>
        <v>12</v>
      </c>
      <c r="D522">
        <f ca="1">IF(表_网址[[#This Row],[重点关键词]]="",10,MATCH(表_网址[[#This Row],[重点关键词]],序列_重点关键词,0)+10)</f>
        <v>14</v>
      </c>
      <c r="E522">
        <f>IF(AND(表_网址[[#This Row],[首要关键词]]=K521,表_网址[[#This Row],[次要关键词]]=L521,表_网址[[#This Row],[重点关键词]]=M521),E521+1,IF(表_网址[[#This Row],[重点关键词]]="",100,101))</f>
        <v>119</v>
      </c>
      <c r="F522" t="s">
        <v>1461</v>
      </c>
      <c r="G522" t="s">
        <v>1462</v>
      </c>
      <c r="J522" t="s">
        <v>506</v>
      </c>
      <c r="K522" t="s">
        <v>1283</v>
      </c>
      <c r="L522" t="s">
        <v>1033</v>
      </c>
      <c r="M522" t="s">
        <v>1261</v>
      </c>
      <c r="N522">
        <v>999</v>
      </c>
    </row>
    <row r="523" spans="1:14" x14ac:dyDescent="0.2">
      <c r="A523" t="str">
        <f ca="1">表_网址[[#This Row],[1级]]&amp;"-"&amp;表_网址[[#This Row],[2级]]&amp;"-"&amp;表_网址[[#This Row],[3级]]&amp;"-"&amp;表_网址[[#This Row],[级内]]</f>
        <v>9001-12-14-120</v>
      </c>
      <c r="B523">
        <f ca="1">MATCH(表_网址[[#This Row],[版层分类]],序列_版层分类,0)*1000+MATCH(表_网址[[#This Row],[首要关键词]],序列_首要关键词,0)</f>
        <v>9001</v>
      </c>
      <c r="C523">
        <f ca="1">IF(表_网址[[#This Row],[次要关键词]]="",10,MATCH(表_网址[[#This Row],[次要关键词]],序列_次要关键词,0)+10)</f>
        <v>12</v>
      </c>
      <c r="D523">
        <f ca="1">IF(表_网址[[#This Row],[重点关键词]]="",10,MATCH(表_网址[[#This Row],[重点关键词]],序列_重点关键词,0)+10)</f>
        <v>14</v>
      </c>
      <c r="E523">
        <f>IF(AND(表_网址[[#This Row],[首要关键词]]=K522,表_网址[[#This Row],[次要关键词]]=L522,表_网址[[#This Row],[重点关键词]]=M522),E522+1,IF(表_网址[[#This Row],[重点关键词]]="",100,101))</f>
        <v>120</v>
      </c>
      <c r="F523" t="s">
        <v>1463</v>
      </c>
      <c r="G523" t="s">
        <v>1464</v>
      </c>
      <c r="J523" t="s">
        <v>506</v>
      </c>
      <c r="K523" t="s">
        <v>1283</v>
      </c>
      <c r="L523" t="s">
        <v>1033</v>
      </c>
      <c r="M523" t="s">
        <v>1261</v>
      </c>
      <c r="N523">
        <v>999</v>
      </c>
    </row>
    <row r="524" spans="1:14" x14ac:dyDescent="0.2">
      <c r="A524" t="str">
        <f ca="1">表_网址[[#This Row],[1级]]&amp;"-"&amp;表_网址[[#This Row],[2级]]&amp;"-"&amp;表_网址[[#This Row],[3级]]&amp;"-"&amp;表_网址[[#This Row],[级内]]</f>
        <v>9001-12-14-121</v>
      </c>
      <c r="B524">
        <f ca="1">MATCH(表_网址[[#This Row],[版层分类]],序列_版层分类,0)*1000+MATCH(表_网址[[#This Row],[首要关键词]],序列_首要关键词,0)</f>
        <v>9001</v>
      </c>
      <c r="C524">
        <f ca="1">IF(表_网址[[#This Row],[次要关键词]]="",10,MATCH(表_网址[[#This Row],[次要关键词]],序列_次要关键词,0)+10)</f>
        <v>12</v>
      </c>
      <c r="D524">
        <f ca="1">IF(表_网址[[#This Row],[重点关键词]]="",10,MATCH(表_网址[[#This Row],[重点关键词]],序列_重点关键词,0)+10)</f>
        <v>14</v>
      </c>
      <c r="E524">
        <f>IF(AND(表_网址[[#This Row],[首要关键词]]=K523,表_网址[[#This Row],[次要关键词]]=L523,表_网址[[#This Row],[重点关键词]]=M523),E523+1,IF(表_网址[[#This Row],[重点关键词]]="",100,101))</f>
        <v>121</v>
      </c>
      <c r="F524" t="s">
        <v>1465</v>
      </c>
      <c r="G524" t="s">
        <v>1466</v>
      </c>
      <c r="J524" t="s">
        <v>506</v>
      </c>
      <c r="K524" t="s">
        <v>1283</v>
      </c>
      <c r="L524" t="s">
        <v>1033</v>
      </c>
      <c r="M524" t="s">
        <v>1261</v>
      </c>
      <c r="N524">
        <v>999</v>
      </c>
    </row>
    <row r="525" spans="1:14" x14ac:dyDescent="0.2">
      <c r="A525" t="str">
        <f ca="1">表_网址[[#This Row],[1级]]&amp;"-"&amp;表_网址[[#This Row],[2级]]&amp;"-"&amp;表_网址[[#This Row],[3级]]&amp;"-"&amp;表_网址[[#This Row],[级内]]</f>
        <v>9001-12-14-122</v>
      </c>
      <c r="B525">
        <f ca="1">MATCH(表_网址[[#This Row],[版层分类]],序列_版层分类,0)*1000+MATCH(表_网址[[#This Row],[首要关键词]],序列_首要关键词,0)</f>
        <v>9001</v>
      </c>
      <c r="C525">
        <f ca="1">IF(表_网址[[#This Row],[次要关键词]]="",10,MATCH(表_网址[[#This Row],[次要关键词]],序列_次要关键词,0)+10)</f>
        <v>12</v>
      </c>
      <c r="D525">
        <f ca="1">IF(表_网址[[#This Row],[重点关键词]]="",10,MATCH(表_网址[[#This Row],[重点关键词]],序列_重点关键词,0)+10)</f>
        <v>14</v>
      </c>
      <c r="E525">
        <f>IF(AND(表_网址[[#This Row],[首要关键词]]=K524,表_网址[[#This Row],[次要关键词]]=L524,表_网址[[#This Row],[重点关键词]]=M524),E524+1,IF(表_网址[[#This Row],[重点关键词]]="",100,101))</f>
        <v>122</v>
      </c>
      <c r="F525" t="s">
        <v>1467</v>
      </c>
      <c r="G525" t="s">
        <v>1468</v>
      </c>
      <c r="J525" t="s">
        <v>506</v>
      </c>
      <c r="K525" t="s">
        <v>1283</v>
      </c>
      <c r="L525" t="s">
        <v>1033</v>
      </c>
      <c r="M525" t="s">
        <v>1261</v>
      </c>
      <c r="N525">
        <v>999</v>
      </c>
    </row>
    <row r="526" spans="1:14" x14ac:dyDescent="0.2">
      <c r="A526" t="str">
        <f ca="1">表_网址[[#This Row],[1级]]&amp;"-"&amp;表_网址[[#This Row],[2级]]&amp;"-"&amp;表_网址[[#This Row],[3级]]&amp;"-"&amp;表_网址[[#This Row],[级内]]</f>
        <v>9001-12-14-123</v>
      </c>
      <c r="B526">
        <f ca="1">MATCH(表_网址[[#This Row],[版层分类]],序列_版层分类,0)*1000+MATCH(表_网址[[#This Row],[首要关键词]],序列_首要关键词,0)</f>
        <v>9001</v>
      </c>
      <c r="C526">
        <f ca="1">IF(表_网址[[#This Row],[次要关键词]]="",10,MATCH(表_网址[[#This Row],[次要关键词]],序列_次要关键词,0)+10)</f>
        <v>12</v>
      </c>
      <c r="D526">
        <f ca="1">IF(表_网址[[#This Row],[重点关键词]]="",10,MATCH(表_网址[[#This Row],[重点关键词]],序列_重点关键词,0)+10)</f>
        <v>14</v>
      </c>
      <c r="E526">
        <f>IF(AND(表_网址[[#This Row],[首要关键词]]=K525,表_网址[[#This Row],[次要关键词]]=L525,表_网址[[#This Row],[重点关键词]]=M525),E525+1,IF(表_网址[[#This Row],[重点关键词]]="",100,101))</f>
        <v>123</v>
      </c>
      <c r="F526" t="s">
        <v>1469</v>
      </c>
      <c r="G526" t="s">
        <v>1470</v>
      </c>
      <c r="J526" t="s">
        <v>506</v>
      </c>
      <c r="K526" t="s">
        <v>1283</v>
      </c>
      <c r="L526" t="s">
        <v>1033</v>
      </c>
      <c r="M526" t="s">
        <v>1261</v>
      </c>
      <c r="N526">
        <v>999</v>
      </c>
    </row>
    <row r="527" spans="1:14" x14ac:dyDescent="0.2">
      <c r="A527" t="str">
        <f ca="1">表_网址[[#This Row],[1级]]&amp;"-"&amp;表_网址[[#This Row],[2级]]&amp;"-"&amp;表_网址[[#This Row],[3级]]&amp;"-"&amp;表_网址[[#This Row],[级内]]</f>
        <v>9001-12-14-124</v>
      </c>
      <c r="B527">
        <f ca="1">MATCH(表_网址[[#This Row],[版层分类]],序列_版层分类,0)*1000+MATCH(表_网址[[#This Row],[首要关键词]],序列_首要关键词,0)</f>
        <v>9001</v>
      </c>
      <c r="C527">
        <f ca="1">IF(表_网址[[#This Row],[次要关键词]]="",10,MATCH(表_网址[[#This Row],[次要关键词]],序列_次要关键词,0)+10)</f>
        <v>12</v>
      </c>
      <c r="D527">
        <f ca="1">IF(表_网址[[#This Row],[重点关键词]]="",10,MATCH(表_网址[[#This Row],[重点关键词]],序列_重点关键词,0)+10)</f>
        <v>14</v>
      </c>
      <c r="E527">
        <f>IF(AND(表_网址[[#This Row],[首要关键词]]=K526,表_网址[[#This Row],[次要关键词]]=L526,表_网址[[#This Row],[重点关键词]]=M526),E526+1,IF(表_网址[[#This Row],[重点关键词]]="",100,101))</f>
        <v>124</v>
      </c>
      <c r="F527" t="s">
        <v>1471</v>
      </c>
      <c r="G527" t="s">
        <v>1472</v>
      </c>
      <c r="J527" t="s">
        <v>506</v>
      </c>
      <c r="K527" t="s">
        <v>1283</v>
      </c>
      <c r="L527" t="s">
        <v>1033</v>
      </c>
      <c r="M527" t="s">
        <v>1261</v>
      </c>
      <c r="N527">
        <v>999</v>
      </c>
    </row>
    <row r="528" spans="1:14" x14ac:dyDescent="0.2">
      <c r="A528" t="str">
        <f ca="1">表_网址[[#This Row],[1级]]&amp;"-"&amp;表_网址[[#This Row],[2级]]&amp;"-"&amp;表_网址[[#This Row],[3级]]&amp;"-"&amp;表_网址[[#This Row],[级内]]</f>
        <v>9001-12-14-125</v>
      </c>
      <c r="B528">
        <f ca="1">MATCH(表_网址[[#This Row],[版层分类]],序列_版层分类,0)*1000+MATCH(表_网址[[#This Row],[首要关键词]],序列_首要关键词,0)</f>
        <v>9001</v>
      </c>
      <c r="C528">
        <f ca="1">IF(表_网址[[#This Row],[次要关键词]]="",10,MATCH(表_网址[[#This Row],[次要关键词]],序列_次要关键词,0)+10)</f>
        <v>12</v>
      </c>
      <c r="D528">
        <f ca="1">IF(表_网址[[#This Row],[重点关键词]]="",10,MATCH(表_网址[[#This Row],[重点关键词]],序列_重点关键词,0)+10)</f>
        <v>14</v>
      </c>
      <c r="E528">
        <f>IF(AND(表_网址[[#This Row],[首要关键词]]=K527,表_网址[[#This Row],[次要关键词]]=L527,表_网址[[#This Row],[重点关键词]]=M527),E527+1,IF(表_网址[[#This Row],[重点关键词]]="",100,101))</f>
        <v>125</v>
      </c>
      <c r="F528" t="s">
        <v>1473</v>
      </c>
      <c r="G528" t="s">
        <v>1474</v>
      </c>
      <c r="J528" t="s">
        <v>506</v>
      </c>
      <c r="K528" t="s">
        <v>1283</v>
      </c>
      <c r="L528" t="s">
        <v>1033</v>
      </c>
      <c r="M528" t="s">
        <v>1261</v>
      </c>
      <c r="N528">
        <v>999</v>
      </c>
    </row>
    <row r="529" spans="1:14" x14ac:dyDescent="0.2">
      <c r="A529" t="str">
        <f ca="1">表_网址[[#This Row],[1级]]&amp;"-"&amp;表_网址[[#This Row],[2级]]&amp;"-"&amp;表_网址[[#This Row],[3级]]&amp;"-"&amp;表_网址[[#This Row],[级内]]</f>
        <v>9001-12-14-126</v>
      </c>
      <c r="B529">
        <f ca="1">MATCH(表_网址[[#This Row],[版层分类]],序列_版层分类,0)*1000+MATCH(表_网址[[#This Row],[首要关键词]],序列_首要关键词,0)</f>
        <v>9001</v>
      </c>
      <c r="C529">
        <f ca="1">IF(表_网址[[#This Row],[次要关键词]]="",10,MATCH(表_网址[[#This Row],[次要关键词]],序列_次要关键词,0)+10)</f>
        <v>12</v>
      </c>
      <c r="D529">
        <f ca="1">IF(表_网址[[#This Row],[重点关键词]]="",10,MATCH(表_网址[[#This Row],[重点关键词]],序列_重点关键词,0)+10)</f>
        <v>14</v>
      </c>
      <c r="E529">
        <f>IF(AND(表_网址[[#This Row],[首要关键词]]=K528,表_网址[[#This Row],[次要关键词]]=L528,表_网址[[#This Row],[重点关键词]]=M528),E528+1,IF(表_网址[[#This Row],[重点关键词]]="",100,101))</f>
        <v>126</v>
      </c>
      <c r="F529" t="s">
        <v>1475</v>
      </c>
      <c r="G529" t="s">
        <v>1476</v>
      </c>
      <c r="J529" t="s">
        <v>506</v>
      </c>
      <c r="K529" t="s">
        <v>1283</v>
      </c>
      <c r="L529" t="s">
        <v>1033</v>
      </c>
      <c r="M529" t="s">
        <v>1261</v>
      </c>
      <c r="N529">
        <v>999</v>
      </c>
    </row>
    <row r="530" spans="1:14" x14ac:dyDescent="0.2">
      <c r="A530" t="str">
        <f ca="1">表_网址[[#This Row],[1级]]&amp;"-"&amp;表_网址[[#This Row],[2级]]&amp;"-"&amp;表_网址[[#This Row],[3级]]&amp;"-"&amp;表_网址[[#This Row],[级内]]</f>
        <v>9001-12-14-127</v>
      </c>
      <c r="B530">
        <f ca="1">MATCH(表_网址[[#This Row],[版层分类]],序列_版层分类,0)*1000+MATCH(表_网址[[#This Row],[首要关键词]],序列_首要关键词,0)</f>
        <v>9001</v>
      </c>
      <c r="C530">
        <f ca="1">IF(表_网址[[#This Row],[次要关键词]]="",10,MATCH(表_网址[[#This Row],[次要关键词]],序列_次要关键词,0)+10)</f>
        <v>12</v>
      </c>
      <c r="D530">
        <f ca="1">IF(表_网址[[#This Row],[重点关键词]]="",10,MATCH(表_网址[[#This Row],[重点关键词]],序列_重点关键词,0)+10)</f>
        <v>14</v>
      </c>
      <c r="E530">
        <f>IF(AND(表_网址[[#This Row],[首要关键词]]=K529,表_网址[[#This Row],[次要关键词]]=L529,表_网址[[#This Row],[重点关键词]]=M529),E529+1,IF(表_网址[[#This Row],[重点关键词]]="",100,101))</f>
        <v>127</v>
      </c>
      <c r="F530" t="s">
        <v>1477</v>
      </c>
      <c r="G530" t="s">
        <v>1478</v>
      </c>
      <c r="J530" t="s">
        <v>506</v>
      </c>
      <c r="K530" t="s">
        <v>1283</v>
      </c>
      <c r="L530" t="s">
        <v>1033</v>
      </c>
      <c r="M530" t="s">
        <v>1261</v>
      </c>
      <c r="N530">
        <v>999</v>
      </c>
    </row>
    <row r="531" spans="1:14" x14ac:dyDescent="0.2">
      <c r="A531" t="str">
        <f ca="1">表_网址[[#This Row],[1级]]&amp;"-"&amp;表_网址[[#This Row],[2级]]&amp;"-"&amp;表_网址[[#This Row],[3级]]&amp;"-"&amp;表_网址[[#This Row],[级内]]</f>
        <v>9001-12-14-128</v>
      </c>
      <c r="B531">
        <f ca="1">MATCH(表_网址[[#This Row],[版层分类]],序列_版层分类,0)*1000+MATCH(表_网址[[#This Row],[首要关键词]],序列_首要关键词,0)</f>
        <v>9001</v>
      </c>
      <c r="C531">
        <f ca="1">IF(表_网址[[#This Row],[次要关键词]]="",10,MATCH(表_网址[[#This Row],[次要关键词]],序列_次要关键词,0)+10)</f>
        <v>12</v>
      </c>
      <c r="D531">
        <f ca="1">IF(表_网址[[#This Row],[重点关键词]]="",10,MATCH(表_网址[[#This Row],[重点关键词]],序列_重点关键词,0)+10)</f>
        <v>14</v>
      </c>
      <c r="E531">
        <f>IF(AND(表_网址[[#This Row],[首要关键词]]=K530,表_网址[[#This Row],[次要关键词]]=L530,表_网址[[#This Row],[重点关键词]]=M530),E530+1,IF(表_网址[[#This Row],[重点关键词]]="",100,101))</f>
        <v>128</v>
      </c>
      <c r="F531" t="s">
        <v>1479</v>
      </c>
      <c r="G531" t="s">
        <v>1480</v>
      </c>
      <c r="J531" t="s">
        <v>506</v>
      </c>
      <c r="K531" t="s">
        <v>1283</v>
      </c>
      <c r="L531" t="s">
        <v>1033</v>
      </c>
      <c r="M531" t="s">
        <v>1261</v>
      </c>
      <c r="N531">
        <v>999</v>
      </c>
    </row>
    <row r="532" spans="1:14" x14ac:dyDescent="0.2">
      <c r="A532" t="str">
        <f ca="1">表_网址[[#This Row],[1级]]&amp;"-"&amp;表_网址[[#This Row],[2级]]&amp;"-"&amp;表_网址[[#This Row],[3级]]&amp;"-"&amp;表_网址[[#This Row],[级内]]</f>
        <v>9001-12-14-129</v>
      </c>
      <c r="B532">
        <f ca="1">MATCH(表_网址[[#This Row],[版层分类]],序列_版层分类,0)*1000+MATCH(表_网址[[#This Row],[首要关键词]],序列_首要关键词,0)</f>
        <v>9001</v>
      </c>
      <c r="C532">
        <f ca="1">IF(表_网址[[#This Row],[次要关键词]]="",10,MATCH(表_网址[[#This Row],[次要关键词]],序列_次要关键词,0)+10)</f>
        <v>12</v>
      </c>
      <c r="D532">
        <f ca="1">IF(表_网址[[#This Row],[重点关键词]]="",10,MATCH(表_网址[[#This Row],[重点关键词]],序列_重点关键词,0)+10)</f>
        <v>14</v>
      </c>
      <c r="E532">
        <f>IF(AND(表_网址[[#This Row],[首要关键词]]=K531,表_网址[[#This Row],[次要关键词]]=L531,表_网址[[#This Row],[重点关键词]]=M531),E531+1,IF(表_网址[[#This Row],[重点关键词]]="",100,101))</f>
        <v>129</v>
      </c>
      <c r="F532" t="s">
        <v>1481</v>
      </c>
      <c r="G532" t="s">
        <v>1482</v>
      </c>
      <c r="J532" t="s">
        <v>506</v>
      </c>
      <c r="K532" t="s">
        <v>1283</v>
      </c>
      <c r="L532" t="s">
        <v>1033</v>
      </c>
      <c r="M532" t="s">
        <v>1261</v>
      </c>
      <c r="N532">
        <v>999</v>
      </c>
    </row>
    <row r="533" spans="1:14" x14ac:dyDescent="0.2">
      <c r="A533" t="str">
        <f ca="1">表_网址[[#This Row],[1级]]&amp;"-"&amp;表_网址[[#This Row],[2级]]&amp;"-"&amp;表_网址[[#This Row],[3级]]&amp;"-"&amp;表_网址[[#This Row],[级内]]</f>
        <v>9001-12-14-130</v>
      </c>
      <c r="B533">
        <f ca="1">MATCH(表_网址[[#This Row],[版层分类]],序列_版层分类,0)*1000+MATCH(表_网址[[#This Row],[首要关键词]],序列_首要关键词,0)</f>
        <v>9001</v>
      </c>
      <c r="C533">
        <f ca="1">IF(表_网址[[#This Row],[次要关键词]]="",10,MATCH(表_网址[[#This Row],[次要关键词]],序列_次要关键词,0)+10)</f>
        <v>12</v>
      </c>
      <c r="D533">
        <f ca="1">IF(表_网址[[#This Row],[重点关键词]]="",10,MATCH(表_网址[[#This Row],[重点关键词]],序列_重点关键词,0)+10)</f>
        <v>14</v>
      </c>
      <c r="E533">
        <f>IF(AND(表_网址[[#This Row],[首要关键词]]=K532,表_网址[[#This Row],[次要关键词]]=L532,表_网址[[#This Row],[重点关键词]]=M532),E532+1,IF(表_网址[[#This Row],[重点关键词]]="",100,101))</f>
        <v>130</v>
      </c>
      <c r="F533" t="s">
        <v>1483</v>
      </c>
      <c r="G533" t="s">
        <v>1484</v>
      </c>
      <c r="J533" t="s">
        <v>506</v>
      </c>
      <c r="K533" t="s">
        <v>1283</v>
      </c>
      <c r="L533" t="s">
        <v>1033</v>
      </c>
      <c r="M533" t="s">
        <v>1261</v>
      </c>
      <c r="N533">
        <v>999</v>
      </c>
    </row>
    <row r="534" spans="1:14" x14ac:dyDescent="0.2">
      <c r="A534" t="str">
        <f ca="1">表_网址[[#This Row],[1级]]&amp;"-"&amp;表_网址[[#This Row],[2级]]&amp;"-"&amp;表_网址[[#This Row],[3级]]&amp;"-"&amp;表_网址[[#This Row],[级内]]</f>
        <v>9001-12-14-131</v>
      </c>
      <c r="B534">
        <f ca="1">MATCH(表_网址[[#This Row],[版层分类]],序列_版层分类,0)*1000+MATCH(表_网址[[#This Row],[首要关键词]],序列_首要关键词,0)</f>
        <v>9001</v>
      </c>
      <c r="C534">
        <f ca="1">IF(表_网址[[#This Row],[次要关键词]]="",10,MATCH(表_网址[[#This Row],[次要关键词]],序列_次要关键词,0)+10)</f>
        <v>12</v>
      </c>
      <c r="D534">
        <f ca="1">IF(表_网址[[#This Row],[重点关键词]]="",10,MATCH(表_网址[[#This Row],[重点关键词]],序列_重点关键词,0)+10)</f>
        <v>14</v>
      </c>
      <c r="E534">
        <f>IF(AND(表_网址[[#This Row],[首要关键词]]=K533,表_网址[[#This Row],[次要关键词]]=L533,表_网址[[#This Row],[重点关键词]]=M533),E533+1,IF(表_网址[[#This Row],[重点关键词]]="",100,101))</f>
        <v>131</v>
      </c>
      <c r="F534" t="s">
        <v>1485</v>
      </c>
      <c r="G534" t="s">
        <v>1486</v>
      </c>
      <c r="J534" t="s">
        <v>506</v>
      </c>
      <c r="K534" t="s">
        <v>1283</v>
      </c>
      <c r="L534" t="s">
        <v>1033</v>
      </c>
      <c r="M534" t="s">
        <v>1261</v>
      </c>
      <c r="N534">
        <v>999</v>
      </c>
    </row>
    <row r="535" spans="1:14" x14ac:dyDescent="0.2">
      <c r="A535" t="str">
        <f ca="1">表_网址[[#This Row],[1级]]&amp;"-"&amp;表_网址[[#This Row],[2级]]&amp;"-"&amp;表_网址[[#This Row],[3级]]&amp;"-"&amp;表_网址[[#This Row],[级内]]</f>
        <v>9001-12-14-132</v>
      </c>
      <c r="B535">
        <f ca="1">MATCH(表_网址[[#This Row],[版层分类]],序列_版层分类,0)*1000+MATCH(表_网址[[#This Row],[首要关键词]],序列_首要关键词,0)</f>
        <v>9001</v>
      </c>
      <c r="C535">
        <f ca="1">IF(表_网址[[#This Row],[次要关键词]]="",10,MATCH(表_网址[[#This Row],[次要关键词]],序列_次要关键词,0)+10)</f>
        <v>12</v>
      </c>
      <c r="D535">
        <f ca="1">IF(表_网址[[#This Row],[重点关键词]]="",10,MATCH(表_网址[[#This Row],[重点关键词]],序列_重点关键词,0)+10)</f>
        <v>14</v>
      </c>
      <c r="E535">
        <f>IF(AND(表_网址[[#This Row],[首要关键词]]=K534,表_网址[[#This Row],[次要关键词]]=L534,表_网址[[#This Row],[重点关键词]]=M534),E534+1,IF(表_网址[[#This Row],[重点关键词]]="",100,101))</f>
        <v>132</v>
      </c>
      <c r="F535" t="s">
        <v>1487</v>
      </c>
      <c r="G535" t="s">
        <v>1488</v>
      </c>
      <c r="J535" t="s">
        <v>506</v>
      </c>
      <c r="K535" t="s">
        <v>1283</v>
      </c>
      <c r="L535" t="s">
        <v>1033</v>
      </c>
      <c r="M535" t="s">
        <v>1261</v>
      </c>
      <c r="N535">
        <v>999</v>
      </c>
    </row>
    <row r="536" spans="1:14" x14ac:dyDescent="0.2">
      <c r="A536" t="str">
        <f ca="1">表_网址[[#This Row],[1级]]&amp;"-"&amp;表_网址[[#This Row],[2级]]&amp;"-"&amp;表_网址[[#This Row],[3级]]&amp;"-"&amp;表_网址[[#This Row],[级内]]</f>
        <v>9001-12-14-133</v>
      </c>
      <c r="B536">
        <f ca="1">MATCH(表_网址[[#This Row],[版层分类]],序列_版层分类,0)*1000+MATCH(表_网址[[#This Row],[首要关键词]],序列_首要关键词,0)</f>
        <v>9001</v>
      </c>
      <c r="C536">
        <f ca="1">IF(表_网址[[#This Row],[次要关键词]]="",10,MATCH(表_网址[[#This Row],[次要关键词]],序列_次要关键词,0)+10)</f>
        <v>12</v>
      </c>
      <c r="D536">
        <f ca="1">IF(表_网址[[#This Row],[重点关键词]]="",10,MATCH(表_网址[[#This Row],[重点关键词]],序列_重点关键词,0)+10)</f>
        <v>14</v>
      </c>
      <c r="E536">
        <f>IF(AND(表_网址[[#This Row],[首要关键词]]=K535,表_网址[[#This Row],[次要关键词]]=L535,表_网址[[#This Row],[重点关键词]]=M535),E535+1,IF(表_网址[[#This Row],[重点关键词]]="",100,101))</f>
        <v>133</v>
      </c>
      <c r="F536" t="s">
        <v>1489</v>
      </c>
      <c r="G536" t="s">
        <v>1490</v>
      </c>
      <c r="J536" t="s">
        <v>506</v>
      </c>
      <c r="K536" t="s">
        <v>1283</v>
      </c>
      <c r="L536" t="s">
        <v>1033</v>
      </c>
      <c r="M536" t="s">
        <v>1261</v>
      </c>
      <c r="N536">
        <v>999</v>
      </c>
    </row>
    <row r="537" spans="1:14" x14ac:dyDescent="0.2">
      <c r="A537" t="str">
        <f ca="1">表_网址[[#This Row],[1级]]&amp;"-"&amp;表_网址[[#This Row],[2级]]&amp;"-"&amp;表_网址[[#This Row],[3级]]&amp;"-"&amp;表_网址[[#This Row],[级内]]</f>
        <v>9001-12-14-134</v>
      </c>
      <c r="B537">
        <f ca="1">MATCH(表_网址[[#This Row],[版层分类]],序列_版层分类,0)*1000+MATCH(表_网址[[#This Row],[首要关键词]],序列_首要关键词,0)</f>
        <v>9001</v>
      </c>
      <c r="C537">
        <f ca="1">IF(表_网址[[#This Row],[次要关键词]]="",10,MATCH(表_网址[[#This Row],[次要关键词]],序列_次要关键词,0)+10)</f>
        <v>12</v>
      </c>
      <c r="D537">
        <f ca="1">IF(表_网址[[#This Row],[重点关键词]]="",10,MATCH(表_网址[[#This Row],[重点关键词]],序列_重点关键词,0)+10)</f>
        <v>14</v>
      </c>
      <c r="E537">
        <f>IF(AND(表_网址[[#This Row],[首要关键词]]=K536,表_网址[[#This Row],[次要关键词]]=L536,表_网址[[#This Row],[重点关键词]]=M536),E536+1,IF(表_网址[[#This Row],[重点关键词]]="",100,101))</f>
        <v>134</v>
      </c>
      <c r="F537" t="s">
        <v>1491</v>
      </c>
      <c r="G537" t="s">
        <v>1492</v>
      </c>
      <c r="J537" t="s">
        <v>506</v>
      </c>
      <c r="K537" t="s">
        <v>1283</v>
      </c>
      <c r="L537" t="s">
        <v>1033</v>
      </c>
      <c r="M537" t="s">
        <v>1261</v>
      </c>
      <c r="N537">
        <v>999</v>
      </c>
    </row>
    <row r="538" spans="1:14" x14ac:dyDescent="0.2">
      <c r="A538" t="str">
        <f ca="1">表_网址[[#This Row],[1级]]&amp;"-"&amp;表_网址[[#This Row],[2级]]&amp;"-"&amp;表_网址[[#This Row],[3级]]&amp;"-"&amp;表_网址[[#This Row],[级内]]</f>
        <v>9001-12-14-135</v>
      </c>
      <c r="B538">
        <f ca="1">MATCH(表_网址[[#This Row],[版层分类]],序列_版层分类,0)*1000+MATCH(表_网址[[#This Row],[首要关键词]],序列_首要关键词,0)</f>
        <v>9001</v>
      </c>
      <c r="C538">
        <f ca="1">IF(表_网址[[#This Row],[次要关键词]]="",10,MATCH(表_网址[[#This Row],[次要关键词]],序列_次要关键词,0)+10)</f>
        <v>12</v>
      </c>
      <c r="D538">
        <f ca="1">IF(表_网址[[#This Row],[重点关键词]]="",10,MATCH(表_网址[[#This Row],[重点关键词]],序列_重点关键词,0)+10)</f>
        <v>14</v>
      </c>
      <c r="E538">
        <f>IF(AND(表_网址[[#This Row],[首要关键词]]=K537,表_网址[[#This Row],[次要关键词]]=L537,表_网址[[#This Row],[重点关键词]]=M537),E537+1,IF(表_网址[[#This Row],[重点关键词]]="",100,101))</f>
        <v>135</v>
      </c>
      <c r="F538" t="s">
        <v>1493</v>
      </c>
      <c r="G538" t="s">
        <v>1494</v>
      </c>
      <c r="J538" t="s">
        <v>506</v>
      </c>
      <c r="K538" t="s">
        <v>1283</v>
      </c>
      <c r="L538" t="s">
        <v>1033</v>
      </c>
      <c r="M538" t="s">
        <v>1261</v>
      </c>
      <c r="N538">
        <v>999</v>
      </c>
    </row>
    <row r="539" spans="1:14" x14ac:dyDescent="0.2">
      <c r="A539" t="str">
        <f ca="1">表_网址[[#This Row],[1级]]&amp;"-"&amp;表_网址[[#This Row],[2级]]&amp;"-"&amp;表_网址[[#This Row],[3级]]&amp;"-"&amp;表_网址[[#This Row],[级内]]</f>
        <v>9001-12-14-136</v>
      </c>
      <c r="B539">
        <f ca="1">MATCH(表_网址[[#This Row],[版层分类]],序列_版层分类,0)*1000+MATCH(表_网址[[#This Row],[首要关键词]],序列_首要关键词,0)</f>
        <v>9001</v>
      </c>
      <c r="C539">
        <f ca="1">IF(表_网址[[#This Row],[次要关键词]]="",10,MATCH(表_网址[[#This Row],[次要关键词]],序列_次要关键词,0)+10)</f>
        <v>12</v>
      </c>
      <c r="D539">
        <f ca="1">IF(表_网址[[#This Row],[重点关键词]]="",10,MATCH(表_网址[[#This Row],[重点关键词]],序列_重点关键词,0)+10)</f>
        <v>14</v>
      </c>
      <c r="E539">
        <f>IF(AND(表_网址[[#This Row],[首要关键词]]=K538,表_网址[[#This Row],[次要关键词]]=L538,表_网址[[#This Row],[重点关键词]]=M538),E538+1,IF(表_网址[[#This Row],[重点关键词]]="",100,101))</f>
        <v>136</v>
      </c>
      <c r="F539" t="s">
        <v>1495</v>
      </c>
      <c r="G539" t="s">
        <v>1496</v>
      </c>
      <c r="J539" t="s">
        <v>506</v>
      </c>
      <c r="K539" t="s">
        <v>1283</v>
      </c>
      <c r="L539" t="s">
        <v>1033</v>
      </c>
      <c r="M539" t="s">
        <v>1261</v>
      </c>
      <c r="N539">
        <v>999</v>
      </c>
    </row>
    <row r="540" spans="1:14" x14ac:dyDescent="0.2">
      <c r="A540" t="str">
        <f ca="1">表_网址[[#This Row],[1级]]&amp;"-"&amp;表_网址[[#This Row],[2级]]&amp;"-"&amp;表_网址[[#This Row],[3级]]&amp;"-"&amp;表_网址[[#This Row],[级内]]</f>
        <v>9001-12-14-137</v>
      </c>
      <c r="B540">
        <f ca="1">MATCH(表_网址[[#This Row],[版层分类]],序列_版层分类,0)*1000+MATCH(表_网址[[#This Row],[首要关键词]],序列_首要关键词,0)</f>
        <v>9001</v>
      </c>
      <c r="C540">
        <f ca="1">IF(表_网址[[#This Row],[次要关键词]]="",10,MATCH(表_网址[[#This Row],[次要关键词]],序列_次要关键词,0)+10)</f>
        <v>12</v>
      </c>
      <c r="D540">
        <f ca="1">IF(表_网址[[#This Row],[重点关键词]]="",10,MATCH(表_网址[[#This Row],[重点关键词]],序列_重点关键词,0)+10)</f>
        <v>14</v>
      </c>
      <c r="E540">
        <f>IF(AND(表_网址[[#This Row],[首要关键词]]=K539,表_网址[[#This Row],[次要关键词]]=L539,表_网址[[#This Row],[重点关键词]]=M539),E539+1,IF(表_网址[[#This Row],[重点关键词]]="",100,101))</f>
        <v>137</v>
      </c>
      <c r="F540" t="s">
        <v>1497</v>
      </c>
      <c r="G540" t="s">
        <v>1498</v>
      </c>
      <c r="J540" t="s">
        <v>506</v>
      </c>
      <c r="K540" t="s">
        <v>1283</v>
      </c>
      <c r="L540" t="s">
        <v>1033</v>
      </c>
      <c r="M540" t="s">
        <v>1261</v>
      </c>
      <c r="N540">
        <v>999</v>
      </c>
    </row>
    <row r="541" spans="1:14" x14ac:dyDescent="0.2">
      <c r="A541" t="str">
        <f ca="1">表_网址[[#This Row],[1级]]&amp;"-"&amp;表_网址[[#This Row],[2级]]&amp;"-"&amp;表_网址[[#This Row],[3级]]&amp;"-"&amp;表_网址[[#This Row],[级内]]</f>
        <v>9001-12-14-138</v>
      </c>
      <c r="B541">
        <f ca="1">MATCH(表_网址[[#This Row],[版层分类]],序列_版层分类,0)*1000+MATCH(表_网址[[#This Row],[首要关键词]],序列_首要关键词,0)</f>
        <v>9001</v>
      </c>
      <c r="C541">
        <f ca="1">IF(表_网址[[#This Row],[次要关键词]]="",10,MATCH(表_网址[[#This Row],[次要关键词]],序列_次要关键词,0)+10)</f>
        <v>12</v>
      </c>
      <c r="D541">
        <f ca="1">IF(表_网址[[#This Row],[重点关键词]]="",10,MATCH(表_网址[[#This Row],[重点关键词]],序列_重点关键词,0)+10)</f>
        <v>14</v>
      </c>
      <c r="E541">
        <f>IF(AND(表_网址[[#This Row],[首要关键词]]=K540,表_网址[[#This Row],[次要关键词]]=L540,表_网址[[#This Row],[重点关键词]]=M540),E540+1,IF(表_网址[[#This Row],[重点关键词]]="",100,101))</f>
        <v>138</v>
      </c>
      <c r="F541" t="s">
        <v>1499</v>
      </c>
      <c r="G541" t="s">
        <v>1500</v>
      </c>
      <c r="J541" t="s">
        <v>506</v>
      </c>
      <c r="K541" t="s">
        <v>1283</v>
      </c>
      <c r="L541" t="s">
        <v>1033</v>
      </c>
      <c r="M541" t="s">
        <v>1261</v>
      </c>
      <c r="N541">
        <v>999</v>
      </c>
    </row>
    <row r="542" spans="1:14" x14ac:dyDescent="0.2">
      <c r="A542" t="str">
        <f ca="1">表_网址[[#This Row],[1级]]&amp;"-"&amp;表_网址[[#This Row],[2级]]&amp;"-"&amp;表_网址[[#This Row],[3级]]&amp;"-"&amp;表_网址[[#This Row],[级内]]</f>
        <v>9001-12-14-139</v>
      </c>
      <c r="B542">
        <f ca="1">MATCH(表_网址[[#This Row],[版层分类]],序列_版层分类,0)*1000+MATCH(表_网址[[#This Row],[首要关键词]],序列_首要关键词,0)</f>
        <v>9001</v>
      </c>
      <c r="C542">
        <f ca="1">IF(表_网址[[#This Row],[次要关键词]]="",10,MATCH(表_网址[[#This Row],[次要关键词]],序列_次要关键词,0)+10)</f>
        <v>12</v>
      </c>
      <c r="D542">
        <f ca="1">IF(表_网址[[#This Row],[重点关键词]]="",10,MATCH(表_网址[[#This Row],[重点关键词]],序列_重点关键词,0)+10)</f>
        <v>14</v>
      </c>
      <c r="E542">
        <f>IF(AND(表_网址[[#This Row],[首要关键词]]=K541,表_网址[[#This Row],[次要关键词]]=L541,表_网址[[#This Row],[重点关键词]]=M541),E541+1,IF(表_网址[[#This Row],[重点关键词]]="",100,101))</f>
        <v>139</v>
      </c>
      <c r="F542" t="s">
        <v>1501</v>
      </c>
      <c r="G542" t="s">
        <v>1502</v>
      </c>
      <c r="J542" t="s">
        <v>506</v>
      </c>
      <c r="K542" t="s">
        <v>1283</v>
      </c>
      <c r="L542" t="s">
        <v>1033</v>
      </c>
      <c r="M542" t="s">
        <v>1261</v>
      </c>
      <c r="N542">
        <v>999</v>
      </c>
    </row>
    <row r="543" spans="1:14" x14ac:dyDescent="0.2">
      <c r="A543" t="str">
        <f ca="1">表_网址[[#This Row],[1级]]&amp;"-"&amp;表_网址[[#This Row],[2级]]&amp;"-"&amp;表_网址[[#This Row],[3级]]&amp;"-"&amp;表_网址[[#This Row],[级内]]</f>
        <v>9001-12-14-140</v>
      </c>
      <c r="B543">
        <f ca="1">MATCH(表_网址[[#This Row],[版层分类]],序列_版层分类,0)*1000+MATCH(表_网址[[#This Row],[首要关键词]],序列_首要关键词,0)</f>
        <v>9001</v>
      </c>
      <c r="C543">
        <f ca="1">IF(表_网址[[#This Row],[次要关键词]]="",10,MATCH(表_网址[[#This Row],[次要关键词]],序列_次要关键词,0)+10)</f>
        <v>12</v>
      </c>
      <c r="D543">
        <f ca="1">IF(表_网址[[#This Row],[重点关键词]]="",10,MATCH(表_网址[[#This Row],[重点关键词]],序列_重点关键词,0)+10)</f>
        <v>14</v>
      </c>
      <c r="E543">
        <f>IF(AND(表_网址[[#This Row],[首要关键词]]=K542,表_网址[[#This Row],[次要关键词]]=L542,表_网址[[#This Row],[重点关键词]]=M542),E542+1,IF(表_网址[[#This Row],[重点关键词]]="",100,101))</f>
        <v>140</v>
      </c>
      <c r="F543" t="s">
        <v>1503</v>
      </c>
      <c r="G543" t="s">
        <v>1504</v>
      </c>
      <c r="J543" t="s">
        <v>506</v>
      </c>
      <c r="K543" t="s">
        <v>1283</v>
      </c>
      <c r="L543" t="s">
        <v>1033</v>
      </c>
      <c r="M543" t="s">
        <v>1261</v>
      </c>
      <c r="N543">
        <v>999</v>
      </c>
    </row>
    <row r="544" spans="1:14" x14ac:dyDescent="0.2">
      <c r="A544" t="str">
        <f ca="1">表_网址[[#This Row],[1级]]&amp;"-"&amp;表_网址[[#This Row],[2级]]&amp;"-"&amp;表_网址[[#This Row],[3级]]&amp;"-"&amp;表_网址[[#This Row],[级内]]</f>
        <v>9001-12-14-141</v>
      </c>
      <c r="B544">
        <f ca="1">MATCH(表_网址[[#This Row],[版层分类]],序列_版层分类,0)*1000+MATCH(表_网址[[#This Row],[首要关键词]],序列_首要关键词,0)</f>
        <v>9001</v>
      </c>
      <c r="C544">
        <f ca="1">IF(表_网址[[#This Row],[次要关键词]]="",10,MATCH(表_网址[[#This Row],[次要关键词]],序列_次要关键词,0)+10)</f>
        <v>12</v>
      </c>
      <c r="D544">
        <f ca="1">IF(表_网址[[#This Row],[重点关键词]]="",10,MATCH(表_网址[[#This Row],[重点关键词]],序列_重点关键词,0)+10)</f>
        <v>14</v>
      </c>
      <c r="E544">
        <f>IF(AND(表_网址[[#This Row],[首要关键词]]=K543,表_网址[[#This Row],[次要关键词]]=L543,表_网址[[#This Row],[重点关键词]]=M543),E543+1,IF(表_网址[[#This Row],[重点关键词]]="",100,101))</f>
        <v>141</v>
      </c>
      <c r="F544" t="s">
        <v>1505</v>
      </c>
      <c r="G544" t="s">
        <v>1406</v>
      </c>
      <c r="J544" t="s">
        <v>506</v>
      </c>
      <c r="K544" t="s">
        <v>1283</v>
      </c>
      <c r="L544" t="s">
        <v>1033</v>
      </c>
      <c r="M544" t="s">
        <v>1261</v>
      </c>
      <c r="N544">
        <v>999</v>
      </c>
    </row>
    <row r="545" spans="1:15" x14ac:dyDescent="0.2">
      <c r="A545" t="str">
        <f ca="1">表_网址[[#This Row],[1级]]&amp;"-"&amp;表_网址[[#This Row],[2级]]&amp;"-"&amp;表_网址[[#This Row],[3级]]&amp;"-"&amp;表_网址[[#This Row],[级内]]</f>
        <v>9001-12-14-142</v>
      </c>
      <c r="B545">
        <f ca="1">MATCH(表_网址[[#This Row],[版层分类]],序列_版层分类,0)*1000+MATCH(表_网址[[#This Row],[首要关键词]],序列_首要关键词,0)</f>
        <v>9001</v>
      </c>
      <c r="C545">
        <f ca="1">IF(表_网址[[#This Row],[次要关键词]]="",10,MATCH(表_网址[[#This Row],[次要关键词]],序列_次要关键词,0)+10)</f>
        <v>12</v>
      </c>
      <c r="D545">
        <f ca="1">IF(表_网址[[#This Row],[重点关键词]]="",10,MATCH(表_网址[[#This Row],[重点关键词]],序列_重点关键词,0)+10)</f>
        <v>14</v>
      </c>
      <c r="E545">
        <f>IF(AND(表_网址[[#This Row],[首要关键词]]=K544,表_网址[[#This Row],[次要关键词]]=L544,表_网址[[#This Row],[重点关键词]]=M544),E544+1,IF(表_网址[[#This Row],[重点关键词]]="",100,101))</f>
        <v>142</v>
      </c>
      <c r="F545" t="s">
        <v>1506</v>
      </c>
      <c r="G545" t="s">
        <v>1507</v>
      </c>
      <c r="J545" t="s">
        <v>506</v>
      </c>
      <c r="K545" t="s">
        <v>1283</v>
      </c>
      <c r="L545" t="s">
        <v>1033</v>
      </c>
      <c r="M545" t="s">
        <v>1261</v>
      </c>
      <c r="N545">
        <v>999</v>
      </c>
    </row>
    <row r="546" spans="1:15" x14ac:dyDescent="0.2">
      <c r="A546" t="str">
        <f ca="1">表_网址[[#This Row],[1级]]&amp;"-"&amp;表_网址[[#This Row],[2级]]&amp;"-"&amp;表_网址[[#This Row],[3级]]&amp;"-"&amp;表_网址[[#This Row],[级内]]</f>
        <v>9001-12-14-143</v>
      </c>
      <c r="B546">
        <f ca="1">MATCH(表_网址[[#This Row],[版层分类]],序列_版层分类,0)*1000+MATCH(表_网址[[#This Row],[首要关键词]],序列_首要关键词,0)</f>
        <v>9001</v>
      </c>
      <c r="C546">
        <f ca="1">IF(表_网址[[#This Row],[次要关键词]]="",10,MATCH(表_网址[[#This Row],[次要关键词]],序列_次要关键词,0)+10)</f>
        <v>12</v>
      </c>
      <c r="D546">
        <f ca="1">IF(表_网址[[#This Row],[重点关键词]]="",10,MATCH(表_网址[[#This Row],[重点关键词]],序列_重点关键词,0)+10)</f>
        <v>14</v>
      </c>
      <c r="E546">
        <f>IF(AND(表_网址[[#This Row],[首要关键词]]=K545,表_网址[[#This Row],[次要关键词]]=L545,表_网址[[#This Row],[重点关键词]]=M545),E545+1,IF(表_网址[[#This Row],[重点关键词]]="",100,101))</f>
        <v>143</v>
      </c>
      <c r="F546" t="s">
        <v>1508</v>
      </c>
      <c r="G546" t="s">
        <v>1509</v>
      </c>
      <c r="J546" t="s">
        <v>506</v>
      </c>
      <c r="K546" t="s">
        <v>1283</v>
      </c>
      <c r="L546" t="s">
        <v>1033</v>
      </c>
      <c r="M546" t="s">
        <v>1261</v>
      </c>
      <c r="N546">
        <v>999</v>
      </c>
    </row>
    <row r="547" spans="1:15" x14ac:dyDescent="0.2">
      <c r="A547" t="str">
        <f ca="1">表_网址[[#This Row],[1级]]&amp;"-"&amp;表_网址[[#This Row],[2级]]&amp;"-"&amp;表_网址[[#This Row],[3级]]&amp;"-"&amp;表_网址[[#This Row],[级内]]</f>
        <v>9001-12-14-144</v>
      </c>
      <c r="B547">
        <f ca="1">MATCH(表_网址[[#This Row],[版层分类]],序列_版层分类,0)*1000+MATCH(表_网址[[#This Row],[首要关键词]],序列_首要关键词,0)</f>
        <v>9001</v>
      </c>
      <c r="C547">
        <f ca="1">IF(表_网址[[#This Row],[次要关键词]]="",10,MATCH(表_网址[[#This Row],[次要关键词]],序列_次要关键词,0)+10)</f>
        <v>12</v>
      </c>
      <c r="D547">
        <f ca="1">IF(表_网址[[#This Row],[重点关键词]]="",10,MATCH(表_网址[[#This Row],[重点关键词]],序列_重点关键词,0)+10)</f>
        <v>14</v>
      </c>
      <c r="E547">
        <f>IF(AND(表_网址[[#This Row],[首要关键词]]=K546,表_网址[[#This Row],[次要关键词]]=L546,表_网址[[#This Row],[重点关键词]]=M546),E546+1,IF(表_网址[[#This Row],[重点关键词]]="",100,101))</f>
        <v>144</v>
      </c>
      <c r="F547" t="s">
        <v>1510</v>
      </c>
      <c r="G547" t="s">
        <v>1511</v>
      </c>
      <c r="J547" t="s">
        <v>506</v>
      </c>
      <c r="K547" t="s">
        <v>1283</v>
      </c>
      <c r="L547" t="s">
        <v>1033</v>
      </c>
      <c r="M547" t="s">
        <v>1261</v>
      </c>
      <c r="N547">
        <v>999</v>
      </c>
    </row>
    <row r="548" spans="1:15" x14ac:dyDescent="0.2">
      <c r="A548" t="str">
        <f ca="1">表_网址[[#This Row],[1级]]&amp;"-"&amp;表_网址[[#This Row],[2级]]&amp;"-"&amp;表_网址[[#This Row],[3级]]&amp;"-"&amp;表_网址[[#This Row],[级内]]</f>
        <v>9001-12-14-145</v>
      </c>
      <c r="B548">
        <f ca="1">MATCH(表_网址[[#This Row],[版层分类]],序列_版层分类,0)*1000+MATCH(表_网址[[#This Row],[首要关键词]],序列_首要关键词,0)</f>
        <v>9001</v>
      </c>
      <c r="C548">
        <f ca="1">IF(表_网址[[#This Row],[次要关键词]]="",10,MATCH(表_网址[[#This Row],[次要关键词]],序列_次要关键词,0)+10)</f>
        <v>12</v>
      </c>
      <c r="D548">
        <f ca="1">IF(表_网址[[#This Row],[重点关键词]]="",10,MATCH(表_网址[[#This Row],[重点关键词]],序列_重点关键词,0)+10)</f>
        <v>14</v>
      </c>
      <c r="E548">
        <f>IF(AND(表_网址[[#This Row],[首要关键词]]=K547,表_网址[[#This Row],[次要关键词]]=L547,表_网址[[#This Row],[重点关键词]]=M547),E547+1,IF(表_网址[[#This Row],[重点关键词]]="",100,101))</f>
        <v>145</v>
      </c>
      <c r="F548" t="s">
        <v>1512</v>
      </c>
      <c r="G548" t="s">
        <v>1513</v>
      </c>
      <c r="J548" t="s">
        <v>506</v>
      </c>
      <c r="K548" t="s">
        <v>1283</v>
      </c>
      <c r="L548" t="s">
        <v>1033</v>
      </c>
      <c r="M548" t="s">
        <v>1261</v>
      </c>
      <c r="N548">
        <v>999</v>
      </c>
    </row>
    <row r="549" spans="1:15" x14ac:dyDescent="0.2">
      <c r="A549" t="str">
        <f ca="1">表_网址[[#This Row],[1级]]&amp;"-"&amp;表_网址[[#This Row],[2级]]&amp;"-"&amp;表_网址[[#This Row],[3级]]&amp;"-"&amp;表_网址[[#This Row],[级内]]</f>
        <v>9001-12-14-146</v>
      </c>
      <c r="B549">
        <f ca="1">MATCH(表_网址[[#This Row],[版层分类]],序列_版层分类,0)*1000+MATCH(表_网址[[#This Row],[首要关键词]],序列_首要关键词,0)</f>
        <v>9001</v>
      </c>
      <c r="C549">
        <f ca="1">IF(表_网址[[#This Row],[次要关键词]]="",10,MATCH(表_网址[[#This Row],[次要关键词]],序列_次要关键词,0)+10)</f>
        <v>12</v>
      </c>
      <c r="D549">
        <f ca="1">IF(表_网址[[#This Row],[重点关键词]]="",10,MATCH(表_网址[[#This Row],[重点关键词]],序列_重点关键词,0)+10)</f>
        <v>14</v>
      </c>
      <c r="E549">
        <f>IF(AND(表_网址[[#This Row],[首要关键词]]=K548,表_网址[[#This Row],[次要关键词]]=L548,表_网址[[#This Row],[重点关键词]]=M548),E548+1,IF(表_网址[[#This Row],[重点关键词]]="",100,101))</f>
        <v>146</v>
      </c>
      <c r="F549" t="s">
        <v>1514</v>
      </c>
      <c r="G549" t="s">
        <v>1515</v>
      </c>
      <c r="J549" t="s">
        <v>506</v>
      </c>
      <c r="K549" t="s">
        <v>1283</v>
      </c>
      <c r="L549" t="s">
        <v>1033</v>
      </c>
      <c r="M549" t="s">
        <v>1261</v>
      </c>
      <c r="N549">
        <v>999</v>
      </c>
    </row>
    <row r="550" spans="1:15" x14ac:dyDescent="0.2">
      <c r="A550" t="str">
        <f ca="1">表_网址[[#This Row],[1级]]&amp;"-"&amp;表_网址[[#This Row],[2级]]&amp;"-"&amp;表_网址[[#This Row],[3级]]&amp;"-"&amp;表_网址[[#This Row],[级内]]</f>
        <v>9001-12-14-147</v>
      </c>
      <c r="B550">
        <f ca="1">MATCH(表_网址[[#This Row],[版层分类]],序列_版层分类,0)*1000+MATCH(表_网址[[#This Row],[首要关键词]],序列_首要关键词,0)</f>
        <v>9001</v>
      </c>
      <c r="C550">
        <f ca="1">IF(表_网址[[#This Row],[次要关键词]]="",10,MATCH(表_网址[[#This Row],[次要关键词]],序列_次要关键词,0)+10)</f>
        <v>12</v>
      </c>
      <c r="D550">
        <f ca="1">IF(表_网址[[#This Row],[重点关键词]]="",10,MATCH(表_网址[[#This Row],[重点关键词]],序列_重点关键词,0)+10)</f>
        <v>14</v>
      </c>
      <c r="E550">
        <f>IF(AND(表_网址[[#This Row],[首要关键词]]=K549,表_网址[[#This Row],[次要关键词]]=L549,表_网址[[#This Row],[重点关键词]]=M549),E549+1,IF(表_网址[[#This Row],[重点关键词]]="",100,101))</f>
        <v>147</v>
      </c>
      <c r="F550" t="s">
        <v>1516</v>
      </c>
      <c r="G550" t="s">
        <v>1517</v>
      </c>
      <c r="J550" t="s">
        <v>506</v>
      </c>
      <c r="K550" t="s">
        <v>1283</v>
      </c>
      <c r="L550" t="s">
        <v>1033</v>
      </c>
      <c r="M550" t="s">
        <v>1261</v>
      </c>
      <c r="N550">
        <v>999</v>
      </c>
    </row>
    <row r="551" spans="1:15" x14ac:dyDescent="0.2">
      <c r="A551" t="str">
        <f ca="1">表_网址[[#This Row],[1级]]&amp;"-"&amp;表_网址[[#This Row],[2级]]&amp;"-"&amp;表_网址[[#This Row],[3级]]&amp;"-"&amp;表_网址[[#This Row],[级内]]</f>
        <v>9001-12-14-148</v>
      </c>
      <c r="B551">
        <f ca="1">MATCH(表_网址[[#This Row],[版层分类]],序列_版层分类,0)*1000+MATCH(表_网址[[#This Row],[首要关键词]],序列_首要关键词,0)</f>
        <v>9001</v>
      </c>
      <c r="C551">
        <f ca="1">IF(表_网址[[#This Row],[次要关键词]]="",10,MATCH(表_网址[[#This Row],[次要关键词]],序列_次要关键词,0)+10)</f>
        <v>12</v>
      </c>
      <c r="D551">
        <f ca="1">IF(表_网址[[#This Row],[重点关键词]]="",10,MATCH(表_网址[[#This Row],[重点关键词]],序列_重点关键词,0)+10)</f>
        <v>14</v>
      </c>
      <c r="E551">
        <f>IF(AND(表_网址[[#This Row],[首要关键词]]=K550,表_网址[[#This Row],[次要关键词]]=L550,表_网址[[#This Row],[重点关键词]]=M550),E550+1,IF(表_网址[[#This Row],[重点关键词]]="",100,101))</f>
        <v>148</v>
      </c>
      <c r="F551" t="s">
        <v>1518</v>
      </c>
      <c r="G551" t="s">
        <v>1519</v>
      </c>
      <c r="J551" t="s">
        <v>506</v>
      </c>
      <c r="K551" t="s">
        <v>1283</v>
      </c>
      <c r="L551" t="s">
        <v>1033</v>
      </c>
      <c r="M551" t="s">
        <v>1261</v>
      </c>
      <c r="N551">
        <v>999</v>
      </c>
    </row>
    <row r="552" spans="1:15" x14ac:dyDescent="0.2">
      <c r="A552" t="str">
        <f ca="1">表_网址[[#This Row],[1级]]&amp;"-"&amp;表_网址[[#This Row],[2级]]&amp;"-"&amp;表_网址[[#This Row],[3级]]&amp;"-"&amp;表_网址[[#This Row],[级内]]</f>
        <v>9001-12-14-149</v>
      </c>
      <c r="B552">
        <f ca="1">MATCH(表_网址[[#This Row],[版层分类]],序列_版层分类,0)*1000+MATCH(表_网址[[#This Row],[首要关键词]],序列_首要关键词,0)</f>
        <v>9001</v>
      </c>
      <c r="C552">
        <f ca="1">IF(表_网址[[#This Row],[次要关键词]]="",10,MATCH(表_网址[[#This Row],[次要关键词]],序列_次要关键词,0)+10)</f>
        <v>12</v>
      </c>
      <c r="D552">
        <f ca="1">IF(表_网址[[#This Row],[重点关键词]]="",10,MATCH(表_网址[[#This Row],[重点关键词]],序列_重点关键词,0)+10)</f>
        <v>14</v>
      </c>
      <c r="E552">
        <f>IF(AND(表_网址[[#This Row],[首要关键词]]=K551,表_网址[[#This Row],[次要关键词]]=L551,表_网址[[#This Row],[重点关键词]]=M551),E551+1,IF(表_网址[[#This Row],[重点关键词]]="",100,101))</f>
        <v>149</v>
      </c>
      <c r="F552" t="s">
        <v>1520</v>
      </c>
      <c r="G552" t="s">
        <v>1521</v>
      </c>
      <c r="J552" t="s">
        <v>506</v>
      </c>
      <c r="K552" t="s">
        <v>1283</v>
      </c>
      <c r="L552" t="s">
        <v>1033</v>
      </c>
      <c r="M552" t="s">
        <v>1261</v>
      </c>
      <c r="N552">
        <v>999</v>
      </c>
    </row>
    <row r="553" spans="1:15" x14ac:dyDescent="0.2">
      <c r="A553" t="str">
        <f ca="1">表_网址[[#This Row],[1级]]&amp;"-"&amp;表_网址[[#This Row],[2级]]&amp;"-"&amp;表_网址[[#This Row],[3级]]&amp;"-"&amp;表_网址[[#This Row],[级内]]</f>
        <v>9001-12-14-150</v>
      </c>
      <c r="B553">
        <f ca="1">MATCH(表_网址[[#This Row],[版层分类]],序列_版层分类,0)*1000+MATCH(表_网址[[#This Row],[首要关键词]],序列_首要关键词,0)</f>
        <v>9001</v>
      </c>
      <c r="C553">
        <f ca="1">IF(表_网址[[#This Row],[次要关键词]]="",10,MATCH(表_网址[[#This Row],[次要关键词]],序列_次要关键词,0)+10)</f>
        <v>12</v>
      </c>
      <c r="D553">
        <f ca="1">IF(表_网址[[#This Row],[重点关键词]]="",10,MATCH(表_网址[[#This Row],[重点关键词]],序列_重点关键词,0)+10)</f>
        <v>14</v>
      </c>
      <c r="E553">
        <f>IF(AND(表_网址[[#This Row],[首要关键词]]=K552,表_网址[[#This Row],[次要关键词]]=L552,表_网址[[#This Row],[重点关键词]]=M552),E552+1,IF(表_网址[[#This Row],[重点关键词]]="",100,101))</f>
        <v>150</v>
      </c>
      <c r="F553" t="s">
        <v>1522</v>
      </c>
      <c r="G553" t="s">
        <v>1523</v>
      </c>
      <c r="J553" t="s">
        <v>506</v>
      </c>
      <c r="K553" t="s">
        <v>1283</v>
      </c>
      <c r="L553" t="s">
        <v>1033</v>
      </c>
      <c r="M553" t="s">
        <v>1261</v>
      </c>
      <c r="N553">
        <v>999</v>
      </c>
    </row>
    <row r="554" spans="1:15" x14ac:dyDescent="0.2">
      <c r="A554" t="str">
        <f ca="1">表_网址[[#This Row],[1级]]&amp;"-"&amp;表_网址[[#This Row],[2级]]&amp;"-"&amp;表_网址[[#This Row],[3级]]&amp;"-"&amp;表_网址[[#This Row],[级内]]</f>
        <v>9001-12-14-151</v>
      </c>
      <c r="B554">
        <f ca="1">MATCH(表_网址[[#This Row],[版层分类]],序列_版层分类,0)*1000+MATCH(表_网址[[#This Row],[首要关键词]],序列_首要关键词,0)</f>
        <v>9001</v>
      </c>
      <c r="C554">
        <f ca="1">IF(表_网址[[#This Row],[次要关键词]]="",10,MATCH(表_网址[[#This Row],[次要关键词]],序列_次要关键词,0)+10)</f>
        <v>12</v>
      </c>
      <c r="D554">
        <f ca="1">IF(表_网址[[#This Row],[重点关键词]]="",10,MATCH(表_网址[[#This Row],[重点关键词]],序列_重点关键词,0)+10)</f>
        <v>14</v>
      </c>
      <c r="E554">
        <f>IF(AND(表_网址[[#This Row],[首要关键词]]=K553,表_网址[[#This Row],[次要关键词]]=L553,表_网址[[#This Row],[重点关键词]]=M553),E553+1,IF(表_网址[[#This Row],[重点关键词]]="",100,101))</f>
        <v>151</v>
      </c>
      <c r="F554" t="s">
        <v>1524</v>
      </c>
      <c r="G554" t="s">
        <v>1525</v>
      </c>
      <c r="J554" t="s">
        <v>506</v>
      </c>
      <c r="K554" t="s">
        <v>1283</v>
      </c>
      <c r="L554" t="s">
        <v>1033</v>
      </c>
      <c r="M554" t="s">
        <v>1261</v>
      </c>
      <c r="N554">
        <v>999</v>
      </c>
    </row>
    <row r="555" spans="1:15" x14ac:dyDescent="0.2">
      <c r="A555" t="str">
        <f ca="1">表_网址[[#This Row],[1级]]&amp;"-"&amp;表_网址[[#This Row],[2级]]&amp;"-"&amp;表_网址[[#This Row],[3级]]&amp;"-"&amp;表_网址[[#This Row],[级内]]</f>
        <v>9001-12-14-152</v>
      </c>
      <c r="B555">
        <f ca="1">MATCH(表_网址[[#This Row],[版层分类]],序列_版层分类,0)*1000+MATCH(表_网址[[#This Row],[首要关键词]],序列_首要关键词,0)</f>
        <v>9001</v>
      </c>
      <c r="C555">
        <f ca="1">IF(表_网址[[#This Row],[次要关键词]]="",10,MATCH(表_网址[[#This Row],[次要关键词]],序列_次要关键词,0)+10)</f>
        <v>12</v>
      </c>
      <c r="D555">
        <f ca="1">IF(表_网址[[#This Row],[重点关键词]]="",10,MATCH(表_网址[[#This Row],[重点关键词]],序列_重点关键词,0)+10)</f>
        <v>14</v>
      </c>
      <c r="E555">
        <f>IF(AND(表_网址[[#This Row],[首要关键词]]=K554,表_网址[[#This Row],[次要关键词]]=L554,表_网址[[#This Row],[重点关键词]]=M554),E554+1,IF(表_网址[[#This Row],[重点关键词]]="",100,101))</f>
        <v>152</v>
      </c>
      <c r="F555" t="s">
        <v>1526</v>
      </c>
      <c r="G555" t="s">
        <v>1527</v>
      </c>
      <c r="J555" t="s">
        <v>506</v>
      </c>
      <c r="K555" t="s">
        <v>1283</v>
      </c>
      <c r="L555" t="s">
        <v>1033</v>
      </c>
      <c r="M555" t="s">
        <v>1261</v>
      </c>
      <c r="N555">
        <v>999</v>
      </c>
    </row>
    <row r="556" spans="1:15" x14ac:dyDescent="0.2">
      <c r="A556" t="str">
        <f ca="1">表_网址[[#This Row],[1级]]&amp;"-"&amp;表_网址[[#This Row],[2级]]&amp;"-"&amp;表_网址[[#This Row],[3级]]&amp;"-"&amp;表_网址[[#This Row],[级内]]</f>
        <v>9001-13-10-100</v>
      </c>
      <c r="B556">
        <f ca="1">MATCH(表_网址[[#This Row],[版层分类]],序列_版层分类,0)*1000+MATCH(表_网址[[#This Row],[首要关键词]],序列_首要关键词,0)</f>
        <v>9001</v>
      </c>
      <c r="C556">
        <f ca="1">IF(表_网址[[#This Row],[次要关键词]]="",10,MATCH(表_网址[[#This Row],[次要关键词]],序列_次要关键词,0)+10)</f>
        <v>13</v>
      </c>
      <c r="D556">
        <f>IF(表_网址[[#This Row],[重点关键词]]="",10,MATCH(表_网址[[#This Row],[重点关键词]],序列_重点关键词,0)+10)</f>
        <v>10</v>
      </c>
      <c r="E556">
        <f>IF(AND(表_网址[[#This Row],[首要关键词]]=K555,表_网址[[#This Row],[次要关键词]]=L555,表_网址[[#This Row],[重点关键词]]=M555),E555+1,IF(表_网址[[#This Row],[重点关键词]]="",100,101))</f>
        <v>100</v>
      </c>
      <c r="J556" t="s">
        <v>506</v>
      </c>
      <c r="K556" t="s">
        <v>1283</v>
      </c>
      <c r="L556" t="s">
        <v>1528</v>
      </c>
    </row>
    <row r="557" spans="1:15" x14ac:dyDescent="0.2">
      <c r="A557" t="str">
        <f ca="1">表_网址[[#This Row],[1级]]&amp;"-"&amp;表_网址[[#This Row],[2级]]&amp;"-"&amp;表_网址[[#This Row],[3级]]&amp;"-"&amp;表_网址[[#This Row],[级内]]</f>
        <v>9001-13-10-101</v>
      </c>
      <c r="B557">
        <f ca="1">MATCH(表_网址[[#This Row],[版层分类]],序列_版层分类,0)*1000+MATCH(表_网址[[#This Row],[首要关键词]],序列_首要关键词,0)</f>
        <v>9001</v>
      </c>
      <c r="C557">
        <f ca="1">IF(表_网址[[#This Row],[次要关键词]]="",10,MATCH(表_网址[[#This Row],[次要关键词]],序列_次要关键词,0)+10)</f>
        <v>13</v>
      </c>
      <c r="D557">
        <f>IF(表_网址[[#This Row],[重点关键词]]="",10,MATCH(表_网址[[#This Row],[重点关键词]],序列_重点关键词,0)+10)</f>
        <v>10</v>
      </c>
      <c r="E557">
        <f>IF(AND(表_网址[[#This Row],[首要关键词]]=K556,表_网址[[#This Row],[次要关键词]]=L556,表_网址[[#This Row],[重点关键词]]=M556),E556+1,IF(表_网址[[#This Row],[重点关键词]]="",100,101))</f>
        <v>101</v>
      </c>
      <c r="F557" t="s">
        <v>1529</v>
      </c>
      <c r="G557" t="s">
        <v>1530</v>
      </c>
      <c r="H557" t="s">
        <v>1531</v>
      </c>
      <c r="I557" t="s">
        <v>1532</v>
      </c>
      <c r="J557" t="s">
        <v>506</v>
      </c>
      <c r="K557" t="s">
        <v>1283</v>
      </c>
      <c r="L557" t="s">
        <v>1528</v>
      </c>
      <c r="N557">
        <v>999</v>
      </c>
      <c r="O557">
        <v>999</v>
      </c>
    </row>
    <row r="558" spans="1:15" x14ac:dyDescent="0.2">
      <c r="A558" t="str">
        <f ca="1">表_网址[[#This Row],[1级]]&amp;"-"&amp;表_网址[[#This Row],[2级]]&amp;"-"&amp;表_网址[[#This Row],[3级]]&amp;"-"&amp;表_网址[[#This Row],[级内]]</f>
        <v>9001-13-10-102</v>
      </c>
      <c r="B558">
        <f ca="1">MATCH(表_网址[[#This Row],[版层分类]],序列_版层分类,0)*1000+MATCH(表_网址[[#This Row],[首要关键词]],序列_首要关键词,0)</f>
        <v>9001</v>
      </c>
      <c r="C558">
        <f ca="1">IF(表_网址[[#This Row],[次要关键词]]="",10,MATCH(表_网址[[#This Row],[次要关键词]],序列_次要关键词,0)+10)</f>
        <v>13</v>
      </c>
      <c r="D558">
        <f>IF(表_网址[[#This Row],[重点关键词]]="",10,MATCH(表_网址[[#This Row],[重点关键词]],序列_重点关键词,0)+10)</f>
        <v>10</v>
      </c>
      <c r="E558">
        <f>IF(AND(表_网址[[#This Row],[首要关键词]]=K557,表_网址[[#This Row],[次要关键词]]=L557,表_网址[[#This Row],[重点关键词]]=M557),E557+1,IF(表_网址[[#This Row],[重点关键词]]="",100,101))</f>
        <v>102</v>
      </c>
      <c r="F558" t="s">
        <v>1533</v>
      </c>
      <c r="G558" t="s">
        <v>1534</v>
      </c>
      <c r="I558" t="s">
        <v>1535</v>
      </c>
      <c r="J558" t="s">
        <v>506</v>
      </c>
      <c r="K558" t="s">
        <v>1283</v>
      </c>
      <c r="L558" t="s">
        <v>1528</v>
      </c>
      <c r="N558">
        <v>999</v>
      </c>
      <c r="O558">
        <v>999</v>
      </c>
    </row>
    <row r="559" spans="1:15" x14ac:dyDescent="0.2">
      <c r="A559" t="str">
        <f ca="1">表_网址[[#This Row],[1级]]&amp;"-"&amp;表_网址[[#This Row],[2级]]&amp;"-"&amp;表_网址[[#This Row],[3级]]&amp;"-"&amp;表_网址[[#This Row],[级内]]</f>
        <v>9001-13-10-103</v>
      </c>
      <c r="B559">
        <f ca="1">MATCH(表_网址[[#This Row],[版层分类]],序列_版层分类,0)*1000+MATCH(表_网址[[#This Row],[首要关键词]],序列_首要关键词,0)</f>
        <v>9001</v>
      </c>
      <c r="C559">
        <f ca="1">IF(表_网址[[#This Row],[次要关键词]]="",10,MATCH(表_网址[[#This Row],[次要关键词]],序列_次要关键词,0)+10)</f>
        <v>13</v>
      </c>
      <c r="D559">
        <f>IF(表_网址[[#This Row],[重点关键词]]="",10,MATCH(表_网址[[#This Row],[重点关键词]],序列_重点关键词,0)+10)</f>
        <v>10</v>
      </c>
      <c r="E559">
        <f>IF(AND(表_网址[[#This Row],[首要关键词]]=K558,表_网址[[#This Row],[次要关键词]]=L558,表_网址[[#This Row],[重点关键词]]=M558),E558+1,IF(表_网址[[#This Row],[重点关键词]]="",100,101))</f>
        <v>103</v>
      </c>
      <c r="F559" t="s">
        <v>1536</v>
      </c>
      <c r="G559" t="s">
        <v>1537</v>
      </c>
      <c r="H559" t="s">
        <v>1538</v>
      </c>
      <c r="I559" t="s">
        <v>1539</v>
      </c>
      <c r="J559" t="s">
        <v>506</v>
      </c>
      <c r="K559" t="s">
        <v>1283</v>
      </c>
      <c r="L559" t="s">
        <v>1528</v>
      </c>
      <c r="N559">
        <v>999</v>
      </c>
      <c r="O559">
        <v>999</v>
      </c>
    </row>
    <row r="560" spans="1:15" x14ac:dyDescent="0.2">
      <c r="A560" t="str">
        <f ca="1">表_网址[[#This Row],[1级]]&amp;"-"&amp;表_网址[[#This Row],[2级]]&amp;"-"&amp;表_网址[[#This Row],[3级]]&amp;"-"&amp;表_网址[[#This Row],[级内]]</f>
        <v>9001-13-10-104</v>
      </c>
      <c r="B560">
        <f ca="1">MATCH(表_网址[[#This Row],[版层分类]],序列_版层分类,0)*1000+MATCH(表_网址[[#This Row],[首要关键词]],序列_首要关键词,0)</f>
        <v>9001</v>
      </c>
      <c r="C560">
        <f ca="1">IF(表_网址[[#This Row],[次要关键词]]="",10,MATCH(表_网址[[#This Row],[次要关键词]],序列_次要关键词,0)+10)</f>
        <v>13</v>
      </c>
      <c r="D560">
        <f>IF(表_网址[[#This Row],[重点关键词]]="",10,MATCH(表_网址[[#This Row],[重点关键词]],序列_重点关键词,0)+10)</f>
        <v>10</v>
      </c>
      <c r="E560">
        <f>IF(AND(表_网址[[#This Row],[首要关键词]]=K559,表_网址[[#This Row],[次要关键词]]=L559,表_网址[[#This Row],[重点关键词]]=M559),E559+1,IF(表_网址[[#This Row],[重点关键词]]="",100,101))</f>
        <v>104</v>
      </c>
      <c r="F560" t="s">
        <v>1540</v>
      </c>
      <c r="G560" t="s">
        <v>1541</v>
      </c>
      <c r="H560" t="s">
        <v>1542</v>
      </c>
      <c r="I560" t="s">
        <v>1543</v>
      </c>
      <c r="J560" t="s">
        <v>506</v>
      </c>
      <c r="K560" t="s">
        <v>1283</v>
      </c>
      <c r="L560" t="s">
        <v>1528</v>
      </c>
      <c r="N560">
        <v>999</v>
      </c>
      <c r="O560">
        <v>999</v>
      </c>
    </row>
    <row r="561" spans="1:17" x14ac:dyDescent="0.2">
      <c r="A561" t="str">
        <f ca="1">表_网址[[#This Row],[1级]]&amp;"-"&amp;表_网址[[#This Row],[2级]]&amp;"-"&amp;表_网址[[#This Row],[3级]]&amp;"-"&amp;表_网址[[#This Row],[级内]]</f>
        <v>9001-13-10-105</v>
      </c>
      <c r="B561">
        <f ca="1">MATCH(表_网址[[#This Row],[版层分类]],序列_版层分类,0)*1000+MATCH(表_网址[[#This Row],[首要关键词]],序列_首要关键词,0)</f>
        <v>9001</v>
      </c>
      <c r="C561">
        <f ca="1">IF(表_网址[[#This Row],[次要关键词]]="",10,MATCH(表_网址[[#This Row],[次要关键词]],序列_次要关键词,0)+10)</f>
        <v>13</v>
      </c>
      <c r="D561">
        <f>IF(表_网址[[#This Row],[重点关键词]]="",10,MATCH(表_网址[[#This Row],[重点关键词]],序列_重点关键词,0)+10)</f>
        <v>10</v>
      </c>
      <c r="E561">
        <f>IF(AND(表_网址[[#This Row],[首要关键词]]=K560,表_网址[[#This Row],[次要关键词]]=L560,表_网址[[#This Row],[重点关键词]]=M560),E560+1,IF(表_网址[[#This Row],[重点关键词]]="",100,101))</f>
        <v>105</v>
      </c>
      <c r="F561" t="s">
        <v>1544</v>
      </c>
      <c r="G561" t="s">
        <v>1545</v>
      </c>
      <c r="H561" t="s">
        <v>1546</v>
      </c>
      <c r="I561" t="s">
        <v>1547</v>
      </c>
      <c r="J561" t="s">
        <v>506</v>
      </c>
      <c r="K561" t="s">
        <v>1283</v>
      </c>
      <c r="L561" t="s">
        <v>1528</v>
      </c>
      <c r="N561">
        <v>999</v>
      </c>
      <c r="O561">
        <v>999</v>
      </c>
    </row>
    <row r="562" spans="1:17" x14ac:dyDescent="0.2">
      <c r="A562" t="str">
        <f ca="1">表_网址[[#This Row],[1级]]&amp;"-"&amp;表_网址[[#This Row],[2级]]&amp;"-"&amp;表_网址[[#This Row],[3级]]&amp;"-"&amp;表_网址[[#This Row],[级内]]</f>
        <v>9001-13-11-101</v>
      </c>
      <c r="B562">
        <f ca="1">MATCH(表_网址[[#This Row],[版层分类]],序列_版层分类,0)*1000+MATCH(表_网址[[#This Row],[首要关键词]],序列_首要关键词,0)</f>
        <v>9001</v>
      </c>
      <c r="C562">
        <f ca="1">IF(表_网址[[#This Row],[次要关键词]]="",10,MATCH(表_网址[[#This Row],[次要关键词]],序列_次要关键词,0)+10)</f>
        <v>13</v>
      </c>
      <c r="D562">
        <f ca="1">IF(表_网址[[#This Row],[重点关键词]]="",10,MATCH(表_网址[[#This Row],[重点关键词]],序列_重点关键词,0)+10)</f>
        <v>11</v>
      </c>
      <c r="E562">
        <f>IF(AND(表_网址[[#This Row],[首要关键词]]=K561,表_网址[[#This Row],[次要关键词]]=L561,表_网址[[#This Row],[重点关键词]]=M561),E561+1,IF(表_网址[[#This Row],[重点关键词]]="",100,101))</f>
        <v>101</v>
      </c>
      <c r="F562" t="s">
        <v>1554</v>
      </c>
      <c r="G562" t="s">
        <v>1555</v>
      </c>
      <c r="H562" t="s">
        <v>29</v>
      </c>
      <c r="J562" t="s">
        <v>506</v>
      </c>
      <c r="K562" t="s">
        <v>1283</v>
      </c>
      <c r="L562" t="s">
        <v>1528</v>
      </c>
      <c r="M562" t="s">
        <v>1261</v>
      </c>
      <c r="N562">
        <v>999</v>
      </c>
    </row>
    <row r="563" spans="1:17" x14ac:dyDescent="0.2">
      <c r="A563" t="str">
        <f ca="1">表_网址[[#This Row],[1级]]&amp;"-"&amp;表_网址[[#This Row],[2级]]&amp;"-"&amp;表_网址[[#This Row],[3级]]&amp;"-"&amp;表_网址[[#This Row],[级内]]</f>
        <v>9001-13-11-102</v>
      </c>
      <c r="B563">
        <f ca="1">MATCH(表_网址[[#This Row],[版层分类]],序列_版层分类,0)*1000+MATCH(表_网址[[#This Row],[首要关键词]],序列_首要关键词,0)</f>
        <v>9001</v>
      </c>
      <c r="C563">
        <f ca="1">IF(表_网址[[#This Row],[次要关键词]]="",10,MATCH(表_网址[[#This Row],[次要关键词]],序列_次要关键词,0)+10)</f>
        <v>13</v>
      </c>
      <c r="D563">
        <f ca="1">IF(表_网址[[#This Row],[重点关键词]]="",10,MATCH(表_网址[[#This Row],[重点关键词]],序列_重点关键词,0)+10)</f>
        <v>11</v>
      </c>
      <c r="E563">
        <f>IF(AND(表_网址[[#This Row],[首要关键词]]=K562,表_网址[[#This Row],[次要关键词]]=L562,表_网址[[#This Row],[重点关键词]]=M562),E562+1,IF(表_网址[[#This Row],[重点关键词]]="",100,101))</f>
        <v>102</v>
      </c>
      <c r="F563" t="s">
        <v>1556</v>
      </c>
      <c r="G563" t="s">
        <v>1557</v>
      </c>
      <c r="H563" t="s">
        <v>29</v>
      </c>
      <c r="J563" t="s">
        <v>506</v>
      </c>
      <c r="K563" t="s">
        <v>1283</v>
      </c>
      <c r="L563" t="s">
        <v>1528</v>
      </c>
      <c r="M563" t="s">
        <v>1261</v>
      </c>
      <c r="N563">
        <v>999</v>
      </c>
    </row>
    <row r="564" spans="1:17" x14ac:dyDescent="0.2">
      <c r="A564" t="str">
        <f ca="1">表_网址[[#This Row],[1级]]&amp;"-"&amp;表_网址[[#This Row],[2级]]&amp;"-"&amp;表_网址[[#This Row],[3级]]&amp;"-"&amp;表_网址[[#This Row],[级内]]</f>
        <v>9001-13-12-101</v>
      </c>
      <c r="B564">
        <f ca="1">MATCH(表_网址[[#This Row],[版层分类]],序列_版层分类,0)*1000+MATCH(表_网址[[#This Row],[首要关键词]],序列_首要关键词,0)</f>
        <v>9001</v>
      </c>
      <c r="C564">
        <f ca="1">IF(表_网址[[#This Row],[次要关键词]]="",10,MATCH(表_网址[[#This Row],[次要关键词]],序列_次要关键词,0)+10)</f>
        <v>13</v>
      </c>
      <c r="D564">
        <f ca="1">IF(表_网址[[#This Row],[重点关键词]]="",10,MATCH(表_网址[[#This Row],[重点关键词]],序列_重点关键词,0)+10)</f>
        <v>12</v>
      </c>
      <c r="E564">
        <f>IF(AND(表_网址[[#This Row],[首要关键词]]=K563,表_网址[[#This Row],[次要关键词]]=L563,表_网址[[#This Row],[重点关键词]]=M563),E563+1,IF(表_网址[[#This Row],[重点关键词]]="",100,101))</f>
        <v>101</v>
      </c>
      <c r="F564" t="s">
        <v>1548</v>
      </c>
      <c r="G564" t="s">
        <v>1549</v>
      </c>
      <c r="H564" t="s">
        <v>29</v>
      </c>
      <c r="J564" t="s">
        <v>506</v>
      </c>
      <c r="K564" t="s">
        <v>1283</v>
      </c>
      <c r="L564" t="s">
        <v>1528</v>
      </c>
      <c r="M564" t="s">
        <v>1550</v>
      </c>
      <c r="N564">
        <v>999</v>
      </c>
    </row>
    <row r="565" spans="1:17" x14ac:dyDescent="0.2">
      <c r="A565" t="str">
        <f ca="1">表_网址[[#This Row],[1级]]&amp;"-"&amp;表_网址[[#This Row],[2级]]&amp;"-"&amp;表_网址[[#This Row],[3级]]&amp;"-"&amp;表_网址[[#This Row],[级内]]</f>
        <v>9001-13-13-101</v>
      </c>
      <c r="B565">
        <f ca="1">MATCH(表_网址[[#This Row],[版层分类]],序列_版层分类,0)*1000+MATCH(表_网址[[#This Row],[首要关键词]],序列_首要关键词,0)</f>
        <v>9001</v>
      </c>
      <c r="C565">
        <f ca="1">IF(表_网址[[#This Row],[次要关键词]]="",10,MATCH(表_网址[[#This Row],[次要关键词]],序列_次要关键词,0)+10)</f>
        <v>13</v>
      </c>
      <c r="D565">
        <f ca="1">IF(表_网址[[#This Row],[重点关键词]]="",10,MATCH(表_网址[[#This Row],[重点关键词]],序列_重点关键词,0)+10)</f>
        <v>13</v>
      </c>
      <c r="E565">
        <f>IF(AND(表_网址[[#This Row],[首要关键词]]=K564,表_网址[[#This Row],[次要关键词]]=L564,表_网址[[#This Row],[重点关键词]]=M564),E564+1,IF(表_网址[[#This Row],[重点关键词]]="",100,101))</f>
        <v>101</v>
      </c>
      <c r="F565" t="s">
        <v>1551</v>
      </c>
      <c r="G565" t="s">
        <v>1552</v>
      </c>
      <c r="H565" t="s">
        <v>29</v>
      </c>
      <c r="J565" t="s">
        <v>506</v>
      </c>
      <c r="K565" t="s">
        <v>1283</v>
      </c>
      <c r="L565" t="s">
        <v>1528</v>
      </c>
      <c r="M565" t="s">
        <v>1553</v>
      </c>
      <c r="N565">
        <v>999</v>
      </c>
    </row>
    <row r="566" spans="1:17" x14ac:dyDescent="0.2">
      <c r="A566" t="str">
        <f ca="1">表_网址[[#This Row],[1级]]&amp;"-"&amp;表_网址[[#This Row],[2级]]&amp;"-"&amp;表_网址[[#This Row],[3级]]&amp;"-"&amp;表_网址[[#This Row],[级内]]</f>
        <v>9001-14-10-100</v>
      </c>
      <c r="B566">
        <f ca="1">MATCH(表_网址[[#This Row],[版层分类]],序列_版层分类,0)*1000+MATCH(表_网址[[#This Row],[首要关键词]],序列_首要关键词,0)</f>
        <v>9001</v>
      </c>
      <c r="C566">
        <f ca="1">IF(表_网址[[#This Row],[次要关键词]]="",10,MATCH(表_网址[[#This Row],[次要关键词]],序列_次要关键词,0)+10)</f>
        <v>14</v>
      </c>
      <c r="D566">
        <f>IF(表_网址[[#This Row],[重点关键词]]="",10,MATCH(表_网址[[#This Row],[重点关键词]],序列_重点关键词,0)+10)</f>
        <v>10</v>
      </c>
      <c r="E566">
        <f>IF(AND(表_网址[[#This Row],[首要关键词]]=K565,表_网址[[#This Row],[次要关键词]]=L565,表_网址[[#This Row],[重点关键词]]=M565),E565+1,IF(表_网址[[#This Row],[重点关键词]]="",100,101))</f>
        <v>100</v>
      </c>
      <c r="F566" t="s">
        <v>1624</v>
      </c>
      <c r="G566" t="s">
        <v>1625</v>
      </c>
      <c r="J566" t="s">
        <v>506</v>
      </c>
      <c r="K566" t="s">
        <v>1283</v>
      </c>
      <c r="L566" t="s">
        <v>1626</v>
      </c>
      <c r="N566">
        <v>999</v>
      </c>
    </row>
    <row r="567" spans="1:17" x14ac:dyDescent="0.2">
      <c r="A567" t="str">
        <f ca="1">表_网址[[#This Row],[1级]]&amp;"-"&amp;表_网址[[#This Row],[2级]]&amp;"-"&amp;表_网址[[#This Row],[3级]]&amp;"-"&amp;表_网址[[#This Row],[级内]]</f>
        <v>9001-14-11-101</v>
      </c>
      <c r="B567">
        <f ca="1">MATCH(表_网址[[#This Row],[版层分类]],序列_版层分类,0)*1000+MATCH(表_网址[[#This Row],[首要关键词]],序列_首要关键词,0)</f>
        <v>9001</v>
      </c>
      <c r="C567">
        <f ca="1">IF(表_网址[[#This Row],[次要关键词]]="",10,MATCH(表_网址[[#This Row],[次要关键词]],序列_次要关键词,0)+10)</f>
        <v>14</v>
      </c>
      <c r="D567">
        <f ca="1">IF(表_网址[[#This Row],[重点关键词]]="",10,MATCH(表_网址[[#This Row],[重点关键词]],序列_重点关键词,0)+10)</f>
        <v>11</v>
      </c>
      <c r="E567">
        <f>IF(AND(表_网址[[#This Row],[首要关键词]]=K566,表_网址[[#This Row],[次要关键词]]=L566,表_网址[[#This Row],[重点关键词]]=M566),E566+1,IF(表_网址[[#This Row],[重点关键词]]="",100,101))</f>
        <v>101</v>
      </c>
      <c r="F567" t="s">
        <v>1627</v>
      </c>
      <c r="G567" t="s">
        <v>1628</v>
      </c>
      <c r="H567" t="s">
        <v>1629</v>
      </c>
      <c r="I567" t="s">
        <v>1630</v>
      </c>
      <c r="J567" t="s">
        <v>506</v>
      </c>
      <c r="K567" t="s">
        <v>1283</v>
      </c>
      <c r="L567" t="s">
        <v>1626</v>
      </c>
      <c r="M567" t="s">
        <v>1631</v>
      </c>
      <c r="N567">
        <v>999</v>
      </c>
      <c r="O567">
        <v>999</v>
      </c>
      <c r="Q567">
        <v>256</v>
      </c>
    </row>
    <row r="568" spans="1:17" x14ac:dyDescent="0.2">
      <c r="A568" t="str">
        <f ca="1">表_网址[[#This Row],[1级]]&amp;"-"&amp;表_网址[[#This Row],[2级]]&amp;"-"&amp;表_网址[[#This Row],[3级]]&amp;"-"&amp;表_网址[[#This Row],[级内]]</f>
        <v>9001-14-12-101</v>
      </c>
      <c r="B568">
        <f ca="1">MATCH(表_网址[[#This Row],[版层分类]],序列_版层分类,0)*1000+MATCH(表_网址[[#This Row],[首要关键词]],序列_首要关键词,0)</f>
        <v>9001</v>
      </c>
      <c r="C568">
        <f ca="1">IF(表_网址[[#This Row],[次要关键词]]="",10,MATCH(表_网址[[#This Row],[次要关键词]],序列_次要关键词,0)+10)</f>
        <v>14</v>
      </c>
      <c r="D568">
        <f ca="1">IF(表_网址[[#This Row],[重点关键词]]="",10,MATCH(表_网址[[#This Row],[重点关键词]],序列_重点关键词,0)+10)</f>
        <v>12</v>
      </c>
      <c r="E568">
        <f>IF(AND(表_网址[[#This Row],[首要关键词]]=K567,表_网址[[#This Row],[次要关键词]]=L567,表_网址[[#This Row],[重点关键词]]=M567),E567+1,IF(表_网址[[#This Row],[重点关键词]]="",100,101))</f>
        <v>101</v>
      </c>
      <c r="F568" t="s">
        <v>1632</v>
      </c>
      <c r="G568" t="s">
        <v>1633</v>
      </c>
      <c r="H568" t="s">
        <v>1634</v>
      </c>
      <c r="I568" t="s">
        <v>1635</v>
      </c>
      <c r="J568" t="s">
        <v>506</v>
      </c>
      <c r="K568" t="s">
        <v>1283</v>
      </c>
      <c r="L568" t="s">
        <v>1626</v>
      </c>
      <c r="M568" t="s">
        <v>1170</v>
      </c>
      <c r="N568">
        <v>999</v>
      </c>
      <c r="O568">
        <v>999</v>
      </c>
      <c r="Q568">
        <v>32</v>
      </c>
    </row>
    <row r="569" spans="1:17" x14ac:dyDescent="0.2">
      <c r="A569" t="str">
        <f ca="1">表_网址[[#This Row],[1级]]&amp;"-"&amp;表_网址[[#This Row],[2级]]&amp;"-"&amp;表_网址[[#This Row],[3级]]&amp;"-"&amp;表_网址[[#This Row],[级内]]</f>
        <v>9001-14-13-101</v>
      </c>
      <c r="B569">
        <f ca="1">MATCH(表_网址[[#This Row],[版层分类]],序列_版层分类,0)*1000+MATCH(表_网址[[#This Row],[首要关键词]],序列_首要关键词,0)</f>
        <v>9001</v>
      </c>
      <c r="C569">
        <f ca="1">IF(表_网址[[#This Row],[次要关键词]]="",10,MATCH(表_网址[[#This Row],[次要关键词]],序列_次要关键词,0)+10)</f>
        <v>14</v>
      </c>
      <c r="D569">
        <f ca="1">IF(表_网址[[#This Row],[重点关键词]]="",10,MATCH(表_网址[[#This Row],[重点关键词]],序列_重点关键词,0)+10)</f>
        <v>13</v>
      </c>
      <c r="E569">
        <f>IF(AND(表_网址[[#This Row],[首要关键词]]=K568,表_网址[[#This Row],[次要关键词]]=L568,表_网址[[#This Row],[重点关键词]]=M568),E568+1,IF(表_网址[[#This Row],[重点关键词]]="",100,101))</f>
        <v>101</v>
      </c>
      <c r="F569" t="s">
        <v>1636</v>
      </c>
      <c r="G569" t="s">
        <v>1637</v>
      </c>
      <c r="H569" t="s">
        <v>1638</v>
      </c>
      <c r="I569" t="s">
        <v>1639</v>
      </c>
      <c r="J569" t="s">
        <v>506</v>
      </c>
      <c r="K569" t="s">
        <v>1283</v>
      </c>
      <c r="L569" t="s">
        <v>1626</v>
      </c>
      <c r="M569" t="s">
        <v>1640</v>
      </c>
      <c r="N569">
        <v>999</v>
      </c>
    </row>
  </sheetData>
  <phoneticPr fontId="1" type="noConversion"/>
  <dataValidations count="6">
    <dataValidation type="list" allowBlank="1" showInputMessage="1" showErrorMessage="1" sqref="J1:J1048576" xr:uid="{10AAD1AA-45FC-4660-85CE-EC0875578248}">
      <formula1>序列_版层分类</formula1>
    </dataValidation>
    <dataValidation type="list" allowBlank="1" showInputMessage="1" showErrorMessage="1" sqref="K1:K1048576" xr:uid="{1DA52781-0F9B-4669-8583-FB0DAA8A7D49}">
      <formula1>序列_首要关键词</formula1>
    </dataValidation>
    <dataValidation type="list" allowBlank="1" showInputMessage="1" showErrorMessage="1" sqref="L1:L1048576" xr:uid="{17AD9FAD-B5CB-40D8-94C5-85FB5844E72B}">
      <formula1>序列_次要关键词</formula1>
    </dataValidation>
    <dataValidation type="list" allowBlank="1" showInputMessage="1" showErrorMessage="1" sqref="M1:M1048576" xr:uid="{C9146DFA-AF69-4593-BF9E-73288FDDE655}">
      <formula1>序列_重点关键词</formula1>
    </dataValidation>
    <dataValidation type="custom" allowBlank="1" showInputMessage="1" showErrorMessage="1" sqref="A1:A1048536" xr:uid="{DBCFD534-3D8B-4624-9E47-CE5DC4EF917F}">
      <formula1>COUNTIF(A:A,A2)=1</formula1>
    </dataValidation>
    <dataValidation type="custom" allowBlank="1" showInputMessage="1" showErrorMessage="1" sqref="A1048537:A1048576" xr:uid="{479F7C75-2862-4B95-95C2-6CAA740090AA}">
      <formula1>COUNTIF(A:A,A1)=1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320E-D4AD-4814-8FEB-A66BA5A9DA7C}">
  <sheetPr codeName="Sheet2"/>
  <dimension ref="A1:M38"/>
  <sheetViews>
    <sheetView topLeftCell="A4" workbookViewId="0">
      <selection sqref="A1:XFD38"/>
    </sheetView>
  </sheetViews>
  <sheetFormatPr defaultRowHeight="14.25" x14ac:dyDescent="0.2"/>
  <sheetData>
    <row r="1" spans="1:13" x14ac:dyDescent="0.2">
      <c r="A1" t="e">
        <f>表_网址[[#This Row],[1级]]&amp;"-"&amp;表_网址[[#This Row],[2级]]&amp;"-"&amp;表_网址[[#This Row],[3级]]&amp;"-"&amp;表_网址[[#This Row],[级内]]</f>
        <v>#VALUE!</v>
      </c>
      <c r="B1" s="2" t="e">
        <f ca="1">MATCH(表_网址[[#This Row],[版层分类]],序列_版层分类,0)*1000+MATCH(表_网址[[#This Row],[首要关键词]],序列_首要关键词,0)</f>
        <v>#VALUE!</v>
      </c>
      <c r="C1" s="2" t="e">
        <f>IF(表_网址[[#This Row],[次要关键词]]="",10,MATCH(表_网址[[#This Row],[次要关键词]],序列_次要关键词,0)+10)</f>
        <v>#VALUE!</v>
      </c>
      <c r="D1" t="e">
        <f>IF(表_网址[[#This Row],[重点关键词]]="",10,MATCH(表_网址[[#This Row],[重点关键词]],序列_重点关键词,0)+10)</f>
        <v>#VALUE!</v>
      </c>
      <c r="E1" s="2" t="e">
        <f>IF(AND(表_网址[[#This Row],[首要关键词]]=#REF!,表_网址[[#This Row],[次要关键词]]=#REF!,表_网址[[#This Row],[重点关键词]]=#REF!),#REF!+1,IF(表_网址[[#This Row],[重点关键词]]="",100,101))</f>
        <v>#VALUE!</v>
      </c>
      <c r="J1" t="s">
        <v>23</v>
      </c>
      <c r="K1" t="s">
        <v>1690</v>
      </c>
      <c r="L1" t="s">
        <v>283</v>
      </c>
    </row>
    <row r="2" spans="1:13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J2" t="s">
        <v>23</v>
      </c>
      <c r="K2" t="s">
        <v>1690</v>
      </c>
      <c r="L2" t="s">
        <v>287</v>
      </c>
    </row>
    <row r="3" spans="1:13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J3" t="s">
        <v>23</v>
      </c>
      <c r="K3" t="s">
        <v>1690</v>
      </c>
      <c r="L3" t="s">
        <v>291</v>
      </c>
    </row>
    <row r="4" spans="1:13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100</v>
      </c>
      <c r="J4" t="s">
        <v>23</v>
      </c>
      <c r="K4" t="s">
        <v>1690</v>
      </c>
      <c r="L4" t="s">
        <v>295</v>
      </c>
    </row>
    <row r="5" spans="1:13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J5" t="s">
        <v>23</v>
      </c>
      <c r="K5" t="s">
        <v>1690</v>
      </c>
      <c r="L5" t="s">
        <v>299</v>
      </c>
    </row>
    <row r="6" spans="1:13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J6" t="s">
        <v>23</v>
      </c>
      <c r="K6" t="s">
        <v>1690</v>
      </c>
      <c r="L6" t="s">
        <v>303</v>
      </c>
    </row>
    <row r="7" spans="1:13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J7" t="s">
        <v>23</v>
      </c>
      <c r="K7" t="s">
        <v>1690</v>
      </c>
      <c r="L7" t="s">
        <v>307</v>
      </c>
    </row>
    <row r="8" spans="1:13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1736</v>
      </c>
      <c r="G8" s="8" t="s">
        <v>1714</v>
      </c>
      <c r="J8" t="s">
        <v>23</v>
      </c>
      <c r="K8" t="s">
        <v>1690</v>
      </c>
      <c r="L8" t="s">
        <v>311</v>
      </c>
    </row>
    <row r="9" spans="1:13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1737</v>
      </c>
      <c r="G9" s="8" t="s">
        <v>1729</v>
      </c>
      <c r="J9" t="s">
        <v>23</v>
      </c>
      <c r="K9" t="s">
        <v>1690</v>
      </c>
      <c r="L9" t="s">
        <v>311</v>
      </c>
      <c r="M9" t="s">
        <v>1715</v>
      </c>
    </row>
    <row r="10" spans="1:13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1738</v>
      </c>
      <c r="G10" s="8" t="s">
        <v>1730</v>
      </c>
      <c r="J10" t="s">
        <v>23</v>
      </c>
      <c r="K10" t="s">
        <v>1690</v>
      </c>
      <c r="L10" t="s">
        <v>311</v>
      </c>
      <c r="M10" t="s">
        <v>1717</v>
      </c>
    </row>
    <row r="11" spans="1:13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1739</v>
      </c>
      <c r="G11" s="8" t="s">
        <v>1731</v>
      </c>
      <c r="J11" t="s">
        <v>23</v>
      </c>
      <c r="K11" t="s">
        <v>1690</v>
      </c>
      <c r="L11" t="s">
        <v>311</v>
      </c>
      <c r="M11" t="s">
        <v>1718</v>
      </c>
    </row>
    <row r="12" spans="1:13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Row],[首要关键词]]=K8,表_网址[[#This Row],[次要关键词]]=L8,表_网址[[#This Row],[重点关键词]]=M8),E8+1,IF(表_网址[[#This Row],[重点关键词]]="",100,101))</f>
        <v>100</v>
      </c>
      <c r="F12" t="s">
        <v>1740</v>
      </c>
      <c r="G12" s="8" t="s">
        <v>1732</v>
      </c>
      <c r="J12" t="s">
        <v>23</v>
      </c>
      <c r="K12" t="s">
        <v>1690</v>
      </c>
      <c r="L12" t="s">
        <v>311</v>
      </c>
      <c r="M12" t="s">
        <v>1720</v>
      </c>
    </row>
    <row r="13" spans="1:13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Row],[首要关键词]]=K8,表_网址[[#This Row],[次要关键词]]=L8,表_网址[[#This Row],[重点关键词]]=M8),E8+1,IF(表_网址[[#This Row],[重点关键词]]="",100,101))</f>
        <v>100</v>
      </c>
      <c r="F13" t="s">
        <v>1741</v>
      </c>
      <c r="G13" s="8" t="s">
        <v>1733</v>
      </c>
      <c r="J13" t="s">
        <v>23</v>
      </c>
      <c r="K13" t="s">
        <v>1690</v>
      </c>
      <c r="L13" t="s">
        <v>311</v>
      </c>
      <c r="M13" t="s">
        <v>1722</v>
      </c>
    </row>
    <row r="14" spans="1:13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Row],[首要关键词]]=K8,表_网址[[#This Row],[次要关键词]]=L8,表_网址[[#This Row],[重点关键词]]=M8),E8+1,IF(表_网址[[#This Row],[重点关键词]]="",100,101))</f>
        <v>100</v>
      </c>
      <c r="F14" t="s">
        <v>1742</v>
      </c>
      <c r="G14" s="8" t="s">
        <v>1734</v>
      </c>
      <c r="J14" t="s">
        <v>23</v>
      </c>
      <c r="K14" t="s">
        <v>1690</v>
      </c>
      <c r="L14" t="s">
        <v>311</v>
      </c>
      <c r="M14" t="s">
        <v>1724</v>
      </c>
    </row>
    <row r="15" spans="1:13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Row],[首要关键词]]=K8,表_网址[[#This Row],[次要关键词]]=L8,表_网址[[#This Row],[重点关键词]]=M8),E8+1,IF(表_网址[[#This Row],[重点关键词]]="",100,101))</f>
        <v>100</v>
      </c>
      <c r="F15" t="s">
        <v>1743</v>
      </c>
      <c r="G15" s="8" t="s">
        <v>1735</v>
      </c>
      <c r="J15" t="s">
        <v>23</v>
      </c>
      <c r="K15" t="s">
        <v>1690</v>
      </c>
      <c r="L15" t="s">
        <v>311</v>
      </c>
      <c r="M15" t="s">
        <v>1726</v>
      </c>
    </row>
    <row r="16" spans="1:13" x14ac:dyDescent="0.2">
      <c r="A16" t="str">
        <f ca="1">表_网址[[#This Row],[1级]]&amp;"-"&amp;表_网址[[#This Row],[2级]]&amp;"-"&amp;表_网址[[#This Row],[3级]]&amp;"-"&amp;表_网址[[#This Row],[级内]]</f>
        <v>1002-14-10-100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14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Row],[首要关键词]]=K8,表_网址[[#This Row],[次要关键词]]=L8,表_网址[[#This Row],[重点关键词]]=M8),E8+1,IF(表_网址[[#This Row],[重点关键词]]="",100,101))</f>
        <v>100</v>
      </c>
      <c r="J16" t="s">
        <v>23</v>
      </c>
      <c r="K16" t="s">
        <v>1690</v>
      </c>
      <c r="L16" t="s">
        <v>315</v>
      </c>
    </row>
    <row r="17" spans="1:12" x14ac:dyDescent="0.2">
      <c r="A17" t="str">
        <f ca="1">表_网址[[#This Row],[1级]]&amp;"-"&amp;表_网址[[#This Row],[2级]]&amp;"-"&amp;表_网址[[#This Row],[3级]]&amp;"-"&amp;表_网址[[#This Row],[级内]]</f>
        <v>1002-14-10-101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14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100</v>
      </c>
      <c r="J17" t="s">
        <v>23</v>
      </c>
      <c r="K17" t="s">
        <v>1690</v>
      </c>
      <c r="L17" t="s">
        <v>319</v>
      </c>
    </row>
    <row r="18" spans="1:12" x14ac:dyDescent="0.2">
      <c r="A18" t="str">
        <f ca="1">表_网址[[#This Row],[1级]]&amp;"-"&amp;表_网址[[#This Row],[2级]]&amp;"-"&amp;表_网址[[#This Row],[3级]]&amp;"-"&amp;表_网址[[#This Row],[级内]]</f>
        <v>1002-15-10-100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100</v>
      </c>
      <c r="J18" t="s">
        <v>23</v>
      </c>
      <c r="K18" t="s">
        <v>1690</v>
      </c>
      <c r="L18" t="s">
        <v>323</v>
      </c>
    </row>
    <row r="19" spans="1:12" x14ac:dyDescent="0.2">
      <c r="A19" t="str">
        <f ca="1">表_网址[[#This Row],[1级]]&amp;"-"&amp;表_网址[[#This Row],[2级]]&amp;"-"&amp;表_网址[[#This Row],[3级]]&amp;"-"&amp;表_网址[[#This Row],[级内]]</f>
        <v>1002-15-10-101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100</v>
      </c>
      <c r="J19" t="s">
        <v>23</v>
      </c>
      <c r="K19" t="s">
        <v>1690</v>
      </c>
      <c r="L19" t="s">
        <v>327</v>
      </c>
    </row>
    <row r="20" spans="1:12" x14ac:dyDescent="0.2">
      <c r="A20" t="str">
        <f ca="1">表_网址[[#This Row],[1级]]&amp;"-"&amp;表_网址[[#This Row],[2级]]&amp;"-"&amp;表_网址[[#This Row],[3级]]&amp;"-"&amp;表_网址[[#This Row],[级内]]</f>
        <v>1002-15-10-102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100</v>
      </c>
      <c r="J20" t="s">
        <v>23</v>
      </c>
      <c r="K20" t="s">
        <v>1690</v>
      </c>
      <c r="L20" t="s">
        <v>331</v>
      </c>
    </row>
    <row r="21" spans="1:12" x14ac:dyDescent="0.2">
      <c r="A21" t="str">
        <f ca="1">表_网址[[#This Row],[1级]]&amp;"-"&amp;表_网址[[#This Row],[2级]]&amp;"-"&amp;表_网址[[#This Row],[3级]]&amp;"-"&amp;表_网址[[#This Row],[级内]]</f>
        <v>1002-16-10-100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16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J21" t="s">
        <v>23</v>
      </c>
      <c r="K21" t="s">
        <v>1690</v>
      </c>
      <c r="L21" t="s">
        <v>418</v>
      </c>
    </row>
    <row r="22" spans="1:12" x14ac:dyDescent="0.2">
      <c r="A22" t="str">
        <f ca="1">表_网址[[#This Row],[1级]]&amp;"-"&amp;表_网址[[#This Row],[2级]]&amp;"-"&amp;表_网址[[#This Row],[3级]]&amp;"-"&amp;表_网址[[#This Row],[级内]]</f>
        <v>1002-16-10-101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16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100</v>
      </c>
      <c r="J22" t="s">
        <v>23</v>
      </c>
      <c r="K22" t="s">
        <v>1690</v>
      </c>
      <c r="L22" t="s">
        <v>422</v>
      </c>
    </row>
    <row r="23" spans="1:12" x14ac:dyDescent="0.2">
      <c r="A23" t="str">
        <f ca="1">表_网址[[#This Row],[1级]]&amp;"-"&amp;表_网址[[#This Row],[2级]]&amp;"-"&amp;表_网址[[#This Row],[3级]]&amp;"-"&amp;表_网址[[#This Row],[级内]]</f>
        <v>1002-16-10-102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16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J23" t="s">
        <v>23</v>
      </c>
      <c r="K23" t="s">
        <v>1690</v>
      </c>
      <c r="L23" t="s">
        <v>426</v>
      </c>
    </row>
    <row r="24" spans="1:12" x14ac:dyDescent="0.2">
      <c r="A24" t="str">
        <f ca="1">表_网址[[#This Row],[1级]]&amp;"-"&amp;表_网址[[#This Row],[2级]]&amp;"-"&amp;表_网址[[#This Row],[3级]]&amp;"-"&amp;表_网址[[#This Row],[级内]]</f>
        <v>1002-16-10-103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J24" t="s">
        <v>23</v>
      </c>
      <c r="K24" t="s">
        <v>1690</v>
      </c>
      <c r="L24" t="s">
        <v>430</v>
      </c>
    </row>
    <row r="25" spans="1:12" x14ac:dyDescent="0.2">
      <c r="A25" t="str">
        <f ca="1">表_网址[[#This Row],[1级]]&amp;"-"&amp;表_网址[[#This Row],[2级]]&amp;"-"&amp;表_网址[[#This Row],[3级]]&amp;"-"&amp;表_网址[[#This Row],[级内]]</f>
        <v>1002-16-10-104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100</v>
      </c>
      <c r="J25" t="s">
        <v>23</v>
      </c>
      <c r="K25" t="s">
        <v>1690</v>
      </c>
      <c r="L25" t="s">
        <v>434</v>
      </c>
    </row>
    <row r="26" spans="1:12" x14ac:dyDescent="0.2">
      <c r="A26" t="str">
        <f ca="1">表_网址[[#This Row],[1级]]&amp;"-"&amp;表_网址[[#This Row],[2级]]&amp;"-"&amp;表_网址[[#This Row],[3级]]&amp;"-"&amp;表_网址[[#This Row],[级内]]</f>
        <v>1002-16-10-105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100</v>
      </c>
      <c r="J26" t="s">
        <v>23</v>
      </c>
      <c r="K26" t="s">
        <v>1690</v>
      </c>
      <c r="L26" t="s">
        <v>442</v>
      </c>
    </row>
    <row r="27" spans="1:12" x14ac:dyDescent="0.2">
      <c r="A27" t="str">
        <f ca="1">表_网址[[#This Row],[1级]]&amp;"-"&amp;表_网址[[#This Row],[2级]]&amp;"-"&amp;表_网址[[#This Row],[3级]]&amp;"-"&amp;表_网址[[#This Row],[级内]]</f>
        <v>1002-16-10-106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16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J27" t="s">
        <v>23</v>
      </c>
      <c r="K27" t="s">
        <v>1690</v>
      </c>
      <c r="L27" t="s">
        <v>450</v>
      </c>
    </row>
    <row r="28" spans="1:12" x14ac:dyDescent="0.2">
      <c r="A28" t="str">
        <f ca="1">表_网址[[#This Row],[1级]]&amp;"-"&amp;表_网址[[#This Row],[2级]]&amp;"-"&amp;表_网址[[#This Row],[3级]]&amp;"-"&amp;表_网址[[#This Row],[级内]]</f>
        <v>1002-16-10-107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16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100</v>
      </c>
      <c r="J28" t="s">
        <v>23</v>
      </c>
      <c r="K28" t="s">
        <v>1690</v>
      </c>
      <c r="L28" t="s">
        <v>454</v>
      </c>
    </row>
    <row r="29" spans="1:12" x14ac:dyDescent="0.2">
      <c r="A29" t="str">
        <f ca="1">表_网址[[#This Row],[1级]]&amp;"-"&amp;表_网址[[#This Row],[2级]]&amp;"-"&amp;表_网址[[#This Row],[3级]]&amp;"-"&amp;表_网址[[#This Row],[级内]]</f>
        <v>1002-16-10-108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16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100</v>
      </c>
      <c r="J29" t="s">
        <v>23</v>
      </c>
      <c r="K29" t="s">
        <v>1690</v>
      </c>
      <c r="L29" t="s">
        <v>458</v>
      </c>
    </row>
    <row r="30" spans="1:12" x14ac:dyDescent="0.2">
      <c r="A30" t="str">
        <f ca="1">表_网址[[#This Row],[1级]]&amp;"-"&amp;表_网址[[#This Row],[2级]]&amp;"-"&amp;表_网址[[#This Row],[3级]]&amp;"-"&amp;表_网址[[#This Row],[级内]]</f>
        <v>1002-16-10-109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16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100</v>
      </c>
      <c r="J30" t="s">
        <v>23</v>
      </c>
      <c r="K30" t="s">
        <v>1690</v>
      </c>
      <c r="L30" t="s">
        <v>462</v>
      </c>
    </row>
    <row r="31" spans="1:12" x14ac:dyDescent="0.2">
      <c r="A31" t="str">
        <f ca="1">表_网址[[#This Row],[1级]]&amp;"-"&amp;表_网址[[#This Row],[2级]]&amp;"-"&amp;表_网址[[#This Row],[3级]]&amp;"-"&amp;表_网址[[#This Row],[级内]]</f>
        <v>1002-16-10-110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16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J31" t="s">
        <v>23</v>
      </c>
      <c r="K31" t="s">
        <v>1690</v>
      </c>
      <c r="L31" t="s">
        <v>466</v>
      </c>
    </row>
    <row r="32" spans="1:12" x14ac:dyDescent="0.2">
      <c r="A32" t="str">
        <f ca="1">表_网址[[#This Row],[1级]]&amp;"-"&amp;表_网址[[#This Row],[2级]]&amp;"-"&amp;表_网址[[#This Row],[3级]]&amp;"-"&amp;表_网址[[#This Row],[级内]]</f>
        <v>1002-16-10-111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16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100</v>
      </c>
      <c r="J32" t="s">
        <v>23</v>
      </c>
      <c r="K32" t="s">
        <v>1690</v>
      </c>
      <c r="L32" t="s">
        <v>470</v>
      </c>
    </row>
    <row r="33" spans="1:12" x14ac:dyDescent="0.2">
      <c r="A33" t="str">
        <f ca="1">表_网址[[#This Row],[1级]]&amp;"-"&amp;表_网址[[#This Row],[2级]]&amp;"-"&amp;表_网址[[#This Row],[3级]]&amp;"-"&amp;表_网址[[#This Row],[级内]]</f>
        <v>1002-16-10-112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16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100</v>
      </c>
      <c r="J33" t="s">
        <v>23</v>
      </c>
      <c r="K33" t="s">
        <v>1690</v>
      </c>
      <c r="L33" t="s">
        <v>474</v>
      </c>
    </row>
    <row r="34" spans="1:12" x14ac:dyDescent="0.2">
      <c r="A34" t="str">
        <f ca="1">表_网址[[#This Row],[1级]]&amp;"-"&amp;表_网址[[#This Row],[2级]]&amp;"-"&amp;表_网址[[#This Row],[3级]]&amp;"-"&amp;表_网址[[#This Row],[级内]]</f>
        <v>1002-16-10-113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16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100</v>
      </c>
      <c r="J34" t="s">
        <v>23</v>
      </c>
      <c r="K34" t="s">
        <v>1690</v>
      </c>
      <c r="L34" t="s">
        <v>478</v>
      </c>
    </row>
    <row r="35" spans="1:12" x14ac:dyDescent="0.2">
      <c r="A35" t="str">
        <f ca="1">表_网址[[#This Row],[1级]]&amp;"-"&amp;表_网址[[#This Row],[2级]]&amp;"-"&amp;表_网址[[#This Row],[3级]]&amp;"-"&amp;表_网址[[#This Row],[级内]]</f>
        <v>1002-16-10-114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16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100</v>
      </c>
      <c r="J35" t="s">
        <v>23</v>
      </c>
      <c r="K35" t="s">
        <v>1690</v>
      </c>
      <c r="L35" t="s">
        <v>482</v>
      </c>
    </row>
    <row r="36" spans="1:12" x14ac:dyDescent="0.2">
      <c r="A36" t="str">
        <f ca="1">表_网址[[#This Row],[1级]]&amp;"-"&amp;表_网址[[#This Row],[2级]]&amp;"-"&amp;表_网址[[#This Row],[3级]]&amp;"-"&amp;表_网址[[#This Row],[级内]]</f>
        <v>1002-16-10-115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16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J36" t="s">
        <v>23</v>
      </c>
      <c r="K36" t="s">
        <v>1690</v>
      </c>
      <c r="L36" t="s">
        <v>486</v>
      </c>
    </row>
    <row r="37" spans="1:12" x14ac:dyDescent="0.2">
      <c r="A37" t="str">
        <f ca="1">表_网址[[#This Row],[1级]]&amp;"-"&amp;表_网址[[#This Row],[2级]]&amp;"-"&amp;表_网址[[#This Row],[3级]]&amp;"-"&amp;表_网址[[#This Row],[级内]]</f>
        <v>1002-16-10-116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16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J37" t="s">
        <v>23</v>
      </c>
      <c r="K37" t="s">
        <v>1690</v>
      </c>
      <c r="L37" t="s">
        <v>490</v>
      </c>
    </row>
    <row r="38" spans="1:12" x14ac:dyDescent="0.2">
      <c r="A38" t="str">
        <f ca="1">表_网址[[#This Row],[1级]]&amp;"-"&amp;表_网址[[#This Row],[2级]]&amp;"-"&amp;表_网址[[#This Row],[3级]]&amp;"-"&amp;表_网址[[#This Row],[级内]]</f>
        <v>1002-16-10-117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16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100</v>
      </c>
      <c r="J38" t="s">
        <v>23</v>
      </c>
      <c r="K38" t="s">
        <v>1690</v>
      </c>
      <c r="L38" t="s">
        <v>494</v>
      </c>
    </row>
  </sheetData>
  <phoneticPr fontId="1" type="noConversion"/>
  <dataValidations count="10">
    <dataValidation type="custom" allowBlank="1" showInputMessage="1" showErrorMessage="1" sqref="A15" xr:uid="{F0A035D1-EB22-42BA-B718-64BBDE238E41}">
      <formula1>COUNTIF(A:A,A17)=1</formula1>
    </dataValidation>
    <dataValidation type="custom" allowBlank="1" showInputMessage="1" showErrorMessage="1" sqref="A14" xr:uid="{86B587C1-FD1F-421D-A1AE-2DAD8246CAC9}">
      <formula1>COUNTIF(A:A,A17)=1</formula1>
    </dataValidation>
    <dataValidation type="custom" allowBlank="1" showInputMessage="1" showErrorMessage="1" sqref="A13" xr:uid="{96EE8400-79C3-4D9B-B4CE-6772CD389E56}">
      <formula1>COUNTIF(A:A,A17)=1</formula1>
    </dataValidation>
    <dataValidation type="custom" allowBlank="1" showInputMessage="1" showErrorMessage="1" sqref="A12" xr:uid="{502C5477-FE6C-4F4B-996C-BF651D45F49E}">
      <formula1>COUNTIF(A:A,A17)=1</formula1>
    </dataValidation>
    <dataValidation type="custom" allowBlank="1" showInputMessage="1" showErrorMessage="1" sqref="A8:A11" xr:uid="{913E0ED7-3DBC-470C-8E4D-73BC8AAD4BD0}">
      <formula1>COUNTIF(A:A,A16)=1</formula1>
    </dataValidation>
    <dataValidation type="custom" allowBlank="1" showInputMessage="1" showErrorMessage="1" sqref="A1:A7 A16:A38" xr:uid="{C3853533-5207-4350-836C-B28D9CEAA16B}">
      <formula1>COUNTIF(A:A,A2)=1</formula1>
    </dataValidation>
    <dataValidation type="list" allowBlank="1" showInputMessage="1" showErrorMessage="1" sqref="M1:M38" xr:uid="{46A98F68-E813-4D29-9783-CF43AADC829B}">
      <formula1>序列_重点关键词</formula1>
    </dataValidation>
    <dataValidation type="list" allowBlank="1" showInputMessage="1" showErrorMessage="1" sqref="L1:L38" xr:uid="{19750A61-A437-4252-8213-67F5B208F4AC}">
      <formula1>序列_次要关键词</formula1>
    </dataValidation>
    <dataValidation type="list" allowBlank="1" showInputMessage="1" showErrorMessage="1" sqref="K1:K38" xr:uid="{150D5521-186F-409D-8C89-E6FB39B2D558}">
      <formula1>序列_首要关键词</formula1>
    </dataValidation>
    <dataValidation type="list" allowBlank="1" showInputMessage="1" showErrorMessage="1" sqref="J1:J38" xr:uid="{74D72E2B-0CCC-405E-BDC4-011F51973F6A}">
      <formula1>序列_版层分类</formula1>
    </dataValidation>
  </dataValidations>
  <hyperlinks>
    <hyperlink ref="G8" r:id="rId1" xr:uid="{8F4DD4E2-5AF7-4E82-B44C-C938F2C6AEFA}"/>
    <hyperlink ref="G10" r:id="rId2" xr:uid="{275427CD-851F-460C-A722-64BD57CB2FB1}"/>
    <hyperlink ref="G11" r:id="rId3" xr:uid="{B3DC367A-0A13-47F8-BD59-C8C7CE5C6325}"/>
    <hyperlink ref="G12" r:id="rId4" xr:uid="{FEE1F977-451F-4B51-81FC-99EA55D70158}"/>
    <hyperlink ref="G13" r:id="rId5" xr:uid="{FC752377-D231-4751-9C49-F5194FFA4EDC}"/>
    <hyperlink ref="G14" r:id="rId6" xr:uid="{A6A844D0-44B3-445C-A5FC-BA216F4CA8F9}"/>
    <hyperlink ref="G15" r:id="rId7" xr:uid="{D2B1DA7F-715A-489B-A1A3-3B5A238CCE2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/>
  <dimension ref="A1:AB10"/>
  <sheetViews>
    <sheetView workbookViewId="0">
      <selection activeCell="H4" sqref="H4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7" width="7.125" bestFit="1" customWidth="1"/>
    <col min="9" max="10" width="6.375" bestFit="1" customWidth="1"/>
    <col min="12" max="12" width="6.375" bestFit="1" customWidth="1"/>
    <col min="13" max="14" width="7.375" bestFit="1" customWidth="1"/>
    <col min="15" max="16" width="11" bestFit="1" customWidth="1"/>
    <col min="17" max="28" width="7.375" bestFit="1" customWidth="1"/>
  </cols>
  <sheetData>
    <row r="1" spans="1:28" x14ac:dyDescent="0.2">
      <c r="A1" t="s">
        <v>0</v>
      </c>
      <c r="B1" t="s">
        <v>1694</v>
      </c>
      <c r="C1" t="s">
        <v>1695</v>
      </c>
      <c r="D1" t="s">
        <v>1665</v>
      </c>
      <c r="E1" t="s">
        <v>1666</v>
      </c>
      <c r="F1" t="s">
        <v>1667</v>
      </c>
      <c r="G1" t="s">
        <v>1668</v>
      </c>
      <c r="H1" t="s">
        <v>1669</v>
      </c>
      <c r="I1" t="s">
        <v>1670</v>
      </c>
      <c r="J1" t="s">
        <v>1671</v>
      </c>
      <c r="K1" t="s">
        <v>1672</v>
      </c>
      <c r="L1" t="s">
        <v>1673</v>
      </c>
      <c r="M1" t="s">
        <v>1674</v>
      </c>
      <c r="N1" t="s">
        <v>1675</v>
      </c>
      <c r="O1" t="s">
        <v>1676</v>
      </c>
      <c r="P1" t="s">
        <v>1677</v>
      </c>
      <c r="Q1" t="s">
        <v>1678</v>
      </c>
      <c r="R1" t="s">
        <v>1679</v>
      </c>
      <c r="S1" t="s">
        <v>1680</v>
      </c>
      <c r="T1" t="s">
        <v>1681</v>
      </c>
      <c r="U1" t="s">
        <v>1682</v>
      </c>
      <c r="V1" t="s">
        <v>1683</v>
      </c>
      <c r="W1" t="s">
        <v>1684</v>
      </c>
      <c r="X1" t="s">
        <v>1685</v>
      </c>
      <c r="Y1" t="s">
        <v>1686</v>
      </c>
      <c r="Z1" t="s">
        <v>1687</v>
      </c>
      <c r="AA1" t="s">
        <v>1688</v>
      </c>
      <c r="AB1" t="s">
        <v>1689</v>
      </c>
    </row>
    <row r="2" spans="1:28" x14ac:dyDescent="0.2">
      <c r="A2">
        <v>1</v>
      </c>
      <c r="B2" s="2">
        <f>COUNTIF(表_版层分类[[#This Row],[列1]:[列25]],"&lt;&gt;")</f>
        <v>3</v>
      </c>
      <c r="C2" t="s">
        <v>1712</v>
      </c>
      <c r="D2" t="s">
        <v>546</v>
      </c>
      <c r="E2" t="s">
        <v>577</v>
      </c>
      <c r="F2" t="s">
        <v>598</v>
      </c>
    </row>
    <row r="3" spans="1:28" x14ac:dyDescent="0.2">
      <c r="A3">
        <v>2</v>
      </c>
      <c r="B3" s="2">
        <f>COUNTIF(表_版层分类[[#This Row],[列1]:[列25]],"&lt;&gt;")</f>
        <v>5</v>
      </c>
      <c r="C3" t="s">
        <v>1745</v>
      </c>
      <c r="D3" t="s">
        <v>1773</v>
      </c>
      <c r="E3" t="s">
        <v>608</v>
      </c>
      <c r="F3" t="s">
        <v>618</v>
      </c>
      <c r="G3" t="s">
        <v>649</v>
      </c>
      <c r="H3" t="s">
        <v>1767</v>
      </c>
    </row>
    <row r="4" spans="1:28" x14ac:dyDescent="0.2">
      <c r="A4">
        <v>10</v>
      </c>
      <c r="B4" s="2">
        <f>COUNTIF(表_版层分类[[#This Row],[列1]:[列25]],"&lt;&gt;")</f>
        <v>5</v>
      </c>
      <c r="C4" t="s">
        <v>1782</v>
      </c>
      <c r="D4" t="s">
        <v>1804</v>
      </c>
      <c r="E4" t="s">
        <v>1783</v>
      </c>
      <c r="F4" t="s">
        <v>1121</v>
      </c>
      <c r="G4" t="s">
        <v>1806</v>
      </c>
      <c r="H4" t="s">
        <v>1767</v>
      </c>
    </row>
    <row r="5" spans="1:28" x14ac:dyDescent="0.2">
      <c r="A5">
        <v>20</v>
      </c>
      <c r="B5" s="2">
        <f>COUNTIF(表_版层分类[[#This Row],[列1]:[列25]],"&lt;&gt;")</f>
        <v>6</v>
      </c>
      <c r="C5" t="s">
        <v>1781</v>
      </c>
      <c r="D5" t="s">
        <v>886</v>
      </c>
      <c r="E5" t="s">
        <v>999</v>
      </c>
      <c r="F5" t="s">
        <v>1005</v>
      </c>
      <c r="G5" t="s">
        <v>1025</v>
      </c>
      <c r="H5" t="s">
        <v>1033</v>
      </c>
      <c r="I5" t="s">
        <v>1767</v>
      </c>
    </row>
    <row r="6" spans="1:28" x14ac:dyDescent="0.2">
      <c r="A6">
        <v>100</v>
      </c>
      <c r="B6" s="2">
        <f>COUNTIF(表_版层分类[[#This Row],[列1]:[列25]],"&lt;&gt;")</f>
        <v>5</v>
      </c>
      <c r="C6" t="s">
        <v>1747</v>
      </c>
      <c r="D6" t="s">
        <v>1749</v>
      </c>
      <c r="E6" t="s">
        <v>1751</v>
      </c>
      <c r="F6" t="s">
        <v>1753</v>
      </c>
      <c r="G6" t="s">
        <v>1754</v>
      </c>
      <c r="H6" t="s">
        <v>1767</v>
      </c>
    </row>
    <row r="7" spans="1:28" x14ac:dyDescent="0.2">
      <c r="A7">
        <v>900</v>
      </c>
      <c r="B7">
        <f>COUNTIF(表_版层分类[[#This Row],[列1]:[列25]],"&lt;&gt;")</f>
        <v>9</v>
      </c>
      <c r="C7" t="s">
        <v>1707</v>
      </c>
      <c r="D7" t="s">
        <v>1087</v>
      </c>
      <c r="E7" t="s">
        <v>556</v>
      </c>
      <c r="F7" t="s">
        <v>1177</v>
      </c>
      <c r="G7" t="s">
        <v>1193</v>
      </c>
      <c r="H7" t="s">
        <v>1200</v>
      </c>
      <c r="I7" t="s">
        <v>1226</v>
      </c>
      <c r="J7" t="s">
        <v>1230</v>
      </c>
      <c r="K7" t="s">
        <v>1257</v>
      </c>
      <c r="L7" t="s">
        <v>573</v>
      </c>
    </row>
    <row r="8" spans="1:28" x14ac:dyDescent="0.2">
      <c r="A8">
        <v>996</v>
      </c>
      <c r="B8">
        <f>COUNTIF(表_版层分类[[#This Row],[列1]:[列25]],"&lt;&gt;")</f>
        <v>6</v>
      </c>
      <c r="C8" t="s">
        <v>23</v>
      </c>
      <c r="D8" t="s">
        <v>1690</v>
      </c>
      <c r="E8" t="s">
        <v>1691</v>
      </c>
      <c r="F8" t="s">
        <v>24</v>
      </c>
      <c r="G8" t="s">
        <v>279</v>
      </c>
      <c r="H8" t="s">
        <v>1641</v>
      </c>
      <c r="I8" t="s">
        <v>498</v>
      </c>
    </row>
    <row r="9" spans="1:28" x14ac:dyDescent="0.2">
      <c r="A9">
        <v>998</v>
      </c>
      <c r="B9">
        <f>COUNTIF(表_版层分类[[#This Row],[列1]:[列25]],"&lt;&gt;")</f>
        <v>5</v>
      </c>
      <c r="C9" t="s">
        <v>1692</v>
      </c>
      <c r="D9" t="s">
        <v>1047</v>
      </c>
      <c r="E9" t="s">
        <v>1066</v>
      </c>
      <c r="F9" t="s">
        <v>595</v>
      </c>
      <c r="G9" t="s">
        <v>1777</v>
      </c>
      <c r="H9" t="s">
        <v>1779</v>
      </c>
    </row>
    <row r="10" spans="1:28" x14ac:dyDescent="0.2">
      <c r="A10">
        <v>999</v>
      </c>
      <c r="B10">
        <f>COUNTIF(表_版层分类[[#This Row],[列1]:[列25]],"&lt;&gt;")</f>
        <v>2</v>
      </c>
      <c r="C10" t="s">
        <v>506</v>
      </c>
      <c r="D10" t="s">
        <v>1709</v>
      </c>
      <c r="E10" t="s">
        <v>1710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/>
  <dimension ref="A1:AH35"/>
  <sheetViews>
    <sheetView workbookViewId="0">
      <selection activeCell="C38" sqref="C38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1693</v>
      </c>
      <c r="B1" t="s">
        <v>1694</v>
      </c>
      <c r="C1" t="s">
        <v>10</v>
      </c>
      <c r="D1" t="s">
        <v>1665</v>
      </c>
      <c r="E1" t="s">
        <v>1666</v>
      </c>
      <c r="F1" t="s">
        <v>1667</v>
      </c>
      <c r="G1" t="s">
        <v>1668</v>
      </c>
      <c r="H1" t="s">
        <v>1669</v>
      </c>
      <c r="I1" t="s">
        <v>1670</v>
      </c>
      <c r="J1" t="s">
        <v>1671</v>
      </c>
      <c r="K1" t="s">
        <v>1672</v>
      </c>
      <c r="L1" t="s">
        <v>1673</v>
      </c>
      <c r="M1" t="s">
        <v>1674</v>
      </c>
      <c r="N1" t="s">
        <v>1675</v>
      </c>
      <c r="O1" t="s">
        <v>1676</v>
      </c>
      <c r="P1" t="s">
        <v>1677</v>
      </c>
      <c r="Q1" t="s">
        <v>1678</v>
      </c>
      <c r="R1" t="s">
        <v>1679</v>
      </c>
      <c r="S1" t="s">
        <v>1680</v>
      </c>
      <c r="T1" t="s">
        <v>1681</v>
      </c>
      <c r="U1" t="s">
        <v>1682</v>
      </c>
      <c r="V1" t="s">
        <v>1683</v>
      </c>
      <c r="W1" t="s">
        <v>1684</v>
      </c>
      <c r="X1" t="s">
        <v>1685</v>
      </c>
      <c r="Y1" t="s">
        <v>1686</v>
      </c>
      <c r="Z1" t="s">
        <v>1687</v>
      </c>
      <c r="AA1" t="s">
        <v>1688</v>
      </c>
      <c r="AB1" t="s">
        <v>1689</v>
      </c>
      <c r="AC1" t="s">
        <v>1696</v>
      </c>
      <c r="AD1" t="s">
        <v>1697</v>
      </c>
      <c r="AE1" t="s">
        <v>1698</v>
      </c>
      <c r="AF1" t="s">
        <v>1699</v>
      </c>
      <c r="AG1" t="s">
        <v>1700</v>
      </c>
      <c r="AH1" t="s">
        <v>1701</v>
      </c>
    </row>
    <row r="2" spans="1:34" x14ac:dyDescent="0.2">
      <c r="A2">
        <v>101</v>
      </c>
      <c r="B2">
        <f>COUNTIF(表_首次要关键词[[#This Row],[列1]:[列31]],"&lt;&gt;")</f>
        <v>1</v>
      </c>
      <c r="C2" t="s">
        <v>24</v>
      </c>
      <c r="D2" t="s">
        <v>26</v>
      </c>
    </row>
    <row r="3" spans="1:34" x14ac:dyDescent="0.2">
      <c r="A3">
        <v>102</v>
      </c>
      <c r="B3">
        <f>COUNTIF(表_首次要关键词[[#This Row],[列1]:[列31]],"&lt;&gt;")</f>
        <v>31</v>
      </c>
      <c r="C3" t="s">
        <v>279</v>
      </c>
      <c r="D3" t="s">
        <v>283</v>
      </c>
      <c r="E3" t="s">
        <v>287</v>
      </c>
      <c r="F3" t="s">
        <v>291</v>
      </c>
      <c r="G3" t="s">
        <v>295</v>
      </c>
      <c r="H3" t="s">
        <v>299</v>
      </c>
      <c r="I3" t="s">
        <v>303</v>
      </c>
      <c r="J3" t="s">
        <v>307</v>
      </c>
      <c r="K3" t="s">
        <v>311</v>
      </c>
      <c r="L3" t="s">
        <v>315</v>
      </c>
      <c r="M3" t="s">
        <v>319</v>
      </c>
      <c r="N3" t="s">
        <v>323</v>
      </c>
      <c r="O3" t="s">
        <v>327</v>
      </c>
      <c r="P3" t="s">
        <v>331</v>
      </c>
      <c r="Q3" t="s">
        <v>418</v>
      </c>
      <c r="R3" t="s">
        <v>422</v>
      </c>
      <c r="S3" t="s">
        <v>426</v>
      </c>
      <c r="T3" t="s">
        <v>430</v>
      </c>
      <c r="U3" t="s">
        <v>434</v>
      </c>
      <c r="V3" t="s">
        <v>442</v>
      </c>
      <c r="W3" t="s">
        <v>450</v>
      </c>
      <c r="X3" t="s">
        <v>454</v>
      </c>
      <c r="Y3" t="s">
        <v>458</v>
      </c>
      <c r="Z3" t="s">
        <v>462</v>
      </c>
      <c r="AA3" t="s">
        <v>466</v>
      </c>
      <c r="AB3" t="s">
        <v>470</v>
      </c>
      <c r="AC3" t="s">
        <v>474</v>
      </c>
      <c r="AD3" t="s">
        <v>478</v>
      </c>
      <c r="AE3" t="s">
        <v>482</v>
      </c>
      <c r="AF3" t="s">
        <v>486</v>
      </c>
      <c r="AG3" t="s">
        <v>490</v>
      </c>
      <c r="AH3" t="s">
        <v>494</v>
      </c>
    </row>
    <row r="4" spans="1:34" x14ac:dyDescent="0.2">
      <c r="A4">
        <v>112</v>
      </c>
      <c r="B4">
        <f>COUNTIF(表_首次要关键词[[#This Row],[列1]:[列31]],"&lt;&gt;")</f>
        <v>2</v>
      </c>
      <c r="C4" t="s">
        <v>498</v>
      </c>
      <c r="D4" t="s">
        <v>502</v>
      </c>
      <c r="E4" t="s">
        <v>1767</v>
      </c>
    </row>
    <row r="5" spans="1:34" x14ac:dyDescent="0.2">
      <c r="A5">
        <v>201</v>
      </c>
      <c r="B5">
        <f>COUNTIF(表_首次要关键词[[#This Row],[列1]:[列31]],"&lt;&gt;")</f>
        <v>9</v>
      </c>
      <c r="C5" t="s">
        <v>546</v>
      </c>
      <c r="D5" t="s">
        <v>1773</v>
      </c>
      <c r="E5" t="s">
        <v>1762</v>
      </c>
      <c r="F5" t="s">
        <v>1802</v>
      </c>
      <c r="G5" t="s">
        <v>556</v>
      </c>
      <c r="H5" t="s">
        <v>560</v>
      </c>
      <c r="I5" t="s">
        <v>564</v>
      </c>
      <c r="J5" t="s">
        <v>569</v>
      </c>
      <c r="K5" t="s">
        <v>573</v>
      </c>
      <c r="L5" t="s">
        <v>1767</v>
      </c>
    </row>
    <row r="6" spans="1:34" x14ac:dyDescent="0.2">
      <c r="A6">
        <v>202</v>
      </c>
      <c r="B6">
        <f>COUNTIF(表_首次要关键词[[#This Row],[列1]:[列31]],"&lt;&gt;")</f>
        <v>6</v>
      </c>
      <c r="C6" t="s">
        <v>577</v>
      </c>
      <c r="D6" t="s">
        <v>1758</v>
      </c>
      <c r="E6" t="s">
        <v>1760</v>
      </c>
      <c r="F6" t="s">
        <v>1762</v>
      </c>
      <c r="G6" t="s">
        <v>1764</v>
      </c>
      <c r="H6" t="s">
        <v>1766</v>
      </c>
      <c r="I6" t="s">
        <v>1767</v>
      </c>
    </row>
    <row r="7" spans="1:34" x14ac:dyDescent="0.2">
      <c r="A7">
        <v>203</v>
      </c>
      <c r="B7">
        <f>COUNTIF(表_首次要关键词[[#This Row],[列1]:[列31]],"&lt;&gt;")</f>
        <v>0</v>
      </c>
      <c r="C7" t="s">
        <v>598</v>
      </c>
    </row>
    <row r="8" spans="1:34" x14ac:dyDescent="0.2">
      <c r="A8">
        <v>204</v>
      </c>
      <c r="B8">
        <f>COUNTIF(表_首次要关键词[[#This Row],[列1]:[列31]],"&lt;&gt;")</f>
        <v>5</v>
      </c>
      <c r="C8" t="s">
        <v>608</v>
      </c>
      <c r="D8" t="s">
        <v>1762</v>
      </c>
      <c r="E8" t="s">
        <v>1772</v>
      </c>
      <c r="F8" t="s">
        <v>1769</v>
      </c>
      <c r="G8" t="s">
        <v>1771</v>
      </c>
      <c r="H8" t="s">
        <v>1767</v>
      </c>
    </row>
    <row r="9" spans="1:34" x14ac:dyDescent="0.2">
      <c r="A9">
        <v>251</v>
      </c>
      <c r="B9">
        <f>COUNTIF(表_首次要关键词[[#This Row],[列1]:[列31]],"&lt;&gt;")</f>
        <v>5</v>
      </c>
      <c r="C9" t="s">
        <v>618</v>
      </c>
      <c r="D9" t="s">
        <v>1773</v>
      </c>
      <c r="E9" t="s">
        <v>1762</v>
      </c>
      <c r="F9" t="s">
        <v>1775</v>
      </c>
      <c r="G9" t="s">
        <v>1774</v>
      </c>
      <c r="H9" t="s">
        <v>1767</v>
      </c>
    </row>
    <row r="10" spans="1:34" x14ac:dyDescent="0.2">
      <c r="A10">
        <v>252</v>
      </c>
      <c r="B10">
        <f>COUNTIF(表_首次要关键词[[#This Row],[列1]:[列31]],"&lt;&gt;")</f>
        <v>0</v>
      </c>
      <c r="C10" t="s">
        <v>649</v>
      </c>
    </row>
    <row r="11" spans="1:34" x14ac:dyDescent="0.2">
      <c r="A11">
        <v>253</v>
      </c>
      <c r="B11">
        <f>COUNTIF(表_首次要关键词[[#This Row],[列1]:[列31]],"&lt;&gt;")</f>
        <v>0</v>
      </c>
      <c r="C11" t="s">
        <v>573</v>
      </c>
    </row>
    <row r="12" spans="1:34" x14ac:dyDescent="0.2">
      <c r="A12">
        <v>301</v>
      </c>
      <c r="B12">
        <f>COUNTIF(表_首次要关键词[[#This Row],[列1]:[列31]],"&lt;&gt;")</f>
        <v>5</v>
      </c>
      <c r="C12" t="str">
        <f>版层分类!D6</f>
        <v>银行</v>
      </c>
      <c r="D12" t="s">
        <v>705</v>
      </c>
      <c r="E12" t="s">
        <v>709</v>
      </c>
      <c r="F12" t="s">
        <v>717</v>
      </c>
      <c r="G12" t="s">
        <v>721</v>
      </c>
      <c r="H12" t="s">
        <v>734</v>
      </c>
    </row>
    <row r="13" spans="1:34" x14ac:dyDescent="0.2">
      <c r="A13">
        <v>302</v>
      </c>
      <c r="B13">
        <f>COUNTIF(表_首次要关键词[[#This Row],[列1]:[列31]],"&lt;&gt;")</f>
        <v>0</v>
      </c>
      <c r="C13" t="str">
        <f>版层分类!E4</f>
        <v>翻译</v>
      </c>
    </row>
    <row r="14" spans="1:34" x14ac:dyDescent="0.2">
      <c r="A14">
        <v>303</v>
      </c>
      <c r="B14">
        <f>COUNTIF(表_首次要关键词[[#This Row],[列1]:[列31]],"&lt;&gt;")</f>
        <v>0</v>
      </c>
      <c r="C14" t="str">
        <f>版层分类!F4</f>
        <v>邮箱</v>
      </c>
    </row>
    <row r="15" spans="1:34" x14ac:dyDescent="0.2">
      <c r="A15">
        <v>601</v>
      </c>
      <c r="B15">
        <f>COUNTIF(表_首次要关键词[[#This Row],[列1]:[列31]],"&lt;&gt;")</f>
        <v>18</v>
      </c>
      <c r="C15" t="s">
        <v>886</v>
      </c>
      <c r="D15" t="s">
        <v>1785</v>
      </c>
      <c r="E15" t="s">
        <v>937</v>
      </c>
      <c r="F15" t="s">
        <v>942</v>
      </c>
      <c r="G15" t="s">
        <v>945</v>
      </c>
      <c r="H15" t="s">
        <v>949</v>
      </c>
      <c r="I15" t="s">
        <v>952</v>
      </c>
      <c r="J15" t="s">
        <v>955</v>
      </c>
      <c r="K15" t="s">
        <v>956</v>
      </c>
      <c r="L15" t="s">
        <v>962</v>
      </c>
      <c r="M15" t="s">
        <v>966</v>
      </c>
      <c r="N15" t="s">
        <v>969</v>
      </c>
      <c r="O15" t="s">
        <v>972</v>
      </c>
      <c r="P15" t="s">
        <v>975</v>
      </c>
      <c r="Q15" t="s">
        <v>978</v>
      </c>
      <c r="R15" t="s">
        <v>981</v>
      </c>
      <c r="S15" t="s">
        <v>986</v>
      </c>
      <c r="T15" t="s">
        <v>989</v>
      </c>
      <c r="U15" t="s">
        <v>934</v>
      </c>
    </row>
    <row r="16" spans="1:34" x14ac:dyDescent="0.2">
      <c r="A16">
        <v>602</v>
      </c>
      <c r="B16">
        <f>COUNTIF(表_首次要关键词[[#This Row],[列1]:[列31]],"&lt;&gt;")</f>
        <v>1</v>
      </c>
      <c r="C16" t="s">
        <v>999</v>
      </c>
      <c r="D16" t="s">
        <v>996</v>
      </c>
    </row>
    <row r="17" spans="1:7" x14ac:dyDescent="0.2">
      <c r="A17">
        <v>603</v>
      </c>
      <c r="B17">
        <f>COUNTIF(表_首次要关键词[[#This Row],[列1]:[列31]],"&lt;&gt;")</f>
        <v>0</v>
      </c>
      <c r="C17" t="s">
        <v>1005</v>
      </c>
    </row>
    <row r="18" spans="1:7" x14ac:dyDescent="0.2">
      <c r="A18">
        <v>604</v>
      </c>
      <c r="B18">
        <f>COUNTIF(表_首次要关键词[[#This Row],[列1]:[列31]],"&lt;&gt;")</f>
        <v>0</v>
      </c>
      <c r="C18" t="s">
        <v>1025</v>
      </c>
    </row>
    <row r="19" spans="1:7" x14ac:dyDescent="0.2">
      <c r="A19">
        <v>605</v>
      </c>
      <c r="B19">
        <f>COUNTIF(表_首次要关键词[[#This Row],[列1]:[列31]],"&lt;&gt;")</f>
        <v>3</v>
      </c>
      <c r="C19" t="s">
        <v>1033</v>
      </c>
      <c r="D19" t="s">
        <v>1036</v>
      </c>
      <c r="E19" t="s">
        <v>986</v>
      </c>
      <c r="F19" t="s">
        <v>1043</v>
      </c>
    </row>
    <row r="20" spans="1:7" x14ac:dyDescent="0.2">
      <c r="A20">
        <v>801</v>
      </c>
      <c r="B20">
        <f>COUNTIF(表_首次要关键词[[#This Row],[列1]:[列31]],"&lt;&gt;")</f>
        <v>0</v>
      </c>
      <c r="C20" t="s">
        <v>1047</v>
      </c>
    </row>
    <row r="21" spans="1:7" x14ac:dyDescent="0.2">
      <c r="A21">
        <v>802</v>
      </c>
      <c r="B21">
        <f>COUNTIF(表_首次要关键词[[#This Row],[列1]:[列31]],"&lt;&gt;")</f>
        <v>0</v>
      </c>
      <c r="C21" t="s">
        <v>1066</v>
      </c>
    </row>
    <row r="22" spans="1:7" x14ac:dyDescent="0.2">
      <c r="A22">
        <v>803</v>
      </c>
      <c r="B22">
        <f>COUNTIF(表_首次要关键词[[#This Row],[列1]:[列31]],"&lt;&gt;")</f>
        <v>0</v>
      </c>
      <c r="C22" t="s">
        <v>595</v>
      </c>
    </row>
    <row r="23" spans="1:7" x14ac:dyDescent="0.2">
      <c r="A23">
        <v>900</v>
      </c>
      <c r="B23">
        <f>COUNTIF(表_首次要关键词[[#This Row],[列1]:[列31]],"&lt;&gt;")</f>
        <v>0</v>
      </c>
      <c r="C23" t="s">
        <v>1087</v>
      </c>
    </row>
    <row r="24" spans="1:7" x14ac:dyDescent="0.2">
      <c r="A24">
        <v>901</v>
      </c>
      <c r="B24">
        <f>COUNTIF(表_首次要关键词[[#This Row],[列1]:[列31]],"&lt;&gt;")</f>
        <v>0</v>
      </c>
      <c r="C24" t="s">
        <v>1121</v>
      </c>
    </row>
    <row r="25" spans="1:7" x14ac:dyDescent="0.2">
      <c r="A25">
        <v>902</v>
      </c>
      <c r="B25">
        <f>COUNTIF(表_首次要关键词[[#This Row],[列1]:[列31]],"&lt;&gt;")</f>
        <v>4</v>
      </c>
      <c r="C25" t="s">
        <v>556</v>
      </c>
      <c r="D25" t="s">
        <v>1148</v>
      </c>
      <c r="E25" t="s">
        <v>1166</v>
      </c>
      <c r="F25" t="s">
        <v>1170</v>
      </c>
      <c r="G25" t="s">
        <v>1173</v>
      </c>
    </row>
    <row r="26" spans="1:7" x14ac:dyDescent="0.2">
      <c r="A26">
        <v>903</v>
      </c>
      <c r="B26">
        <f>COUNTIF(表_首次要关键词[[#This Row],[列1]:[列31]],"&lt;&gt;")</f>
        <v>0</v>
      </c>
      <c r="C26" t="s">
        <v>1177</v>
      </c>
    </row>
    <row r="27" spans="1:7" x14ac:dyDescent="0.2">
      <c r="A27">
        <v>904</v>
      </c>
      <c r="B27">
        <f>COUNTIF(表_首次要关键词[[#This Row],[列1]:[列31]],"&lt;&gt;")</f>
        <v>0</v>
      </c>
      <c r="C27" t="s">
        <v>1193</v>
      </c>
    </row>
    <row r="28" spans="1:7" x14ac:dyDescent="0.2">
      <c r="A28">
        <v>905</v>
      </c>
      <c r="B28">
        <f>COUNTIF(表_首次要关键词[[#This Row],[列1]:[列31]],"&lt;&gt;")</f>
        <v>0</v>
      </c>
      <c r="C28" t="s">
        <v>1200</v>
      </c>
    </row>
    <row r="29" spans="1:7" x14ac:dyDescent="0.2">
      <c r="A29">
        <v>906</v>
      </c>
      <c r="B29">
        <f>COUNTIF(表_首次要关键词[[#This Row],[列1]:[列31]],"&lt;&gt;")</f>
        <v>0</v>
      </c>
      <c r="C29" t="s">
        <v>1226</v>
      </c>
    </row>
    <row r="30" spans="1:7" x14ac:dyDescent="0.2">
      <c r="A30">
        <v>907</v>
      </c>
      <c r="B30">
        <f>COUNTIF(表_首次要关键词[[#This Row],[列1]:[列31]],"&lt;&gt;")</f>
        <v>0</v>
      </c>
      <c r="C30" t="s">
        <v>1230</v>
      </c>
    </row>
    <row r="31" spans="1:7" x14ac:dyDescent="0.2">
      <c r="A31">
        <v>908</v>
      </c>
      <c r="B31">
        <f>COUNTIF(表_首次要关键词[[#This Row],[列1]:[列31]],"&lt;&gt;")</f>
        <v>3</v>
      </c>
      <c r="C31" t="s">
        <v>1257</v>
      </c>
      <c r="D31" t="s">
        <v>1261</v>
      </c>
      <c r="E31" t="s">
        <v>1278</v>
      </c>
      <c r="F31" t="s">
        <v>1282</v>
      </c>
    </row>
    <row r="32" spans="1:7" x14ac:dyDescent="0.2">
      <c r="A32">
        <v>991</v>
      </c>
      <c r="B32">
        <f>COUNTIF(表_首次要关键词[[#This Row],[列1]:[列31]],"&lt;&gt;")</f>
        <v>4</v>
      </c>
      <c r="C32" t="s">
        <v>1283</v>
      </c>
      <c r="D32" t="s">
        <v>1261</v>
      </c>
      <c r="E32" t="s">
        <v>1033</v>
      </c>
      <c r="F32" t="s">
        <v>1528</v>
      </c>
      <c r="G32" t="s">
        <v>1626</v>
      </c>
    </row>
    <row r="33" spans="1:34" x14ac:dyDescent="0.2">
      <c r="A33">
        <v>992</v>
      </c>
      <c r="B33">
        <f>COUNTIF(表_首次要关键词[[#This Row],[列1]:[列31]],"&lt;&gt;")</f>
        <v>8</v>
      </c>
      <c r="C33" t="s">
        <v>1708</v>
      </c>
      <c r="D33" t="s">
        <v>1662</v>
      </c>
      <c r="E33" t="s">
        <v>1653</v>
      </c>
      <c r="F33" t="s">
        <v>1659</v>
      </c>
      <c r="G33" t="s">
        <v>1656</v>
      </c>
      <c r="H33" t="s">
        <v>1650</v>
      </c>
      <c r="I33" t="s">
        <v>1644</v>
      </c>
      <c r="J33" t="s">
        <v>1663</v>
      </c>
      <c r="K33" t="s">
        <v>1647</v>
      </c>
    </row>
    <row r="34" spans="1:34" x14ac:dyDescent="0.2">
      <c r="B34">
        <f>COUNTIF(表_首次要关键词[[#This Row],[列1]:[列31]],"&lt;&gt;")</f>
        <v>31</v>
      </c>
      <c r="C34" t="s">
        <v>1713</v>
      </c>
      <c r="D34" t="s">
        <v>283</v>
      </c>
      <c r="E34" t="s">
        <v>287</v>
      </c>
      <c r="F34" t="s">
        <v>291</v>
      </c>
      <c r="G34" t="s">
        <v>295</v>
      </c>
      <c r="H34" t="s">
        <v>299</v>
      </c>
      <c r="I34" t="s">
        <v>303</v>
      </c>
      <c r="J34" t="s">
        <v>307</v>
      </c>
      <c r="K34" t="s">
        <v>311</v>
      </c>
      <c r="L34" t="s">
        <v>315</v>
      </c>
      <c r="M34" t="s">
        <v>319</v>
      </c>
      <c r="N34" t="s">
        <v>323</v>
      </c>
      <c r="O34" t="s">
        <v>327</v>
      </c>
      <c r="P34" t="s">
        <v>331</v>
      </c>
      <c r="Q34" t="s">
        <v>418</v>
      </c>
      <c r="R34" t="s">
        <v>422</v>
      </c>
      <c r="S34" t="s">
        <v>426</v>
      </c>
      <c r="T34" t="s">
        <v>430</v>
      </c>
      <c r="U34" t="s">
        <v>434</v>
      </c>
      <c r="V34" t="s">
        <v>442</v>
      </c>
      <c r="W34" t="s">
        <v>450</v>
      </c>
      <c r="X34" t="s">
        <v>454</v>
      </c>
      <c r="Y34" t="s">
        <v>458</v>
      </c>
      <c r="Z34" t="s">
        <v>462</v>
      </c>
      <c r="AA34" t="s">
        <v>466</v>
      </c>
      <c r="AB34" t="s">
        <v>470</v>
      </c>
      <c r="AC34" t="s">
        <v>474</v>
      </c>
      <c r="AD34" t="s">
        <v>478</v>
      </c>
      <c r="AE34" t="s">
        <v>482</v>
      </c>
      <c r="AF34" t="s">
        <v>486</v>
      </c>
      <c r="AG34" t="s">
        <v>490</v>
      </c>
      <c r="AH34" t="s">
        <v>494</v>
      </c>
    </row>
    <row r="35" spans="1:34" x14ac:dyDescent="0.2">
      <c r="B35">
        <f>COUNTIF(表_首次要关键词[[#This Row],[列1]:[列31]],"&lt;&gt;")</f>
        <v>0</v>
      </c>
      <c r="C35" t="s">
        <v>1804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/>
  <dimension ref="A1:W150"/>
  <sheetViews>
    <sheetView topLeftCell="A124" workbookViewId="0">
      <selection activeCell="A151" sqref="A151:XFD151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1706</v>
      </c>
      <c r="B1" t="s">
        <v>1694</v>
      </c>
      <c r="C1" t="s">
        <v>1705</v>
      </c>
      <c r="D1" t="s">
        <v>1665</v>
      </c>
      <c r="E1" t="s">
        <v>1666</v>
      </c>
      <c r="F1" t="s">
        <v>1667</v>
      </c>
      <c r="G1" t="s">
        <v>1668</v>
      </c>
      <c r="H1" t="s">
        <v>1669</v>
      </c>
      <c r="I1" t="s">
        <v>1670</v>
      </c>
      <c r="J1" t="s">
        <v>1671</v>
      </c>
      <c r="K1" t="s">
        <v>1672</v>
      </c>
      <c r="L1" t="s">
        <v>1673</v>
      </c>
      <c r="M1" t="s">
        <v>1674</v>
      </c>
      <c r="N1" t="s">
        <v>1675</v>
      </c>
      <c r="O1" t="s">
        <v>1676</v>
      </c>
      <c r="P1" t="s">
        <v>1677</v>
      </c>
      <c r="Q1" t="s">
        <v>1678</v>
      </c>
      <c r="R1" t="s">
        <v>1679</v>
      </c>
      <c r="S1" t="s">
        <v>1680</v>
      </c>
      <c r="T1" t="s">
        <v>1681</v>
      </c>
      <c r="U1" t="s">
        <v>1682</v>
      </c>
      <c r="V1" t="s">
        <v>1683</v>
      </c>
      <c r="W1" t="s">
        <v>1684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1702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1703</v>
      </c>
      <c r="D3" t="s">
        <v>31</v>
      </c>
      <c r="E3" t="s">
        <v>118</v>
      </c>
      <c r="F3" t="s">
        <v>122</v>
      </c>
      <c r="G3" t="s">
        <v>165</v>
      </c>
      <c r="H3" t="s">
        <v>183</v>
      </c>
      <c r="I3" t="s">
        <v>211</v>
      </c>
      <c r="J3" t="s">
        <v>270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1704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283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287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291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295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299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303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307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311</v>
      </c>
      <c r="D12" t="s">
        <v>1716</v>
      </c>
      <c r="E12" t="s">
        <v>1717</v>
      </c>
      <c r="F12" t="s">
        <v>1719</v>
      </c>
      <c r="G12" t="s">
        <v>1721</v>
      </c>
      <c r="H12" t="s">
        <v>1723</v>
      </c>
      <c r="I12" t="s">
        <v>1725</v>
      </c>
      <c r="J12" t="s">
        <v>1727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315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319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323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327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331</v>
      </c>
      <c r="D17" t="s">
        <v>335</v>
      </c>
      <c r="E17" t="s">
        <v>339</v>
      </c>
      <c r="F17" t="s">
        <v>343</v>
      </c>
      <c r="G17" t="s">
        <v>347</v>
      </c>
      <c r="H17" t="s">
        <v>354</v>
      </c>
      <c r="I17" t="s">
        <v>358</v>
      </c>
      <c r="J17" t="s">
        <v>362</v>
      </c>
      <c r="K17" t="s">
        <v>366</v>
      </c>
      <c r="L17" t="s">
        <v>370</v>
      </c>
      <c r="M17" t="s">
        <v>374</v>
      </c>
      <c r="N17" t="s">
        <v>378</v>
      </c>
      <c r="O17" t="s">
        <v>382</v>
      </c>
      <c r="P17" t="s">
        <v>386</v>
      </c>
      <c r="Q17" t="s">
        <v>390</v>
      </c>
      <c r="R17" t="s">
        <v>394</v>
      </c>
      <c r="S17" t="s">
        <v>398</v>
      </c>
      <c r="T17" t="s">
        <v>402</v>
      </c>
      <c r="U17" t="s">
        <v>406</v>
      </c>
      <c r="V17" t="s">
        <v>410</v>
      </c>
      <c r="W17" t="s">
        <v>414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418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422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426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430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434</v>
      </c>
      <c r="D22" t="s">
        <v>438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442</v>
      </c>
      <c r="D23" t="s">
        <v>446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450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454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458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462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466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470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474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478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482</v>
      </c>
    </row>
    <row r="33" spans="1:10" x14ac:dyDescent="0.2">
      <c r="A33">
        <f t="shared" si="0"/>
        <v>131</v>
      </c>
      <c r="B33">
        <f>COUNTIF(表4[[#This Row],[列1]:[列20]],"&lt;&gt;")</f>
        <v>0</v>
      </c>
      <c r="C33" t="s">
        <v>486</v>
      </c>
    </row>
    <row r="34" spans="1:10" x14ac:dyDescent="0.2">
      <c r="A34">
        <f t="shared" si="0"/>
        <v>132</v>
      </c>
      <c r="B34">
        <f>COUNTIF(表4[[#This Row],[列1]:[列20]],"&lt;&gt;")</f>
        <v>0</v>
      </c>
      <c r="C34" t="s">
        <v>490</v>
      </c>
    </row>
    <row r="35" spans="1:10" x14ac:dyDescent="0.2">
      <c r="A35">
        <f t="shared" si="0"/>
        <v>133</v>
      </c>
      <c r="B35">
        <f>COUNTIF(表4[[#This Row],[列1]:[列20]],"&lt;&gt;")</f>
        <v>0</v>
      </c>
      <c r="C35" t="s">
        <v>494</v>
      </c>
    </row>
    <row r="36" spans="1:10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498</v>
      </c>
    </row>
    <row r="37" spans="1:10" x14ac:dyDescent="0.2">
      <c r="A37" s="2">
        <f>A36+1</f>
        <v>135</v>
      </c>
      <c r="B37" s="2">
        <f>COUNTIF(表4[[#This Row],[列1]:[列20]],"&lt;&gt;")</f>
        <v>0</v>
      </c>
      <c r="C37" t="s">
        <v>502</v>
      </c>
    </row>
    <row r="38" spans="1:10" s="1" customFormat="1" x14ac:dyDescent="0.2">
      <c r="A38" s="3">
        <f t="shared" ref="A38" si="1">A37+1</f>
        <v>136</v>
      </c>
      <c r="B38" s="3">
        <f>COUNTIF(表4[[#This Row],[列1]:[列20]],"&lt;&gt;")</f>
        <v>0</v>
      </c>
      <c r="C38" s="1" t="s">
        <v>577</v>
      </c>
    </row>
    <row r="39" spans="1:10" s="1" customFormat="1" x14ac:dyDescent="0.2">
      <c r="A39" s="3">
        <f>A38+1</f>
        <v>137</v>
      </c>
      <c r="B39" s="3">
        <f>COUNTIF(表4[[#This Row],[列1]:[列20]],"&lt;&gt;")</f>
        <v>0</v>
      </c>
      <c r="C39" s="1" t="s">
        <v>1728</v>
      </c>
    </row>
    <row r="40" spans="1:10" x14ac:dyDescent="0.2">
      <c r="A40">
        <f t="shared" ref="A40:A47" si="2">A39+1</f>
        <v>138</v>
      </c>
      <c r="B40">
        <f>COUNTIF(表4[[#This Row],[列1]:[列20]],"&lt;&gt;")</f>
        <v>0</v>
      </c>
      <c r="C40" t="s">
        <v>283</v>
      </c>
    </row>
    <row r="41" spans="1:10" x14ac:dyDescent="0.2">
      <c r="A41">
        <f t="shared" si="2"/>
        <v>139</v>
      </c>
      <c r="B41">
        <f>COUNTIF(表4[[#This Row],[列1]:[列20]],"&lt;&gt;")</f>
        <v>0</v>
      </c>
      <c r="C41" t="s">
        <v>287</v>
      </c>
    </row>
    <row r="42" spans="1:10" x14ac:dyDescent="0.2">
      <c r="A42">
        <f t="shared" si="2"/>
        <v>140</v>
      </c>
      <c r="B42">
        <f>COUNTIF(表4[[#This Row],[列1]:[列20]],"&lt;&gt;")</f>
        <v>0</v>
      </c>
      <c r="C42" t="s">
        <v>291</v>
      </c>
    </row>
    <row r="43" spans="1:10" x14ac:dyDescent="0.2">
      <c r="A43">
        <f t="shared" si="2"/>
        <v>141</v>
      </c>
      <c r="B43">
        <f>COUNTIF(表4[[#This Row],[列1]:[列20]],"&lt;&gt;")</f>
        <v>0</v>
      </c>
      <c r="C43" t="s">
        <v>295</v>
      </c>
    </row>
    <row r="44" spans="1:10" x14ac:dyDescent="0.2">
      <c r="A44">
        <f t="shared" si="2"/>
        <v>142</v>
      </c>
      <c r="B44">
        <f>COUNTIF(表4[[#This Row],[列1]:[列20]],"&lt;&gt;")</f>
        <v>0</v>
      </c>
      <c r="C44" t="s">
        <v>299</v>
      </c>
    </row>
    <row r="45" spans="1:10" x14ac:dyDescent="0.2">
      <c r="A45">
        <f t="shared" si="2"/>
        <v>143</v>
      </c>
      <c r="B45">
        <f>COUNTIF(表4[[#This Row],[列1]:[列20]],"&lt;&gt;")</f>
        <v>0</v>
      </c>
      <c r="C45" t="s">
        <v>303</v>
      </c>
    </row>
    <row r="46" spans="1:10" x14ac:dyDescent="0.2">
      <c r="A46">
        <f t="shared" si="2"/>
        <v>144</v>
      </c>
      <c r="B46">
        <f>COUNTIF(表4[[#This Row],[列1]:[列20]],"&lt;&gt;")</f>
        <v>0</v>
      </c>
      <c r="C46" t="s">
        <v>307</v>
      </c>
    </row>
    <row r="47" spans="1:10" x14ac:dyDescent="0.2">
      <c r="A47">
        <f t="shared" si="2"/>
        <v>145</v>
      </c>
      <c r="B47">
        <f>COUNTIF(表4[[#This Row],[列1]:[列20]],"&lt;&gt;")</f>
        <v>7</v>
      </c>
      <c r="C47" t="s">
        <v>311</v>
      </c>
      <c r="D47" t="s">
        <v>1715</v>
      </c>
      <c r="E47" t="s">
        <v>1717</v>
      </c>
      <c r="F47" t="s">
        <v>1718</v>
      </c>
      <c r="G47" t="s">
        <v>1720</v>
      </c>
      <c r="H47" t="s">
        <v>1722</v>
      </c>
      <c r="I47" t="s">
        <v>1724</v>
      </c>
      <c r="J47" t="s">
        <v>1726</v>
      </c>
    </row>
    <row r="48" spans="1:10" x14ac:dyDescent="0.2">
      <c r="A48">
        <f>A39+1</f>
        <v>138</v>
      </c>
      <c r="B48">
        <f>COUNTIF(表4[[#This Row],[列1]:[列20]],"&lt;&gt;")</f>
        <v>0</v>
      </c>
      <c r="C48" t="s">
        <v>315</v>
      </c>
    </row>
    <row r="49" spans="1:23" x14ac:dyDescent="0.2">
      <c r="A49">
        <f t="shared" ref="A49:A55" si="3">A48+1</f>
        <v>139</v>
      </c>
      <c r="B49">
        <f>COUNTIF(表4[[#This Row],[列1]:[列20]],"&lt;&gt;")</f>
        <v>0</v>
      </c>
      <c r="C49" t="s">
        <v>319</v>
      </c>
    </row>
    <row r="50" spans="1:23" x14ac:dyDescent="0.2">
      <c r="A50">
        <f t="shared" si="3"/>
        <v>140</v>
      </c>
      <c r="B50">
        <f>COUNTIF(表4[[#This Row],[列1]:[列20]],"&lt;&gt;")</f>
        <v>0</v>
      </c>
      <c r="C50" t="s">
        <v>323</v>
      </c>
    </row>
    <row r="51" spans="1:23" x14ac:dyDescent="0.2">
      <c r="A51">
        <f t="shared" si="3"/>
        <v>141</v>
      </c>
      <c r="B51">
        <f>COUNTIF(表4[[#This Row],[列1]:[列20]],"&lt;&gt;")</f>
        <v>0</v>
      </c>
      <c r="C51" t="s">
        <v>327</v>
      </c>
    </row>
    <row r="52" spans="1:23" x14ac:dyDescent="0.2">
      <c r="A52">
        <f t="shared" si="3"/>
        <v>142</v>
      </c>
      <c r="B52">
        <f>COUNTIF(表4[[#This Row],[列1]:[列20]],"&lt;&gt;")</f>
        <v>20</v>
      </c>
      <c r="C52" t="s">
        <v>331</v>
      </c>
      <c r="D52" t="s">
        <v>335</v>
      </c>
      <c r="E52" t="s">
        <v>339</v>
      </c>
      <c r="F52" t="s">
        <v>343</v>
      </c>
      <c r="G52" t="s">
        <v>347</v>
      </c>
      <c r="H52" t="s">
        <v>354</v>
      </c>
      <c r="I52" t="s">
        <v>358</v>
      </c>
      <c r="J52" t="s">
        <v>362</v>
      </c>
      <c r="K52" t="s">
        <v>366</v>
      </c>
      <c r="L52" t="s">
        <v>370</v>
      </c>
      <c r="M52" t="s">
        <v>374</v>
      </c>
      <c r="N52" t="s">
        <v>378</v>
      </c>
      <c r="O52" t="s">
        <v>382</v>
      </c>
      <c r="P52" t="s">
        <v>386</v>
      </c>
      <c r="Q52" t="s">
        <v>390</v>
      </c>
      <c r="R52" t="s">
        <v>394</v>
      </c>
      <c r="S52" t="s">
        <v>398</v>
      </c>
      <c r="T52" t="s">
        <v>402</v>
      </c>
      <c r="U52" t="s">
        <v>406</v>
      </c>
      <c r="V52" t="s">
        <v>410</v>
      </c>
      <c r="W52" t="s">
        <v>414</v>
      </c>
    </row>
    <row r="53" spans="1:23" x14ac:dyDescent="0.2">
      <c r="A53">
        <f t="shared" si="3"/>
        <v>143</v>
      </c>
      <c r="B53">
        <f>COUNTIF(表4[[#This Row],[列1]:[列20]],"&lt;&gt;")</f>
        <v>0</v>
      </c>
      <c r="C53" t="s">
        <v>418</v>
      </c>
    </row>
    <row r="54" spans="1:23" x14ac:dyDescent="0.2">
      <c r="A54">
        <f t="shared" si="3"/>
        <v>144</v>
      </c>
      <c r="B54">
        <f>COUNTIF(表4[[#This Row],[列1]:[列20]],"&lt;&gt;")</f>
        <v>0</v>
      </c>
      <c r="C54" t="s">
        <v>422</v>
      </c>
    </row>
    <row r="55" spans="1:23" x14ac:dyDescent="0.2">
      <c r="A55">
        <f t="shared" si="3"/>
        <v>145</v>
      </c>
      <c r="B55">
        <f>COUNTIF(表4[[#This Row],[列1]:[列20]],"&lt;&gt;")</f>
        <v>0</v>
      </c>
      <c r="C55" t="s">
        <v>426</v>
      </c>
    </row>
    <row r="56" spans="1:23" x14ac:dyDescent="0.2">
      <c r="A56">
        <f>A39+1</f>
        <v>138</v>
      </c>
      <c r="B56">
        <f>COUNTIF(表4[[#This Row],[列1]:[列20]],"&lt;&gt;")</f>
        <v>0</v>
      </c>
      <c r="C56" t="s">
        <v>430</v>
      </c>
    </row>
    <row r="57" spans="1:23" x14ac:dyDescent="0.2">
      <c r="A57">
        <f t="shared" ref="A57:A63" si="4">A56+1</f>
        <v>139</v>
      </c>
      <c r="B57">
        <f>COUNTIF(表4[[#This Row],[列1]:[列20]],"&lt;&gt;")</f>
        <v>1</v>
      </c>
      <c r="C57" t="s">
        <v>434</v>
      </c>
      <c r="D57" t="s">
        <v>438</v>
      </c>
    </row>
    <row r="58" spans="1:23" x14ac:dyDescent="0.2">
      <c r="A58">
        <f t="shared" si="4"/>
        <v>140</v>
      </c>
      <c r="B58">
        <f>COUNTIF(表4[[#This Row],[列1]:[列20]],"&lt;&gt;")</f>
        <v>1</v>
      </c>
      <c r="C58" t="s">
        <v>442</v>
      </c>
      <c r="D58" t="s">
        <v>446</v>
      </c>
    </row>
    <row r="59" spans="1:23" x14ac:dyDescent="0.2">
      <c r="A59">
        <f t="shared" si="4"/>
        <v>141</v>
      </c>
      <c r="B59">
        <f>COUNTIF(表4[[#This Row],[列1]:[列20]],"&lt;&gt;")</f>
        <v>0</v>
      </c>
      <c r="C59" t="s">
        <v>450</v>
      </c>
    </row>
    <row r="60" spans="1:23" x14ac:dyDescent="0.2">
      <c r="A60">
        <f t="shared" si="4"/>
        <v>142</v>
      </c>
      <c r="B60">
        <f>COUNTIF(表4[[#This Row],[列1]:[列20]],"&lt;&gt;")</f>
        <v>0</v>
      </c>
      <c r="C60" t="s">
        <v>454</v>
      </c>
    </row>
    <row r="61" spans="1:23" x14ac:dyDescent="0.2">
      <c r="A61">
        <f t="shared" si="4"/>
        <v>143</v>
      </c>
      <c r="B61">
        <f>COUNTIF(表4[[#This Row],[列1]:[列20]],"&lt;&gt;")</f>
        <v>0</v>
      </c>
      <c r="C61" t="s">
        <v>458</v>
      </c>
    </row>
    <row r="62" spans="1:23" x14ac:dyDescent="0.2">
      <c r="A62">
        <f t="shared" si="4"/>
        <v>144</v>
      </c>
      <c r="B62">
        <f>COUNTIF(表4[[#This Row],[列1]:[列20]],"&lt;&gt;")</f>
        <v>0</v>
      </c>
      <c r="C62" t="s">
        <v>462</v>
      </c>
    </row>
    <row r="63" spans="1:23" x14ac:dyDescent="0.2">
      <c r="A63">
        <f t="shared" si="4"/>
        <v>145</v>
      </c>
      <c r="B63">
        <f>COUNTIF(表4[[#This Row],[列1]:[列20]],"&lt;&gt;")</f>
        <v>0</v>
      </c>
      <c r="C63" t="s">
        <v>466</v>
      </c>
    </row>
    <row r="64" spans="1:23" x14ac:dyDescent="0.2">
      <c r="A64">
        <f>A39+1</f>
        <v>138</v>
      </c>
      <c r="B64">
        <f>COUNTIF(表4[[#This Row],[列1]:[列20]],"&lt;&gt;")</f>
        <v>0</v>
      </c>
      <c r="C64" t="s">
        <v>470</v>
      </c>
    </row>
    <row r="65" spans="1:3" x14ac:dyDescent="0.2">
      <c r="A65">
        <f t="shared" ref="A65:A70" si="5">A64+1</f>
        <v>139</v>
      </c>
      <c r="B65">
        <f>COUNTIF(表4[[#This Row],[列1]:[列20]],"&lt;&gt;")</f>
        <v>0</v>
      </c>
      <c r="C65" t="s">
        <v>474</v>
      </c>
    </row>
    <row r="66" spans="1:3" x14ac:dyDescent="0.2">
      <c r="A66">
        <f t="shared" si="5"/>
        <v>140</v>
      </c>
      <c r="B66">
        <f>COUNTIF(表4[[#This Row],[列1]:[列20]],"&lt;&gt;")</f>
        <v>0</v>
      </c>
      <c r="C66" t="s">
        <v>478</v>
      </c>
    </row>
    <row r="67" spans="1:3" x14ac:dyDescent="0.2">
      <c r="A67">
        <f t="shared" si="5"/>
        <v>141</v>
      </c>
      <c r="B67">
        <f>COUNTIF(表4[[#This Row],[列1]:[列20]],"&lt;&gt;")</f>
        <v>0</v>
      </c>
      <c r="C67" t="s">
        <v>482</v>
      </c>
    </row>
    <row r="68" spans="1:3" x14ac:dyDescent="0.2">
      <c r="A68">
        <f t="shared" si="5"/>
        <v>142</v>
      </c>
      <c r="B68">
        <f>COUNTIF(表4[[#This Row],[列1]:[列20]],"&lt;&gt;")</f>
        <v>0</v>
      </c>
      <c r="C68" t="s">
        <v>486</v>
      </c>
    </row>
    <row r="69" spans="1:3" x14ac:dyDescent="0.2">
      <c r="A69">
        <f t="shared" si="5"/>
        <v>143</v>
      </c>
      <c r="B69">
        <f>COUNTIF(表4[[#This Row],[列1]:[列20]],"&lt;&gt;")</f>
        <v>0</v>
      </c>
      <c r="C69" t="s">
        <v>490</v>
      </c>
    </row>
    <row r="70" spans="1:3" x14ac:dyDescent="0.2">
      <c r="A70">
        <f t="shared" si="5"/>
        <v>144</v>
      </c>
      <c r="B70">
        <f>COUNTIF(表4[[#This Row],[列1]:[列20]],"&lt;&gt;")</f>
        <v>0</v>
      </c>
      <c r="C70" t="s">
        <v>494</v>
      </c>
    </row>
    <row r="71" spans="1:3" s="1" customFormat="1" x14ac:dyDescent="0.2">
      <c r="A71" s="3">
        <f>A27+1</f>
        <v>126</v>
      </c>
      <c r="B71" s="3">
        <f>COUNTIF(表4[[#This Row],[列1]:[列20]],"&lt;&gt;")</f>
        <v>0</v>
      </c>
      <c r="C71" s="1" t="s">
        <v>598</v>
      </c>
    </row>
    <row r="72" spans="1:3" s="1" customFormat="1" x14ac:dyDescent="0.2">
      <c r="A72" s="3">
        <f t="shared" ref="A72:A136" si="6">A71+1</f>
        <v>127</v>
      </c>
      <c r="B72" s="3">
        <f>COUNTIF(表4[[#This Row],[列1]:[列20]],"&lt;&gt;")</f>
        <v>0</v>
      </c>
      <c r="C72" s="1" t="s">
        <v>608</v>
      </c>
    </row>
    <row r="73" spans="1:3" s="1" customFormat="1" x14ac:dyDescent="0.2">
      <c r="A73" s="3">
        <f t="shared" si="6"/>
        <v>128</v>
      </c>
      <c r="B73" s="3">
        <f>COUNTIF(表4[[#This Row],[列1]:[列20]],"&lt;&gt;")</f>
        <v>0</v>
      </c>
      <c r="C73" s="1" t="s">
        <v>649</v>
      </c>
    </row>
    <row r="74" spans="1:3" s="1" customFormat="1" x14ac:dyDescent="0.2">
      <c r="A74" s="3">
        <f t="shared" si="6"/>
        <v>129</v>
      </c>
      <c r="B74" s="3">
        <f>COUNTIF(表4[[#This Row],[列1]:[列20]],"&lt;&gt;")</f>
        <v>0</v>
      </c>
      <c r="C74" s="1" t="s">
        <v>573</v>
      </c>
    </row>
    <row r="75" spans="1:3" s="1" customFormat="1" x14ac:dyDescent="0.2">
      <c r="A75" s="3">
        <f t="shared" si="6"/>
        <v>130</v>
      </c>
      <c r="B75" s="3">
        <f>COUNTIF(表4[[#This Row],[列1]:[列20]],"&lt;&gt;")</f>
        <v>0</v>
      </c>
      <c r="C75" s="1" t="s">
        <v>1755</v>
      </c>
    </row>
    <row r="76" spans="1:3" s="1" customFormat="1" x14ac:dyDescent="0.2">
      <c r="A76" s="3">
        <f t="shared" si="6"/>
        <v>131</v>
      </c>
      <c r="B76" s="3">
        <f>COUNTIF(表4[[#This Row],[列1]:[列20]],"&lt;&gt;")</f>
        <v>0</v>
      </c>
      <c r="C76" s="1" t="s">
        <v>1756</v>
      </c>
    </row>
    <row r="77" spans="1:3" s="1" customFormat="1" x14ac:dyDescent="0.2">
      <c r="A77" s="3">
        <f t="shared" si="6"/>
        <v>132</v>
      </c>
      <c r="B77" s="3">
        <f>COUNTIF(表4[[#This Row],[列1]:[列20]],"&lt;&gt;")</f>
        <v>0</v>
      </c>
      <c r="C77" s="1" t="s">
        <v>1005</v>
      </c>
    </row>
    <row r="78" spans="1:3" s="1" customFormat="1" x14ac:dyDescent="0.2">
      <c r="A78" s="3">
        <f t="shared" si="6"/>
        <v>133</v>
      </c>
      <c r="B78" s="3">
        <f>COUNTIF(表4[[#This Row],[列1]:[列20]],"&lt;&gt;")</f>
        <v>0</v>
      </c>
      <c r="C78" s="1" t="s">
        <v>1025</v>
      </c>
    </row>
    <row r="79" spans="1:3" s="1" customFormat="1" x14ac:dyDescent="0.2">
      <c r="A79" s="3">
        <f t="shared" si="6"/>
        <v>134</v>
      </c>
      <c r="B79" s="3">
        <f>COUNTIF(表4[[#This Row],[列1]:[列20]],"&lt;&gt;")</f>
        <v>0</v>
      </c>
      <c r="C79" s="1" t="s">
        <v>1047</v>
      </c>
    </row>
    <row r="80" spans="1:3" s="1" customFormat="1" x14ac:dyDescent="0.2">
      <c r="A80" s="3">
        <f t="shared" si="6"/>
        <v>135</v>
      </c>
      <c r="B80" s="3">
        <f>COUNTIF(表4[[#This Row],[列1]:[列20]],"&lt;&gt;")</f>
        <v>0</v>
      </c>
      <c r="C80" s="1" t="s">
        <v>1066</v>
      </c>
    </row>
    <row r="81" spans="1:23" s="1" customFormat="1" x14ac:dyDescent="0.2">
      <c r="A81" s="3">
        <f t="shared" si="6"/>
        <v>136</v>
      </c>
      <c r="B81" s="3">
        <f>COUNTIF(表4[[#This Row],[列1]:[列20]],"&lt;&gt;")</f>
        <v>0</v>
      </c>
      <c r="C81" s="1" t="s">
        <v>595</v>
      </c>
    </row>
    <row r="82" spans="1:23" s="1" customFormat="1" x14ac:dyDescent="0.2">
      <c r="A82" s="3">
        <f t="shared" si="6"/>
        <v>137</v>
      </c>
      <c r="B82" s="3">
        <f>COUNTIF(表4[[#This Row],[列1]:[列20]],"&lt;&gt;")</f>
        <v>0</v>
      </c>
      <c r="C82" s="1" t="s">
        <v>1087</v>
      </c>
    </row>
    <row r="83" spans="1:23" s="1" customFormat="1" x14ac:dyDescent="0.2">
      <c r="A83" s="3">
        <f t="shared" si="6"/>
        <v>138</v>
      </c>
      <c r="B83" s="3">
        <f>COUNTIF(表4[[#This Row],[列1]:[列20]],"&lt;&gt;")</f>
        <v>0</v>
      </c>
      <c r="C83" s="1" t="s">
        <v>1121</v>
      </c>
    </row>
    <row r="84" spans="1:23" s="1" customFormat="1" x14ac:dyDescent="0.2">
      <c r="A84" s="3">
        <f t="shared" si="6"/>
        <v>139</v>
      </c>
      <c r="B84" s="3">
        <f>COUNTIF(表4[[#This Row],[列1]:[列20]],"&lt;&gt;")</f>
        <v>0</v>
      </c>
      <c r="C84" s="1" t="s">
        <v>1177</v>
      </c>
    </row>
    <row r="85" spans="1:23" s="1" customFormat="1" x14ac:dyDescent="0.2">
      <c r="A85" s="3">
        <f t="shared" si="6"/>
        <v>140</v>
      </c>
      <c r="B85" s="3">
        <f>COUNTIF(表4[[#This Row],[列1]:[列20]],"&lt;&gt;")</f>
        <v>0</v>
      </c>
      <c r="C85" s="1" t="s">
        <v>1193</v>
      </c>
    </row>
    <row r="86" spans="1:23" s="1" customFormat="1" x14ac:dyDescent="0.2">
      <c r="A86" s="3">
        <f t="shared" si="6"/>
        <v>141</v>
      </c>
      <c r="B86" s="3">
        <f>COUNTIF(表4[[#This Row],[列1]:[列20]],"&lt;&gt;")</f>
        <v>0</v>
      </c>
      <c r="C86" s="1" t="s">
        <v>1200</v>
      </c>
    </row>
    <row r="87" spans="1:23" s="1" customFormat="1" x14ac:dyDescent="0.2">
      <c r="A87" s="3">
        <f t="shared" si="6"/>
        <v>142</v>
      </c>
      <c r="B87" s="3">
        <f>COUNTIF(表4[[#This Row],[列1]:[列20]],"&lt;&gt;")</f>
        <v>0</v>
      </c>
      <c r="C87" s="1" t="s">
        <v>1226</v>
      </c>
    </row>
    <row r="88" spans="1:23" s="1" customFormat="1" x14ac:dyDescent="0.2">
      <c r="A88" s="3">
        <f t="shared" si="6"/>
        <v>143</v>
      </c>
      <c r="B88" s="3">
        <f>COUNTIF(表4[[#This Row],[列1]:[列20]],"&lt;&gt;")</f>
        <v>0</v>
      </c>
      <c r="C88" s="1" t="s">
        <v>1230</v>
      </c>
    </row>
    <row r="89" spans="1:23" s="1" customFormat="1" x14ac:dyDescent="0.2">
      <c r="A89" s="3">
        <f t="shared" si="6"/>
        <v>144</v>
      </c>
      <c r="B89" s="3">
        <f>COUNTIF(表4[[#This Row],[列1]:[列20]],"&lt;&gt;")</f>
        <v>0</v>
      </c>
      <c r="C89" s="1" t="s">
        <v>546</v>
      </c>
    </row>
    <row r="90" spans="1:23" s="1" customFormat="1" x14ac:dyDescent="0.2">
      <c r="A90" s="2">
        <f t="shared" si="6"/>
        <v>145</v>
      </c>
      <c r="B90" s="2">
        <f>COUNTIF(表4[[#This Row],[列1]:[列20]],"&lt;&gt;")</f>
        <v>0</v>
      </c>
      <c r="C90" t="s">
        <v>556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s="1" customFormat="1" x14ac:dyDescent="0.2">
      <c r="A91" s="2">
        <f t="shared" si="6"/>
        <v>146</v>
      </c>
      <c r="B91" s="2">
        <f>COUNTIF(表4[[#This Row],[列1]:[列20]],"&lt;&gt;")</f>
        <v>0</v>
      </c>
      <c r="C91" t="s">
        <v>560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s="1" customFormat="1" x14ac:dyDescent="0.2">
      <c r="A92" s="2">
        <f t="shared" si="6"/>
        <v>147</v>
      </c>
      <c r="B92" s="2">
        <f>COUNTIF(表4[[#This Row],[列1]:[列20]],"&lt;&gt;")</f>
        <v>0</v>
      </c>
      <c r="C92" t="s">
        <v>564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s="1" customFormat="1" x14ac:dyDescent="0.2">
      <c r="A93" s="2">
        <f t="shared" si="6"/>
        <v>148</v>
      </c>
      <c r="B93" s="2">
        <f>COUNTIF(表4[[#This Row],[列1]:[列20]],"&lt;&gt;")</f>
        <v>0</v>
      </c>
      <c r="C93" t="s">
        <v>569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s="1" customFormat="1" x14ac:dyDescent="0.2">
      <c r="A94" s="2">
        <f t="shared" si="6"/>
        <v>149</v>
      </c>
      <c r="B94" s="2">
        <f>COUNTIF(表4[[#This Row],[列1]:[列20]],"&lt;&gt;")</f>
        <v>0</v>
      </c>
      <c r="C94" t="s">
        <v>573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s="1" customFormat="1" x14ac:dyDescent="0.2">
      <c r="A95" s="3">
        <f t="shared" si="6"/>
        <v>150</v>
      </c>
      <c r="B95" s="3">
        <f>COUNTIF(表4[[#This Row],[列1]:[列20]],"&lt;&gt;")</f>
        <v>0</v>
      </c>
      <c r="C95" s="1" t="s">
        <v>618</v>
      </c>
    </row>
    <row r="96" spans="1:23" s="1" customFormat="1" x14ac:dyDescent="0.2">
      <c r="A96" s="2">
        <f t="shared" si="6"/>
        <v>151</v>
      </c>
      <c r="B96" s="2">
        <f>COUNTIF(表4[[#This Row],[列1]:[列20]],"&lt;&gt;")</f>
        <v>0</v>
      </c>
      <c r="C96" t="s">
        <v>645</v>
      </c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s="1" customFormat="1" x14ac:dyDescent="0.2">
      <c r="A97" s="3">
        <f t="shared" si="6"/>
        <v>152</v>
      </c>
      <c r="B97" s="3">
        <f>COUNTIF(表4[[#This Row],[列1]:[列20]],"&lt;&gt;")</f>
        <v>0</v>
      </c>
      <c r="C97" s="1" t="s">
        <v>1757</v>
      </c>
    </row>
    <row r="98" spans="1:23" s="1" customFormat="1" x14ac:dyDescent="0.2">
      <c r="A98" s="2">
        <f t="shared" si="6"/>
        <v>153</v>
      </c>
      <c r="B98" s="2">
        <f>COUNTIF(表4[[#This Row],[列1]:[列20]],"&lt;&gt;")</f>
        <v>0</v>
      </c>
      <c r="C98" t="s">
        <v>705</v>
      </c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">
      <c r="A99" s="2">
        <f t="shared" si="6"/>
        <v>154</v>
      </c>
      <c r="B99" s="2">
        <f>COUNTIF(表4[[#This Row],[列1]:[列20]],"&lt;&gt;")</f>
        <v>0</v>
      </c>
      <c r="C99" t="s">
        <v>709</v>
      </c>
    </row>
    <row r="100" spans="1:23" x14ac:dyDescent="0.2">
      <c r="A100" s="2">
        <f t="shared" si="6"/>
        <v>155</v>
      </c>
      <c r="B100" s="2">
        <f>COUNTIF(表4[[#This Row],[列1]:[列20]],"&lt;&gt;")</f>
        <v>0</v>
      </c>
      <c r="C100" t="s">
        <v>717</v>
      </c>
    </row>
    <row r="101" spans="1:23" x14ac:dyDescent="0.2">
      <c r="A101" s="2">
        <f t="shared" si="6"/>
        <v>156</v>
      </c>
      <c r="B101" s="2">
        <f>COUNTIF(表4[[#This Row],[列1]:[列20]],"&lt;&gt;")</f>
        <v>0</v>
      </c>
      <c r="C101" t="s">
        <v>721</v>
      </c>
    </row>
    <row r="102" spans="1:23" x14ac:dyDescent="0.2">
      <c r="A102" s="2">
        <f t="shared" si="6"/>
        <v>157</v>
      </c>
      <c r="B102" s="2">
        <f>COUNTIF(表4[[#This Row],[列1]:[列20]],"&lt;&gt;")</f>
        <v>0</v>
      </c>
      <c r="C102" t="s">
        <v>734</v>
      </c>
    </row>
    <row r="103" spans="1:23" x14ac:dyDescent="0.2">
      <c r="A103" s="3">
        <f t="shared" si="6"/>
        <v>158</v>
      </c>
      <c r="B103" s="3">
        <f>COUNTIF(表4[[#This Row],[列1]:[列20]],"&lt;&gt;")</f>
        <v>0</v>
      </c>
      <c r="C103" s="1" t="s">
        <v>886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:23" x14ac:dyDescent="0.2">
      <c r="A104" s="2">
        <f>A103+1</f>
        <v>159</v>
      </c>
      <c r="B104" s="2">
        <f>COUNTIF(表4[[#This Row],[列1]:[列20]],"&lt;&gt;")</f>
        <v>7</v>
      </c>
      <c r="C104" t="s">
        <v>1797</v>
      </c>
      <c r="D104" s="5" t="s">
        <v>1790</v>
      </c>
      <c r="E104" s="7" t="s">
        <v>1792</v>
      </c>
      <c r="F104" s="6" t="s">
        <v>1793</v>
      </c>
      <c r="G104" s="7" t="s">
        <v>1787</v>
      </c>
      <c r="H104" s="7" t="s">
        <v>1795</v>
      </c>
      <c r="I104" s="7" t="s">
        <v>1796</v>
      </c>
      <c r="J104" s="6" t="s">
        <v>1786</v>
      </c>
    </row>
    <row r="105" spans="1:23" s="1" customFormat="1" x14ac:dyDescent="0.2">
      <c r="A105" s="2">
        <f>A103+1</f>
        <v>159</v>
      </c>
      <c r="B105" s="2">
        <f>COUNTIF(表4[[#This Row],[列1]:[列20]],"&lt;&gt;")</f>
        <v>0</v>
      </c>
      <c r="C105" t="s">
        <v>934</v>
      </c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">
      <c r="A106" s="2">
        <f t="shared" si="6"/>
        <v>160</v>
      </c>
      <c r="B106" s="2">
        <f>COUNTIF(表4[[#This Row],[列1]:[列20]],"&lt;&gt;")</f>
        <v>0</v>
      </c>
      <c r="C106" t="s">
        <v>937</v>
      </c>
    </row>
    <row r="107" spans="1:23" s="1" customFormat="1" x14ac:dyDescent="0.2">
      <c r="A107" s="2">
        <f t="shared" si="6"/>
        <v>161</v>
      </c>
      <c r="B107" s="2">
        <f>COUNTIF(表4[[#This Row],[列1]:[列20]],"&lt;&gt;")</f>
        <v>0</v>
      </c>
      <c r="C107" t="s">
        <v>942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">
      <c r="A108" s="2">
        <f t="shared" si="6"/>
        <v>162</v>
      </c>
      <c r="B108" s="2">
        <f>COUNTIF(表4[[#This Row],[列1]:[列20]],"&lt;&gt;")</f>
        <v>0</v>
      </c>
      <c r="C108" t="s">
        <v>945</v>
      </c>
    </row>
    <row r="109" spans="1:23" x14ac:dyDescent="0.2">
      <c r="A109" s="2">
        <f t="shared" si="6"/>
        <v>163</v>
      </c>
      <c r="B109" s="2">
        <f>COUNTIF(表4[[#This Row],[列1]:[列20]],"&lt;&gt;")</f>
        <v>0</v>
      </c>
      <c r="C109" t="s">
        <v>949</v>
      </c>
    </row>
    <row r="110" spans="1:23" x14ac:dyDescent="0.2">
      <c r="A110" s="2">
        <f t="shared" si="6"/>
        <v>164</v>
      </c>
      <c r="B110" s="2">
        <f>COUNTIF(表4[[#This Row],[列1]:[列20]],"&lt;&gt;")</f>
        <v>0</v>
      </c>
      <c r="C110" t="s">
        <v>952</v>
      </c>
    </row>
    <row r="111" spans="1:23" x14ac:dyDescent="0.2">
      <c r="A111" s="2">
        <f t="shared" si="6"/>
        <v>165</v>
      </c>
      <c r="B111" s="2">
        <f>COUNTIF(表4[[#This Row],[列1]:[列20]],"&lt;&gt;")</f>
        <v>0</v>
      </c>
      <c r="C111" t="s">
        <v>955</v>
      </c>
    </row>
    <row r="112" spans="1:23" x14ac:dyDescent="0.2">
      <c r="A112" s="2">
        <f t="shared" si="6"/>
        <v>166</v>
      </c>
      <c r="B112" s="2">
        <f>COUNTIF(表4[[#This Row],[列1]:[列20]],"&lt;&gt;")</f>
        <v>0</v>
      </c>
      <c r="C112" t="s">
        <v>956</v>
      </c>
    </row>
    <row r="113" spans="1:23" s="1" customFormat="1" x14ac:dyDescent="0.2">
      <c r="A113" s="2">
        <f t="shared" si="6"/>
        <v>167</v>
      </c>
      <c r="B113" s="2">
        <f>COUNTIF(表4[[#This Row],[列1]:[列20]],"&lt;&gt;")</f>
        <v>0</v>
      </c>
      <c r="C113" t="s">
        <v>962</v>
      </c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">
      <c r="A114" s="2">
        <f t="shared" si="6"/>
        <v>168</v>
      </c>
      <c r="B114" s="2">
        <f>COUNTIF(表4[[#This Row],[列1]:[列20]],"&lt;&gt;")</f>
        <v>0</v>
      </c>
      <c r="C114" t="s">
        <v>966</v>
      </c>
    </row>
    <row r="115" spans="1:23" x14ac:dyDescent="0.2">
      <c r="A115" s="2">
        <f t="shared" si="6"/>
        <v>169</v>
      </c>
      <c r="B115" s="2">
        <f>COUNTIF(表4[[#This Row],[列1]:[列20]],"&lt;&gt;")</f>
        <v>0</v>
      </c>
      <c r="C115" t="s">
        <v>969</v>
      </c>
    </row>
    <row r="116" spans="1:23" x14ac:dyDescent="0.2">
      <c r="A116" s="2">
        <f t="shared" si="6"/>
        <v>170</v>
      </c>
      <c r="B116" s="2">
        <f>COUNTIF(表4[[#This Row],[列1]:[列20]],"&lt;&gt;")</f>
        <v>0</v>
      </c>
      <c r="C116" t="s">
        <v>972</v>
      </c>
    </row>
    <row r="117" spans="1:23" x14ac:dyDescent="0.2">
      <c r="A117" s="2">
        <f t="shared" si="6"/>
        <v>171</v>
      </c>
      <c r="B117" s="2">
        <f>COUNTIF(表4[[#This Row],[列1]:[列20]],"&lt;&gt;")</f>
        <v>0</v>
      </c>
      <c r="C117" t="s">
        <v>975</v>
      </c>
    </row>
    <row r="118" spans="1:23" x14ac:dyDescent="0.2">
      <c r="A118" s="2">
        <f t="shared" si="6"/>
        <v>172</v>
      </c>
      <c r="B118" s="2">
        <f>COUNTIF(表4[[#This Row],[列1]:[列20]],"&lt;&gt;")</f>
        <v>0</v>
      </c>
      <c r="C118" t="s">
        <v>978</v>
      </c>
    </row>
    <row r="119" spans="1:23" x14ac:dyDescent="0.2">
      <c r="A119" s="2">
        <f t="shared" si="6"/>
        <v>173</v>
      </c>
      <c r="B119" s="2">
        <f>COUNTIF(表4[[#This Row],[列1]:[列20]],"&lt;&gt;")</f>
        <v>0</v>
      </c>
      <c r="C119" t="s">
        <v>981</v>
      </c>
    </row>
    <row r="120" spans="1:23" x14ac:dyDescent="0.2">
      <c r="A120" s="2">
        <f t="shared" si="6"/>
        <v>174</v>
      </c>
      <c r="B120" s="2">
        <f>COUNTIF(表4[[#This Row],[列1]:[列20]],"&lt;&gt;")</f>
        <v>0</v>
      </c>
      <c r="C120" t="s">
        <v>986</v>
      </c>
    </row>
    <row r="121" spans="1:23" x14ac:dyDescent="0.2">
      <c r="A121" s="2">
        <f>A119+1</f>
        <v>174</v>
      </c>
      <c r="B121" s="2">
        <f>COUNTIF(表4[[#This Row],[列1]:[列20]],"&lt;&gt;")</f>
        <v>0</v>
      </c>
      <c r="C121" t="s">
        <v>989</v>
      </c>
    </row>
    <row r="122" spans="1:23" x14ac:dyDescent="0.2">
      <c r="A122" s="3">
        <f t="shared" si="6"/>
        <v>175</v>
      </c>
      <c r="B122" s="3">
        <f>COUNTIF(表4[[#This Row],[列1]:[列20]],"&lt;&gt;")</f>
        <v>0</v>
      </c>
      <c r="C122" s="1" t="s">
        <v>999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x14ac:dyDescent="0.2">
      <c r="A123" s="2">
        <f t="shared" si="6"/>
        <v>176</v>
      </c>
      <c r="B123" s="2">
        <f>COUNTIF(表4[[#This Row],[列1]:[列20]],"&lt;&gt;")</f>
        <v>0</v>
      </c>
      <c r="C123" t="s">
        <v>996</v>
      </c>
    </row>
    <row r="124" spans="1:23" x14ac:dyDescent="0.2">
      <c r="A124" s="3">
        <f t="shared" si="6"/>
        <v>177</v>
      </c>
      <c r="B124" s="3">
        <f>COUNTIF(表4[[#This Row],[列1]:[列20]],"&lt;&gt;")</f>
        <v>0</v>
      </c>
      <c r="C124" s="1" t="s">
        <v>1033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x14ac:dyDescent="0.2">
      <c r="A125" s="2">
        <f t="shared" si="6"/>
        <v>178</v>
      </c>
      <c r="B125" s="2">
        <f>COUNTIF(表4[[#This Row],[列1]:[列20]],"&lt;&gt;")</f>
        <v>0</v>
      </c>
      <c r="C125" t="s">
        <v>1036</v>
      </c>
    </row>
    <row r="126" spans="1:23" x14ac:dyDescent="0.2">
      <c r="A126" s="2">
        <f t="shared" si="6"/>
        <v>179</v>
      </c>
      <c r="B126" s="2">
        <f>COUNTIF(表4[[#This Row],[列1]:[列20]],"&lt;&gt;")</f>
        <v>0</v>
      </c>
      <c r="C126" t="s">
        <v>986</v>
      </c>
    </row>
    <row r="127" spans="1:23" x14ac:dyDescent="0.2">
      <c r="A127" s="2">
        <f t="shared" si="6"/>
        <v>180</v>
      </c>
      <c r="B127" s="2">
        <f>COUNTIF(表4[[#This Row],[列1]:[列20]],"&lt;&gt;")</f>
        <v>0</v>
      </c>
      <c r="C127" t="s">
        <v>1043</v>
      </c>
    </row>
    <row r="128" spans="1:23" x14ac:dyDescent="0.2">
      <c r="A128" s="3">
        <f t="shared" si="6"/>
        <v>181</v>
      </c>
      <c r="B128" s="3">
        <f>COUNTIF(表4[[#This Row],[列1]:[列20]],"&lt;&gt;")</f>
        <v>0</v>
      </c>
      <c r="C128" s="1" t="s">
        <v>556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x14ac:dyDescent="0.2">
      <c r="A129" s="2">
        <f t="shared" si="6"/>
        <v>182</v>
      </c>
      <c r="B129" s="2">
        <f>COUNTIF(表4[[#This Row],[列1]:[列20]],"&lt;&gt;")</f>
        <v>0</v>
      </c>
      <c r="C129" t="s">
        <v>1148</v>
      </c>
    </row>
    <row r="130" spans="1:23" x14ac:dyDescent="0.2">
      <c r="A130" s="2">
        <f t="shared" si="6"/>
        <v>183</v>
      </c>
      <c r="B130" s="2">
        <f>COUNTIF(表4[[#This Row],[列1]:[列20]],"&lt;&gt;")</f>
        <v>0</v>
      </c>
      <c r="C130" t="s">
        <v>1166</v>
      </c>
    </row>
    <row r="131" spans="1:23" s="1" customFormat="1" x14ac:dyDescent="0.2">
      <c r="A131" s="2">
        <f t="shared" si="6"/>
        <v>184</v>
      </c>
      <c r="B131" s="2">
        <f>COUNTIF(表4[[#This Row],[列1]:[列20]],"&lt;&gt;")</f>
        <v>0</v>
      </c>
      <c r="C131" t="s">
        <v>1170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">
      <c r="A132" s="2">
        <f t="shared" si="6"/>
        <v>185</v>
      </c>
      <c r="B132" s="2">
        <f>COUNTIF(表4[[#This Row],[列1]:[列20]],"&lt;&gt;")</f>
        <v>0</v>
      </c>
      <c r="C132" t="s">
        <v>1173</v>
      </c>
    </row>
    <row r="133" spans="1:23" s="1" customFormat="1" x14ac:dyDescent="0.2">
      <c r="A133" s="3">
        <f t="shared" si="6"/>
        <v>186</v>
      </c>
      <c r="B133" s="3">
        <f>COUNTIF(表4[[#This Row],[列1]:[列20]],"&lt;&gt;")</f>
        <v>0</v>
      </c>
      <c r="C133" s="1" t="s">
        <v>1257</v>
      </c>
    </row>
    <row r="134" spans="1:23" x14ac:dyDescent="0.2">
      <c r="A134" s="2">
        <f t="shared" si="6"/>
        <v>187</v>
      </c>
      <c r="B134" s="2">
        <f>COUNTIF(表4[[#This Row],[列1]:[列20]],"&lt;&gt;")</f>
        <v>0</v>
      </c>
      <c r="C134" t="s">
        <v>1261</v>
      </c>
    </row>
    <row r="135" spans="1:23" x14ac:dyDescent="0.2">
      <c r="A135" s="2">
        <f t="shared" si="6"/>
        <v>188</v>
      </c>
      <c r="B135" s="2">
        <f>COUNTIF(表4[[#This Row],[列1]:[列20]],"&lt;&gt;")</f>
        <v>0</v>
      </c>
      <c r="C135" t="s">
        <v>1278</v>
      </c>
    </row>
    <row r="136" spans="1:23" x14ac:dyDescent="0.2">
      <c r="A136" s="2">
        <f t="shared" si="6"/>
        <v>189</v>
      </c>
      <c r="B136" s="2">
        <f>COUNTIF(表4[[#This Row],[列1]:[列20]],"&lt;&gt;")</f>
        <v>0</v>
      </c>
      <c r="C136" t="s">
        <v>1282</v>
      </c>
    </row>
    <row r="137" spans="1:23" s="1" customFormat="1" x14ac:dyDescent="0.2">
      <c r="A137" s="3">
        <f t="shared" ref="A137:A150" si="7">A136+1</f>
        <v>190</v>
      </c>
      <c r="B137" s="3">
        <f>COUNTIF(表4[[#This Row],[列1]:[列20]],"&lt;&gt;")</f>
        <v>0</v>
      </c>
      <c r="C137" s="1" t="s">
        <v>1283</v>
      </c>
    </row>
    <row r="138" spans="1:23" x14ac:dyDescent="0.2">
      <c r="A138" s="2">
        <f t="shared" si="7"/>
        <v>191</v>
      </c>
      <c r="B138" s="2">
        <f>COUNTIF(表4[[#This Row],[列1]:[列20]],"&lt;&gt;")</f>
        <v>0</v>
      </c>
      <c r="C138" t="s">
        <v>1261</v>
      </c>
    </row>
    <row r="139" spans="1:23" x14ac:dyDescent="0.2">
      <c r="A139" s="2">
        <f t="shared" si="7"/>
        <v>192</v>
      </c>
      <c r="B139" s="2">
        <f>COUNTIF(表4[[#This Row],[列1]:[列20]],"&lt;&gt;")</f>
        <v>4</v>
      </c>
      <c r="C139" t="s">
        <v>1033</v>
      </c>
      <c r="D139" s="4" t="s">
        <v>1301</v>
      </c>
      <c r="E139" s="4" t="s">
        <v>1313</v>
      </c>
      <c r="F139" s="4" t="s">
        <v>1325</v>
      </c>
      <c r="G139" s="5" t="s">
        <v>1261</v>
      </c>
    </row>
    <row r="140" spans="1:23" x14ac:dyDescent="0.2">
      <c r="A140" s="2">
        <f t="shared" si="7"/>
        <v>193</v>
      </c>
      <c r="B140" s="2">
        <f>COUNTIF(表4[[#This Row],[列1]:[列20]],"&lt;&gt;")</f>
        <v>4</v>
      </c>
      <c r="C140" t="s">
        <v>1528</v>
      </c>
      <c r="D140" t="s">
        <v>1261</v>
      </c>
      <c r="E140" t="s">
        <v>1550</v>
      </c>
      <c r="F140" t="s">
        <v>1553</v>
      </c>
      <c r="G140" t="s">
        <v>1561</v>
      </c>
    </row>
    <row r="141" spans="1:23" x14ac:dyDescent="0.2">
      <c r="A141" s="2">
        <f t="shared" si="7"/>
        <v>194</v>
      </c>
      <c r="B141" s="2">
        <f>COUNTIF(表4[[#This Row],[列1]:[列20]],"&lt;&gt;")</f>
        <v>3</v>
      </c>
      <c r="C141" t="s">
        <v>1626</v>
      </c>
      <c r="D141" t="s">
        <v>1631</v>
      </c>
      <c r="E141" t="s">
        <v>1170</v>
      </c>
      <c r="F141" t="s">
        <v>1640</v>
      </c>
    </row>
    <row r="142" spans="1:23" s="1" customFormat="1" x14ac:dyDescent="0.2">
      <c r="A142" s="3">
        <f t="shared" si="7"/>
        <v>195</v>
      </c>
      <c r="B142" s="3">
        <f>COUNTIF(表4[[#This Row],[列1]:[列20]],"&lt;&gt;")</f>
        <v>0</v>
      </c>
      <c r="C142" s="1" t="s">
        <v>1641</v>
      </c>
    </row>
    <row r="143" spans="1:23" x14ac:dyDescent="0.2">
      <c r="A143" s="2">
        <f t="shared" si="7"/>
        <v>196</v>
      </c>
      <c r="B143" s="2">
        <f>COUNTIF(表4[[#This Row],[列1]:[列20]],"&lt;&gt;")</f>
        <v>0</v>
      </c>
      <c r="C143" t="s">
        <v>1644</v>
      </c>
    </row>
    <row r="144" spans="1:23" x14ac:dyDescent="0.2">
      <c r="A144" s="2">
        <f t="shared" si="7"/>
        <v>197</v>
      </c>
      <c r="B144" s="2">
        <f>COUNTIF(表4[[#This Row],[列1]:[列20]],"&lt;&gt;")</f>
        <v>0</v>
      </c>
      <c r="C144" t="s">
        <v>1647</v>
      </c>
    </row>
    <row r="145" spans="1:23" x14ac:dyDescent="0.2">
      <c r="A145" s="2">
        <f t="shared" si="7"/>
        <v>198</v>
      </c>
      <c r="B145" s="2">
        <f>COUNTIF(表4[[#This Row],[列1]:[列20]],"&lt;&gt;")</f>
        <v>0</v>
      </c>
      <c r="C145" t="s">
        <v>1650</v>
      </c>
    </row>
    <row r="146" spans="1:23" s="1" customFormat="1" x14ac:dyDescent="0.2">
      <c r="A146" s="2">
        <f t="shared" si="7"/>
        <v>199</v>
      </c>
      <c r="B146" s="2">
        <f>COUNTIF(表4[[#This Row],[列1]:[列20]],"&lt;&gt;")</f>
        <v>0</v>
      </c>
      <c r="C146" t="s">
        <v>1653</v>
      </c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">
      <c r="A147" s="2">
        <f t="shared" si="7"/>
        <v>200</v>
      </c>
      <c r="B147" s="2">
        <f>COUNTIF(表4[[#This Row],[列1]:[列20]],"&lt;&gt;")</f>
        <v>0</v>
      </c>
      <c r="C147" t="s">
        <v>1656</v>
      </c>
    </row>
    <row r="148" spans="1:23" x14ac:dyDescent="0.2">
      <c r="A148" s="2">
        <f t="shared" si="7"/>
        <v>201</v>
      </c>
      <c r="B148" s="2">
        <f>COUNTIF(表4[[#This Row],[列1]:[列20]],"&lt;&gt;")</f>
        <v>0</v>
      </c>
      <c r="C148" t="s">
        <v>1659</v>
      </c>
    </row>
    <row r="149" spans="1:23" x14ac:dyDescent="0.2">
      <c r="A149" s="2">
        <f t="shared" si="7"/>
        <v>202</v>
      </c>
      <c r="B149" s="2">
        <f>COUNTIF(表4[[#This Row],[列1]:[列20]],"&lt;&gt;")</f>
        <v>0</v>
      </c>
      <c r="C149" t="s">
        <v>1662</v>
      </c>
    </row>
    <row r="150" spans="1:23" x14ac:dyDescent="0.2">
      <c r="A150" s="2">
        <f t="shared" si="7"/>
        <v>203</v>
      </c>
      <c r="B150" s="2">
        <f>COUNTIF(表4[[#This Row],[列1]:[列20]],"&lt;&gt;")</f>
        <v>0</v>
      </c>
      <c r="C150" t="s">
        <v>1663</v>
      </c>
    </row>
  </sheetData>
  <phoneticPr fontId="1" type="noConversion"/>
  <dataValidations disablePrompts="1" count="1">
    <dataValidation type="list" allowBlank="1" showInputMessage="1" showErrorMessage="1" sqref="E104:J104 D141:F141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网址</vt:lpstr>
      <vt:lpstr>Sheet1</vt:lpstr>
      <vt:lpstr>版层分类</vt:lpstr>
      <vt:lpstr>首次要关键词</vt:lpstr>
      <vt:lpstr>重点关键词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2021-04-03T18:32:49Z</dcterms:modified>
</cp:coreProperties>
</file>