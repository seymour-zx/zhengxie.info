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Workspace\html\zhengxie.info\common\py\csv\"/>
    </mc:Choice>
  </mc:AlternateContent>
  <xr:revisionPtr revIDLastSave="0" documentId="13_ncr:1_{C2ED0EC0-7FC6-4398-A771-13236D49A47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网址列表" sheetId="1" r:id="rId1"/>
    <sheet name="Sheet7" sheetId="8" state="hidden" r:id="rId2"/>
    <sheet name="Sheet2" sheetId="3" state="hidden" r:id="rId3"/>
    <sheet name="首次要关键词" sheetId="2" r:id="rId4"/>
    <sheet name="重点关键词" sheetId="4" r:id="rId5"/>
  </sheets>
  <definedNames>
    <definedName name="_xlnm._FilterDatabase" localSheetId="4" hidden="1">重点关键词!$A$1:$AK$1600</definedName>
    <definedName name="次要关键词">OFFSET(首次要关键词!$A$1,MATCH(网址列表!$J1,首次要关键词!$A$2:$A$33,0),3,1,OFFSET(首次要关键词!$A$1,MATCH(网址列表!$J1,首次要关键词!$A$2:$A$33,0),2,1,1))</definedName>
    <definedName name="次要关键词数量">表_首次要关键词[次要关键词数量]</definedName>
    <definedName name="首要关键词">OFFSET(首次要关键词!$A$1,1,0,COUNTIF(表_首次要关键词[首要关键词],"&lt;&gt;"),1)</definedName>
    <definedName name="首要关键词排序">表_首次要关键词[排序]</definedName>
    <definedName name="重点关键词">OFFSET(重点关键词!$A$1,MATCH(网址列表!$J2,首要关键词,0)*50-48,MATCH(网址列表!$K2,次要关键词,0),重点关键词数量,1)</definedName>
    <definedName name="重点关键词数量">OFFSET(重点关键词!$A$1,MATCH(网址列表!$J1,首要关键词,0)*50-49,MATCH(网址列表!$K1,次要关键词,0),1,1)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0" i="1" l="1"/>
  <c r="E181" i="1"/>
  <c r="E337" i="1"/>
  <c r="B577" i="1"/>
  <c r="C577" i="1"/>
  <c r="D577" i="1"/>
  <c r="B576" i="1"/>
  <c r="C576" i="1"/>
  <c r="D576" i="1"/>
  <c r="B575" i="1"/>
  <c r="C575" i="1"/>
  <c r="D575" i="1"/>
  <c r="B574" i="1"/>
  <c r="C574" i="1"/>
  <c r="D574" i="1"/>
  <c r="B573" i="1"/>
  <c r="C573" i="1"/>
  <c r="D573" i="1"/>
  <c r="B166" i="1"/>
  <c r="D166" i="1"/>
  <c r="B350" i="1"/>
  <c r="C350" i="1"/>
  <c r="D350" i="1"/>
  <c r="B351" i="1"/>
  <c r="C351" i="1"/>
  <c r="D351" i="1"/>
  <c r="B352" i="1"/>
  <c r="C352" i="1"/>
  <c r="D352" i="1"/>
  <c r="B353" i="1"/>
  <c r="C353" i="1"/>
  <c r="D353" i="1"/>
  <c r="B354" i="1"/>
  <c r="C354" i="1"/>
  <c r="D354" i="1"/>
  <c r="B355" i="1"/>
  <c r="C355" i="1"/>
  <c r="D355" i="1"/>
  <c r="B356" i="1"/>
  <c r="C356" i="1"/>
  <c r="D356" i="1"/>
  <c r="E357" i="1" s="1"/>
  <c r="C357" i="1"/>
  <c r="D357" i="1"/>
  <c r="E358" i="1" s="1"/>
  <c r="C358" i="1"/>
  <c r="D358" i="1"/>
  <c r="C359" i="1"/>
  <c r="D359" i="1"/>
  <c r="C360" i="1"/>
  <c r="D360" i="1"/>
  <c r="C361" i="1"/>
  <c r="D361" i="1"/>
  <c r="C362" i="1"/>
  <c r="D362" i="1"/>
  <c r="C363" i="1"/>
  <c r="D363" i="1"/>
  <c r="C364" i="1"/>
  <c r="D364" i="1"/>
  <c r="C365" i="1"/>
  <c r="D365" i="1"/>
  <c r="E366" i="1" s="1"/>
  <c r="C366" i="1"/>
  <c r="D366" i="1"/>
  <c r="D367" i="1"/>
  <c r="D368" i="1"/>
  <c r="D369" i="1"/>
  <c r="D370" i="1"/>
  <c r="D371" i="1"/>
  <c r="D372" i="1"/>
  <c r="D373" i="1"/>
  <c r="D374" i="1"/>
  <c r="C375" i="1"/>
  <c r="D375" i="1"/>
  <c r="C376" i="1"/>
  <c r="D376" i="1"/>
  <c r="C377" i="1"/>
  <c r="D377" i="1"/>
  <c r="C378" i="1"/>
  <c r="D378" i="1"/>
  <c r="C379" i="1"/>
  <c r="D379" i="1"/>
  <c r="C380" i="1"/>
  <c r="D380" i="1"/>
  <c r="E381" i="1" s="1"/>
  <c r="C381" i="1"/>
  <c r="D381" i="1"/>
  <c r="E382" i="1" s="1"/>
  <c r="C382" i="1"/>
  <c r="D382" i="1"/>
  <c r="E383" i="1" s="1"/>
  <c r="E384" i="1" s="1"/>
  <c r="E385" i="1" s="1"/>
  <c r="C383" i="1"/>
  <c r="D383" i="1"/>
  <c r="C384" i="1"/>
  <c r="D384" i="1"/>
  <c r="C385" i="1"/>
  <c r="D385" i="1"/>
  <c r="E386" i="1" s="1"/>
  <c r="C386" i="1"/>
  <c r="D386" i="1"/>
  <c r="C387" i="1"/>
  <c r="D387" i="1"/>
  <c r="C388" i="1"/>
  <c r="D388" i="1"/>
  <c r="C389" i="1"/>
  <c r="D389" i="1"/>
  <c r="C390" i="1"/>
  <c r="D390" i="1"/>
  <c r="E391" i="1" s="1"/>
  <c r="C391" i="1"/>
  <c r="D391" i="1"/>
  <c r="E392" i="1" s="1"/>
  <c r="C392" i="1"/>
  <c r="D392" i="1"/>
  <c r="C393" i="1"/>
  <c r="D393" i="1"/>
  <c r="C394" i="1"/>
  <c r="D394" i="1"/>
  <c r="C395" i="1"/>
  <c r="D395" i="1"/>
  <c r="C396" i="1"/>
  <c r="D396" i="1"/>
  <c r="C397" i="1"/>
  <c r="D397" i="1"/>
  <c r="C398" i="1"/>
  <c r="D398" i="1"/>
  <c r="C399" i="1"/>
  <c r="D399" i="1"/>
  <c r="C400" i="1"/>
  <c r="D400" i="1"/>
  <c r="E401" i="1" s="1"/>
  <c r="C401" i="1"/>
  <c r="D401" i="1"/>
  <c r="E402" i="1" s="1"/>
  <c r="D402" i="1"/>
  <c r="D403" i="1"/>
  <c r="D404" i="1"/>
  <c r="D405" i="1"/>
  <c r="D406" i="1"/>
  <c r="D407" i="1"/>
  <c r="D408" i="1"/>
  <c r="D409" i="1"/>
  <c r="B410" i="1"/>
  <c r="C410" i="1"/>
  <c r="D410" i="1"/>
  <c r="B411" i="1"/>
  <c r="D411" i="1"/>
  <c r="B412" i="1"/>
  <c r="D412" i="1"/>
  <c r="B413" i="1"/>
  <c r="D413" i="1"/>
  <c r="B414" i="1"/>
  <c r="D414" i="1"/>
  <c r="B415" i="1"/>
  <c r="D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D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D559" i="1"/>
  <c r="B560" i="1"/>
  <c r="B561" i="1"/>
  <c r="B562" i="1"/>
  <c r="B563" i="1"/>
  <c r="C563" i="1"/>
  <c r="D563" i="1"/>
  <c r="D564" i="1"/>
  <c r="B570" i="1"/>
  <c r="B33" i="2"/>
  <c r="B564" i="1" s="1"/>
  <c r="B26" i="2"/>
  <c r="B27" i="2" s="1"/>
  <c r="B382" i="1" s="1"/>
  <c r="B24" i="2"/>
  <c r="B25" i="2" s="1"/>
  <c r="B366" i="1" s="1"/>
  <c r="B21" i="2"/>
  <c r="B22" i="2" s="1"/>
  <c r="B16" i="2"/>
  <c r="B17" i="2" s="1"/>
  <c r="B18" i="2" s="1"/>
  <c r="B13" i="2"/>
  <c r="B14" i="2" s="1"/>
  <c r="B10" i="2"/>
  <c r="B11" i="2" s="1"/>
  <c r="B6" i="2"/>
  <c r="B7" i="2" s="1"/>
  <c r="B3" i="2"/>
  <c r="B92" i="1" s="1"/>
  <c r="D2" i="1"/>
  <c r="D87" i="1"/>
  <c r="E88" i="1" s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22" i="1"/>
  <c r="D123" i="1"/>
  <c r="D124" i="1"/>
  <c r="D125" i="1"/>
  <c r="D126" i="1"/>
  <c r="D128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E162" i="1" s="1"/>
  <c r="D162" i="1"/>
  <c r="D163" i="1"/>
  <c r="D164" i="1"/>
  <c r="D165" i="1"/>
  <c r="D167" i="1"/>
  <c r="D168" i="1"/>
  <c r="D169" i="1"/>
  <c r="D170" i="1"/>
  <c r="D171" i="1"/>
  <c r="D172" i="1"/>
  <c r="D173" i="1"/>
  <c r="E174" i="1" s="1"/>
  <c r="D346" i="1"/>
  <c r="D347" i="1"/>
  <c r="D348" i="1"/>
  <c r="D349" i="1"/>
  <c r="D210" i="1"/>
  <c r="D211" i="1"/>
  <c r="D212" i="1"/>
  <c r="D213" i="1"/>
  <c r="D214" i="1"/>
  <c r="D216" i="1"/>
  <c r="D217" i="1"/>
  <c r="D218" i="1"/>
  <c r="D219" i="1"/>
  <c r="D220" i="1"/>
  <c r="D215" i="1"/>
  <c r="D221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22" i="1"/>
  <c r="D223" i="1"/>
  <c r="D253" i="1"/>
  <c r="D254" i="1"/>
  <c r="D255" i="1"/>
  <c r="D256" i="1"/>
  <c r="D257" i="1"/>
  <c r="D258" i="1"/>
  <c r="D259" i="1"/>
  <c r="E260" i="1" s="1"/>
  <c r="D260" i="1"/>
  <c r="D261" i="1"/>
  <c r="D262" i="1"/>
  <c r="D263" i="1"/>
  <c r="D264" i="1"/>
  <c r="D265" i="1"/>
  <c r="D266" i="1"/>
  <c r="D267" i="1"/>
  <c r="D268" i="1"/>
  <c r="D269" i="1"/>
  <c r="D270" i="1"/>
  <c r="E271" i="1" s="1"/>
  <c r="D331" i="1"/>
  <c r="E332" i="1" s="1"/>
  <c r="D332" i="1"/>
  <c r="D333" i="1"/>
  <c r="D334" i="1"/>
  <c r="D335" i="1"/>
  <c r="D336" i="1"/>
  <c r="D337" i="1"/>
  <c r="E338" i="1" s="1"/>
  <c r="D338" i="1"/>
  <c r="D339" i="1"/>
  <c r="D340" i="1"/>
  <c r="D341" i="1"/>
  <c r="D342" i="1"/>
  <c r="D343" i="1"/>
  <c r="D344" i="1"/>
  <c r="E345" i="1" s="1"/>
  <c r="D180" i="1"/>
  <c r="D181" i="1"/>
  <c r="E182" i="1" s="1"/>
  <c r="D182" i="1"/>
  <c r="D183" i="1"/>
  <c r="D184" i="1"/>
  <c r="D185" i="1"/>
  <c r="D186" i="1"/>
  <c r="D187" i="1"/>
  <c r="D188" i="1"/>
  <c r="D189" i="1"/>
  <c r="E190" i="1" s="1"/>
  <c r="D190" i="1"/>
  <c r="D207" i="1"/>
  <c r="E208" i="1" s="1"/>
  <c r="D208" i="1"/>
  <c r="E209" i="1" s="1"/>
  <c r="D209" i="1"/>
  <c r="E210" i="1" s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E207" i="1" s="1"/>
  <c r="D174" i="1"/>
  <c r="D175" i="1"/>
  <c r="D176" i="1"/>
  <c r="E177" i="1" s="1"/>
  <c r="D177" i="1"/>
  <c r="D178" i="1"/>
  <c r="D179" i="1"/>
  <c r="D271" i="1"/>
  <c r="E272" i="1" s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E316" i="1" s="1"/>
  <c r="D316" i="1"/>
  <c r="D317" i="1"/>
  <c r="D318" i="1"/>
  <c r="D319" i="1"/>
  <c r="D320" i="1"/>
  <c r="D321" i="1"/>
  <c r="D322" i="1"/>
  <c r="D323" i="1"/>
  <c r="D324" i="1"/>
  <c r="E324" i="1" s="1"/>
  <c r="D325" i="1"/>
  <c r="E325" i="1" s="1"/>
  <c r="D326" i="1"/>
  <c r="E327" i="1" s="1"/>
  <c r="D327" i="1"/>
  <c r="D328" i="1"/>
  <c r="D329" i="1"/>
  <c r="D330" i="1"/>
  <c r="D345" i="1"/>
  <c r="E346" i="1" s="1"/>
  <c r="B2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C87" i="1"/>
  <c r="B97" i="1"/>
  <c r="B109" i="1"/>
  <c r="B127" i="1"/>
  <c r="B139" i="1"/>
  <c r="C142" i="1"/>
  <c r="B159" i="1"/>
  <c r="C159" i="1"/>
  <c r="B160" i="1"/>
  <c r="C160" i="1"/>
  <c r="B161" i="1"/>
  <c r="C161" i="1"/>
  <c r="B162" i="1"/>
  <c r="B163" i="1"/>
  <c r="B164" i="1"/>
  <c r="B165" i="1"/>
  <c r="C167" i="1"/>
  <c r="B168" i="1"/>
  <c r="C168" i="1"/>
  <c r="B169" i="1"/>
  <c r="C169" i="1"/>
  <c r="B170" i="1"/>
  <c r="C170" i="1"/>
  <c r="C171" i="1"/>
  <c r="B172" i="1"/>
  <c r="C172" i="1"/>
  <c r="B173" i="1"/>
  <c r="C173" i="1"/>
  <c r="B346" i="1"/>
  <c r="C346" i="1"/>
  <c r="B347" i="1"/>
  <c r="C347" i="1"/>
  <c r="B348" i="1"/>
  <c r="C348" i="1"/>
  <c r="B349" i="1"/>
  <c r="C349" i="1"/>
  <c r="B210" i="1"/>
  <c r="C210" i="1"/>
  <c r="B211" i="1"/>
  <c r="B212" i="1"/>
  <c r="B213" i="1"/>
  <c r="B214" i="1"/>
  <c r="B216" i="1"/>
  <c r="B217" i="1"/>
  <c r="B218" i="1"/>
  <c r="B219" i="1"/>
  <c r="B220" i="1"/>
  <c r="B215" i="1"/>
  <c r="B221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22" i="1"/>
  <c r="B223" i="1"/>
  <c r="C253" i="1"/>
  <c r="C254" i="1"/>
  <c r="B255" i="1"/>
  <c r="C255" i="1"/>
  <c r="B256" i="1"/>
  <c r="C256" i="1"/>
  <c r="C257" i="1"/>
  <c r="B258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C341" i="1"/>
  <c r="C342" i="1"/>
  <c r="B343" i="1"/>
  <c r="C343" i="1"/>
  <c r="B344" i="1"/>
  <c r="C344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207" i="1"/>
  <c r="C208" i="1"/>
  <c r="C209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C174" i="1"/>
  <c r="C175" i="1"/>
  <c r="C176" i="1"/>
  <c r="C177" i="1"/>
  <c r="C178" i="1"/>
  <c r="C179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C315" i="1"/>
  <c r="C317" i="1"/>
  <c r="C318" i="1"/>
  <c r="C319" i="1"/>
  <c r="C320" i="1"/>
  <c r="C321" i="1"/>
  <c r="C322" i="1"/>
  <c r="C323" i="1"/>
  <c r="C324" i="1"/>
  <c r="C325" i="1"/>
  <c r="C326" i="1"/>
  <c r="C327" i="1"/>
  <c r="C345" i="1"/>
  <c r="E1502" i="4"/>
  <c r="AK1552" i="4"/>
  <c r="AJ1552" i="4"/>
  <c r="AI1552" i="4"/>
  <c r="AH1552" i="4"/>
  <c r="AG1552" i="4"/>
  <c r="AF1552" i="4"/>
  <c r="AE1552" i="4"/>
  <c r="AD1552" i="4"/>
  <c r="AC1552" i="4"/>
  <c r="AB1552" i="4"/>
  <c r="AA1552" i="4"/>
  <c r="Z1552" i="4"/>
  <c r="Y1552" i="4"/>
  <c r="X1552" i="4"/>
  <c r="W1552" i="4"/>
  <c r="V1552" i="4"/>
  <c r="U1552" i="4"/>
  <c r="T1552" i="4"/>
  <c r="S1552" i="4"/>
  <c r="R1552" i="4"/>
  <c r="Q1552" i="4"/>
  <c r="P1552" i="4"/>
  <c r="O1552" i="4"/>
  <c r="N1552" i="4"/>
  <c r="M1552" i="4"/>
  <c r="L1552" i="4"/>
  <c r="K1552" i="4"/>
  <c r="J1552" i="4"/>
  <c r="I1552" i="4"/>
  <c r="H1552" i="4"/>
  <c r="G1552" i="4"/>
  <c r="F1552" i="4"/>
  <c r="E1552" i="4"/>
  <c r="D1552" i="4"/>
  <c r="C1552" i="4"/>
  <c r="B1552" i="4"/>
  <c r="AK1502" i="4"/>
  <c r="AJ1502" i="4"/>
  <c r="AI1502" i="4"/>
  <c r="AH1502" i="4"/>
  <c r="AG1502" i="4"/>
  <c r="AF1502" i="4"/>
  <c r="AE1502" i="4"/>
  <c r="AD1502" i="4"/>
  <c r="AC1502" i="4"/>
  <c r="AB1502" i="4"/>
  <c r="AA1502" i="4"/>
  <c r="Z1502" i="4"/>
  <c r="Y1502" i="4"/>
  <c r="X1502" i="4"/>
  <c r="W1502" i="4"/>
  <c r="V1502" i="4"/>
  <c r="U1502" i="4"/>
  <c r="T1502" i="4"/>
  <c r="S1502" i="4"/>
  <c r="R1502" i="4"/>
  <c r="Q1502" i="4"/>
  <c r="P1502" i="4"/>
  <c r="O1502" i="4"/>
  <c r="N1502" i="4"/>
  <c r="M1502" i="4"/>
  <c r="L1502" i="4"/>
  <c r="K1502" i="4"/>
  <c r="J1502" i="4"/>
  <c r="I1502" i="4"/>
  <c r="H1502" i="4"/>
  <c r="G1502" i="4"/>
  <c r="F1502" i="4"/>
  <c r="D1502" i="4"/>
  <c r="C1502" i="4"/>
  <c r="B1502" i="4"/>
  <c r="AK1452" i="4"/>
  <c r="AJ1452" i="4"/>
  <c r="AI1452" i="4"/>
  <c r="AH1452" i="4"/>
  <c r="AG1452" i="4"/>
  <c r="AF1452" i="4"/>
  <c r="AE1452" i="4"/>
  <c r="AD1452" i="4"/>
  <c r="AC1452" i="4"/>
  <c r="AB1452" i="4"/>
  <c r="AA1452" i="4"/>
  <c r="Z1452" i="4"/>
  <c r="Y1452" i="4"/>
  <c r="X1452" i="4"/>
  <c r="W1452" i="4"/>
  <c r="V1452" i="4"/>
  <c r="U1452" i="4"/>
  <c r="T1452" i="4"/>
  <c r="S1452" i="4"/>
  <c r="R1452" i="4"/>
  <c r="Q1452" i="4"/>
  <c r="P1452" i="4"/>
  <c r="O1452" i="4"/>
  <c r="N1452" i="4"/>
  <c r="M1452" i="4"/>
  <c r="L1452" i="4"/>
  <c r="K1452" i="4"/>
  <c r="J1452" i="4"/>
  <c r="I1452" i="4"/>
  <c r="H1452" i="4"/>
  <c r="G1452" i="4"/>
  <c r="F1452" i="4"/>
  <c r="E1452" i="4"/>
  <c r="D1452" i="4"/>
  <c r="C1452" i="4"/>
  <c r="B1452" i="4"/>
  <c r="AK1402" i="4"/>
  <c r="AJ1402" i="4"/>
  <c r="AI1402" i="4"/>
  <c r="AH1402" i="4"/>
  <c r="AG1402" i="4"/>
  <c r="AF1402" i="4"/>
  <c r="AE1402" i="4"/>
  <c r="AD1402" i="4"/>
  <c r="AC1402" i="4"/>
  <c r="AB1402" i="4"/>
  <c r="AA1402" i="4"/>
  <c r="Z1402" i="4"/>
  <c r="Y1402" i="4"/>
  <c r="X1402" i="4"/>
  <c r="W1402" i="4"/>
  <c r="V1402" i="4"/>
  <c r="U1402" i="4"/>
  <c r="T1402" i="4"/>
  <c r="S1402" i="4"/>
  <c r="R1402" i="4"/>
  <c r="Q1402" i="4"/>
  <c r="P1402" i="4"/>
  <c r="O1402" i="4"/>
  <c r="N1402" i="4"/>
  <c r="M1402" i="4"/>
  <c r="L1402" i="4"/>
  <c r="K1402" i="4"/>
  <c r="J1402" i="4"/>
  <c r="I1402" i="4"/>
  <c r="H1402" i="4"/>
  <c r="G1402" i="4"/>
  <c r="F1402" i="4"/>
  <c r="E1402" i="4"/>
  <c r="D1402" i="4"/>
  <c r="C1402" i="4"/>
  <c r="B1402" i="4"/>
  <c r="AK1352" i="4"/>
  <c r="AJ1352" i="4"/>
  <c r="AI1352" i="4"/>
  <c r="AH1352" i="4"/>
  <c r="AG1352" i="4"/>
  <c r="AF1352" i="4"/>
  <c r="AE1352" i="4"/>
  <c r="AD1352" i="4"/>
  <c r="AC1352" i="4"/>
  <c r="AB1352" i="4"/>
  <c r="AA1352" i="4"/>
  <c r="Z1352" i="4"/>
  <c r="Y1352" i="4"/>
  <c r="X1352" i="4"/>
  <c r="W1352" i="4"/>
  <c r="V1352" i="4"/>
  <c r="U1352" i="4"/>
  <c r="T1352" i="4"/>
  <c r="S1352" i="4"/>
  <c r="R1352" i="4"/>
  <c r="Q1352" i="4"/>
  <c r="P1352" i="4"/>
  <c r="O1352" i="4"/>
  <c r="N1352" i="4"/>
  <c r="M1352" i="4"/>
  <c r="L1352" i="4"/>
  <c r="K1352" i="4"/>
  <c r="J1352" i="4"/>
  <c r="I1352" i="4"/>
  <c r="H1352" i="4"/>
  <c r="G1352" i="4"/>
  <c r="F1352" i="4"/>
  <c r="E1352" i="4"/>
  <c r="D1352" i="4"/>
  <c r="C1352" i="4"/>
  <c r="B1352" i="4"/>
  <c r="AK1302" i="4"/>
  <c r="AJ1302" i="4"/>
  <c r="AI1302" i="4"/>
  <c r="AH1302" i="4"/>
  <c r="AG1302" i="4"/>
  <c r="AF1302" i="4"/>
  <c r="AE1302" i="4"/>
  <c r="AD1302" i="4"/>
  <c r="AC1302" i="4"/>
  <c r="AB1302" i="4"/>
  <c r="AA1302" i="4"/>
  <c r="Z1302" i="4"/>
  <c r="Y1302" i="4"/>
  <c r="X1302" i="4"/>
  <c r="W1302" i="4"/>
  <c r="V1302" i="4"/>
  <c r="U1302" i="4"/>
  <c r="T1302" i="4"/>
  <c r="S1302" i="4"/>
  <c r="R1302" i="4"/>
  <c r="Q1302" i="4"/>
  <c r="P1302" i="4"/>
  <c r="O1302" i="4"/>
  <c r="N1302" i="4"/>
  <c r="M1302" i="4"/>
  <c r="L1302" i="4"/>
  <c r="K1302" i="4"/>
  <c r="J1302" i="4"/>
  <c r="I1302" i="4"/>
  <c r="H1302" i="4"/>
  <c r="G1302" i="4"/>
  <c r="F1302" i="4"/>
  <c r="E1302" i="4"/>
  <c r="D1302" i="4"/>
  <c r="C1302" i="4"/>
  <c r="B1302" i="4"/>
  <c r="AK1252" i="4"/>
  <c r="AJ1252" i="4"/>
  <c r="AI1252" i="4"/>
  <c r="AH1252" i="4"/>
  <c r="AG1252" i="4"/>
  <c r="AF1252" i="4"/>
  <c r="AE1252" i="4"/>
  <c r="AD1252" i="4"/>
  <c r="AC1252" i="4"/>
  <c r="AB1252" i="4"/>
  <c r="AA1252" i="4"/>
  <c r="Z1252" i="4"/>
  <c r="Y1252" i="4"/>
  <c r="X1252" i="4"/>
  <c r="W1252" i="4"/>
  <c r="V1252" i="4"/>
  <c r="U1252" i="4"/>
  <c r="T1252" i="4"/>
  <c r="S1252" i="4"/>
  <c r="R1252" i="4"/>
  <c r="Q1252" i="4"/>
  <c r="P1252" i="4"/>
  <c r="O1252" i="4"/>
  <c r="N1252" i="4"/>
  <c r="M1252" i="4"/>
  <c r="L1252" i="4"/>
  <c r="K1252" i="4"/>
  <c r="J1252" i="4"/>
  <c r="I1252" i="4"/>
  <c r="H1252" i="4"/>
  <c r="G1252" i="4"/>
  <c r="F1252" i="4"/>
  <c r="E1252" i="4"/>
  <c r="D1252" i="4"/>
  <c r="C1252" i="4"/>
  <c r="B1252" i="4"/>
  <c r="AK1202" i="4"/>
  <c r="AJ1202" i="4"/>
  <c r="AI1202" i="4"/>
  <c r="AH1202" i="4"/>
  <c r="AG1202" i="4"/>
  <c r="AF1202" i="4"/>
  <c r="AE1202" i="4"/>
  <c r="AD1202" i="4"/>
  <c r="AC1202" i="4"/>
  <c r="AB1202" i="4"/>
  <c r="AA1202" i="4"/>
  <c r="Z1202" i="4"/>
  <c r="Y1202" i="4"/>
  <c r="X1202" i="4"/>
  <c r="W1202" i="4"/>
  <c r="V1202" i="4"/>
  <c r="U1202" i="4"/>
  <c r="T1202" i="4"/>
  <c r="S1202" i="4"/>
  <c r="R1202" i="4"/>
  <c r="Q1202" i="4"/>
  <c r="P1202" i="4"/>
  <c r="O1202" i="4"/>
  <c r="N1202" i="4"/>
  <c r="M1202" i="4"/>
  <c r="L1202" i="4"/>
  <c r="K1202" i="4"/>
  <c r="J1202" i="4"/>
  <c r="I1202" i="4"/>
  <c r="H1202" i="4"/>
  <c r="G1202" i="4"/>
  <c r="F1202" i="4"/>
  <c r="E1202" i="4"/>
  <c r="D1202" i="4"/>
  <c r="C1202" i="4"/>
  <c r="B1202" i="4"/>
  <c r="AK1152" i="4"/>
  <c r="AJ1152" i="4"/>
  <c r="AI1152" i="4"/>
  <c r="AH1152" i="4"/>
  <c r="AG1152" i="4"/>
  <c r="AF1152" i="4"/>
  <c r="AE1152" i="4"/>
  <c r="AD1152" i="4"/>
  <c r="AC1152" i="4"/>
  <c r="AB1152" i="4"/>
  <c r="AA1152" i="4"/>
  <c r="Z1152" i="4"/>
  <c r="Y1152" i="4"/>
  <c r="X1152" i="4"/>
  <c r="W1152" i="4"/>
  <c r="V1152" i="4"/>
  <c r="U1152" i="4"/>
  <c r="T1152" i="4"/>
  <c r="S1152" i="4"/>
  <c r="R1152" i="4"/>
  <c r="Q1152" i="4"/>
  <c r="P1152" i="4"/>
  <c r="O1152" i="4"/>
  <c r="N1152" i="4"/>
  <c r="M1152" i="4"/>
  <c r="L1152" i="4"/>
  <c r="K1152" i="4"/>
  <c r="J1152" i="4"/>
  <c r="I1152" i="4"/>
  <c r="H1152" i="4"/>
  <c r="G1152" i="4"/>
  <c r="F1152" i="4"/>
  <c r="E1152" i="4"/>
  <c r="D1152" i="4"/>
  <c r="C1152" i="4"/>
  <c r="B1152" i="4"/>
  <c r="AK1102" i="4"/>
  <c r="AJ1102" i="4"/>
  <c r="AI1102" i="4"/>
  <c r="AH1102" i="4"/>
  <c r="AG1102" i="4"/>
  <c r="AF1102" i="4"/>
  <c r="AE1102" i="4"/>
  <c r="AD1102" i="4"/>
  <c r="AC1102" i="4"/>
  <c r="AB1102" i="4"/>
  <c r="AA1102" i="4"/>
  <c r="Z1102" i="4"/>
  <c r="Y1102" i="4"/>
  <c r="X1102" i="4"/>
  <c r="W1102" i="4"/>
  <c r="V1102" i="4"/>
  <c r="U1102" i="4"/>
  <c r="T1102" i="4"/>
  <c r="S1102" i="4"/>
  <c r="R1102" i="4"/>
  <c r="Q1102" i="4"/>
  <c r="P1102" i="4"/>
  <c r="O1102" i="4"/>
  <c r="N1102" i="4"/>
  <c r="M1102" i="4"/>
  <c r="L1102" i="4"/>
  <c r="K1102" i="4"/>
  <c r="J1102" i="4"/>
  <c r="I1102" i="4"/>
  <c r="H1102" i="4"/>
  <c r="G1102" i="4"/>
  <c r="F1102" i="4"/>
  <c r="E1102" i="4"/>
  <c r="D1102" i="4"/>
  <c r="C1102" i="4"/>
  <c r="B1102" i="4"/>
  <c r="AK1052" i="4"/>
  <c r="AJ1052" i="4"/>
  <c r="AI1052" i="4"/>
  <c r="AH1052" i="4"/>
  <c r="AG1052" i="4"/>
  <c r="AF1052" i="4"/>
  <c r="AE1052" i="4"/>
  <c r="AD1052" i="4"/>
  <c r="AC1052" i="4"/>
  <c r="AB1052" i="4"/>
  <c r="AA1052" i="4"/>
  <c r="Z1052" i="4"/>
  <c r="Y1052" i="4"/>
  <c r="X1052" i="4"/>
  <c r="W1052" i="4"/>
  <c r="V1052" i="4"/>
  <c r="U1052" i="4"/>
  <c r="T1052" i="4"/>
  <c r="S1052" i="4"/>
  <c r="R1052" i="4"/>
  <c r="Q1052" i="4"/>
  <c r="P1052" i="4"/>
  <c r="O1052" i="4"/>
  <c r="N1052" i="4"/>
  <c r="M1052" i="4"/>
  <c r="L1052" i="4"/>
  <c r="K1052" i="4"/>
  <c r="J1052" i="4"/>
  <c r="I1052" i="4"/>
  <c r="H1052" i="4"/>
  <c r="G1052" i="4"/>
  <c r="F1052" i="4"/>
  <c r="E1052" i="4"/>
  <c r="D1052" i="4"/>
  <c r="C1052" i="4"/>
  <c r="B1052" i="4"/>
  <c r="AK1002" i="4"/>
  <c r="AJ1002" i="4"/>
  <c r="AI1002" i="4"/>
  <c r="AH1002" i="4"/>
  <c r="AG1002" i="4"/>
  <c r="AF1002" i="4"/>
  <c r="AE1002" i="4"/>
  <c r="AD1002" i="4"/>
  <c r="AC1002" i="4"/>
  <c r="AB1002" i="4"/>
  <c r="AA1002" i="4"/>
  <c r="Z1002" i="4"/>
  <c r="Y1002" i="4"/>
  <c r="X1002" i="4"/>
  <c r="W1002" i="4"/>
  <c r="V1002" i="4"/>
  <c r="U1002" i="4"/>
  <c r="T1002" i="4"/>
  <c r="S1002" i="4"/>
  <c r="R1002" i="4"/>
  <c r="Q1002" i="4"/>
  <c r="P1002" i="4"/>
  <c r="O1002" i="4"/>
  <c r="N1002" i="4"/>
  <c r="M1002" i="4"/>
  <c r="L1002" i="4"/>
  <c r="K1002" i="4"/>
  <c r="J1002" i="4"/>
  <c r="I1002" i="4"/>
  <c r="H1002" i="4"/>
  <c r="G1002" i="4"/>
  <c r="F1002" i="4"/>
  <c r="E1002" i="4"/>
  <c r="D1002" i="4"/>
  <c r="C1002" i="4"/>
  <c r="B1002" i="4"/>
  <c r="AK952" i="4"/>
  <c r="AJ952" i="4"/>
  <c r="AI952" i="4"/>
  <c r="AH952" i="4"/>
  <c r="AG952" i="4"/>
  <c r="AF952" i="4"/>
  <c r="AE952" i="4"/>
  <c r="AD952" i="4"/>
  <c r="AC952" i="4"/>
  <c r="AB952" i="4"/>
  <c r="AA952" i="4"/>
  <c r="Z952" i="4"/>
  <c r="Y952" i="4"/>
  <c r="X952" i="4"/>
  <c r="W952" i="4"/>
  <c r="V952" i="4"/>
  <c r="U952" i="4"/>
  <c r="T952" i="4"/>
  <c r="S952" i="4"/>
  <c r="R952" i="4"/>
  <c r="Q952" i="4"/>
  <c r="P952" i="4"/>
  <c r="O952" i="4"/>
  <c r="N952" i="4"/>
  <c r="M952" i="4"/>
  <c r="L952" i="4"/>
  <c r="K952" i="4"/>
  <c r="J952" i="4"/>
  <c r="I952" i="4"/>
  <c r="H952" i="4"/>
  <c r="G952" i="4"/>
  <c r="F952" i="4"/>
  <c r="E952" i="4"/>
  <c r="D952" i="4"/>
  <c r="C952" i="4"/>
  <c r="B952" i="4"/>
  <c r="AK902" i="4"/>
  <c r="AJ902" i="4"/>
  <c r="AI902" i="4"/>
  <c r="AH902" i="4"/>
  <c r="AG902" i="4"/>
  <c r="AF902" i="4"/>
  <c r="AE902" i="4"/>
  <c r="AD902" i="4"/>
  <c r="AC902" i="4"/>
  <c r="AB902" i="4"/>
  <c r="AA902" i="4"/>
  <c r="Z902" i="4"/>
  <c r="Y902" i="4"/>
  <c r="X902" i="4"/>
  <c r="W902" i="4"/>
  <c r="V902" i="4"/>
  <c r="U902" i="4"/>
  <c r="T902" i="4"/>
  <c r="S902" i="4"/>
  <c r="R902" i="4"/>
  <c r="Q902" i="4"/>
  <c r="P902" i="4"/>
  <c r="O902" i="4"/>
  <c r="N902" i="4"/>
  <c r="M902" i="4"/>
  <c r="L902" i="4"/>
  <c r="K902" i="4"/>
  <c r="J902" i="4"/>
  <c r="I902" i="4"/>
  <c r="H902" i="4"/>
  <c r="G902" i="4"/>
  <c r="F902" i="4"/>
  <c r="E902" i="4"/>
  <c r="D902" i="4"/>
  <c r="C902" i="4"/>
  <c r="B902" i="4"/>
  <c r="AK852" i="4"/>
  <c r="AJ852" i="4"/>
  <c r="AI852" i="4"/>
  <c r="AH852" i="4"/>
  <c r="AG852" i="4"/>
  <c r="AF852" i="4"/>
  <c r="AE852" i="4"/>
  <c r="AD852" i="4"/>
  <c r="AC852" i="4"/>
  <c r="AB852" i="4"/>
  <c r="AA852" i="4"/>
  <c r="Z852" i="4"/>
  <c r="Y852" i="4"/>
  <c r="X852" i="4"/>
  <c r="W852" i="4"/>
  <c r="V852" i="4"/>
  <c r="U852" i="4"/>
  <c r="T852" i="4"/>
  <c r="S852" i="4"/>
  <c r="R852" i="4"/>
  <c r="Q852" i="4"/>
  <c r="P852" i="4"/>
  <c r="O852" i="4"/>
  <c r="N852" i="4"/>
  <c r="M852" i="4"/>
  <c r="L852" i="4"/>
  <c r="K852" i="4"/>
  <c r="J852" i="4"/>
  <c r="I852" i="4"/>
  <c r="H852" i="4"/>
  <c r="G852" i="4"/>
  <c r="F852" i="4"/>
  <c r="E852" i="4"/>
  <c r="D852" i="4"/>
  <c r="C852" i="4"/>
  <c r="B852" i="4"/>
  <c r="AK802" i="4"/>
  <c r="AJ802" i="4"/>
  <c r="AI802" i="4"/>
  <c r="AH802" i="4"/>
  <c r="AG802" i="4"/>
  <c r="AF802" i="4"/>
  <c r="AE802" i="4"/>
  <c r="AD802" i="4"/>
  <c r="AC802" i="4"/>
  <c r="AB802" i="4"/>
  <c r="AA802" i="4"/>
  <c r="Z802" i="4"/>
  <c r="Y802" i="4"/>
  <c r="X802" i="4"/>
  <c r="W802" i="4"/>
  <c r="V802" i="4"/>
  <c r="U802" i="4"/>
  <c r="T802" i="4"/>
  <c r="S802" i="4"/>
  <c r="R802" i="4"/>
  <c r="Q802" i="4"/>
  <c r="P802" i="4"/>
  <c r="O802" i="4"/>
  <c r="N802" i="4"/>
  <c r="M802" i="4"/>
  <c r="L802" i="4"/>
  <c r="K802" i="4"/>
  <c r="J802" i="4"/>
  <c r="I802" i="4"/>
  <c r="H802" i="4"/>
  <c r="G802" i="4"/>
  <c r="F802" i="4"/>
  <c r="E802" i="4"/>
  <c r="D802" i="4"/>
  <c r="C802" i="4"/>
  <c r="B802" i="4"/>
  <c r="AK752" i="4"/>
  <c r="AJ752" i="4"/>
  <c r="AI752" i="4"/>
  <c r="AH752" i="4"/>
  <c r="AG752" i="4"/>
  <c r="AF752" i="4"/>
  <c r="AE752" i="4"/>
  <c r="AD752" i="4"/>
  <c r="AC752" i="4"/>
  <c r="AB752" i="4"/>
  <c r="AA752" i="4"/>
  <c r="Z752" i="4"/>
  <c r="Y752" i="4"/>
  <c r="X752" i="4"/>
  <c r="W752" i="4"/>
  <c r="V752" i="4"/>
  <c r="U752" i="4"/>
  <c r="T752" i="4"/>
  <c r="S752" i="4"/>
  <c r="R752" i="4"/>
  <c r="Q752" i="4"/>
  <c r="P752" i="4"/>
  <c r="O752" i="4"/>
  <c r="N752" i="4"/>
  <c r="M752" i="4"/>
  <c r="L752" i="4"/>
  <c r="K752" i="4"/>
  <c r="J752" i="4"/>
  <c r="I752" i="4"/>
  <c r="H752" i="4"/>
  <c r="G752" i="4"/>
  <c r="F752" i="4"/>
  <c r="E752" i="4"/>
  <c r="D752" i="4"/>
  <c r="C752" i="4"/>
  <c r="B752" i="4"/>
  <c r="AK702" i="4"/>
  <c r="AJ702" i="4"/>
  <c r="AI702" i="4"/>
  <c r="AH702" i="4"/>
  <c r="AG702" i="4"/>
  <c r="AF702" i="4"/>
  <c r="AE702" i="4"/>
  <c r="AD702" i="4"/>
  <c r="AC702" i="4"/>
  <c r="AB702" i="4"/>
  <c r="AA702" i="4"/>
  <c r="Z702" i="4"/>
  <c r="Y702" i="4"/>
  <c r="X702" i="4"/>
  <c r="W702" i="4"/>
  <c r="V702" i="4"/>
  <c r="U702" i="4"/>
  <c r="T702" i="4"/>
  <c r="S702" i="4"/>
  <c r="R702" i="4"/>
  <c r="Q702" i="4"/>
  <c r="P702" i="4"/>
  <c r="O702" i="4"/>
  <c r="N702" i="4"/>
  <c r="M702" i="4"/>
  <c r="L702" i="4"/>
  <c r="K702" i="4"/>
  <c r="J702" i="4"/>
  <c r="I702" i="4"/>
  <c r="H702" i="4"/>
  <c r="G702" i="4"/>
  <c r="F702" i="4"/>
  <c r="E702" i="4"/>
  <c r="D702" i="4"/>
  <c r="C702" i="4"/>
  <c r="B702" i="4"/>
  <c r="AK652" i="4"/>
  <c r="AJ652" i="4"/>
  <c r="AI652" i="4"/>
  <c r="AH652" i="4"/>
  <c r="AG652" i="4"/>
  <c r="AF652" i="4"/>
  <c r="AE652" i="4"/>
  <c r="AD652" i="4"/>
  <c r="AC652" i="4"/>
  <c r="AB652" i="4"/>
  <c r="AA652" i="4"/>
  <c r="Z652" i="4"/>
  <c r="Y652" i="4"/>
  <c r="X652" i="4"/>
  <c r="W652" i="4"/>
  <c r="V652" i="4"/>
  <c r="U652" i="4"/>
  <c r="T652" i="4"/>
  <c r="S652" i="4"/>
  <c r="R652" i="4"/>
  <c r="Q652" i="4"/>
  <c r="P652" i="4"/>
  <c r="O652" i="4"/>
  <c r="N652" i="4"/>
  <c r="M652" i="4"/>
  <c r="L652" i="4"/>
  <c r="K652" i="4"/>
  <c r="J652" i="4"/>
  <c r="I652" i="4"/>
  <c r="H652" i="4"/>
  <c r="G652" i="4"/>
  <c r="F652" i="4"/>
  <c r="E652" i="4"/>
  <c r="D652" i="4"/>
  <c r="C652" i="4"/>
  <c r="B652" i="4"/>
  <c r="AK602" i="4"/>
  <c r="AJ602" i="4"/>
  <c r="AI602" i="4"/>
  <c r="AH602" i="4"/>
  <c r="AG602" i="4"/>
  <c r="AF602" i="4"/>
  <c r="AE602" i="4"/>
  <c r="AD602" i="4"/>
  <c r="AC602" i="4"/>
  <c r="AB602" i="4"/>
  <c r="AA602" i="4"/>
  <c r="Z602" i="4"/>
  <c r="Y602" i="4"/>
  <c r="X602" i="4"/>
  <c r="W602" i="4"/>
  <c r="V602" i="4"/>
  <c r="U602" i="4"/>
  <c r="T602" i="4"/>
  <c r="S602" i="4"/>
  <c r="R602" i="4"/>
  <c r="Q602" i="4"/>
  <c r="P602" i="4"/>
  <c r="O602" i="4"/>
  <c r="N602" i="4"/>
  <c r="M602" i="4"/>
  <c r="L602" i="4"/>
  <c r="K602" i="4"/>
  <c r="J602" i="4"/>
  <c r="I602" i="4"/>
  <c r="H602" i="4"/>
  <c r="G602" i="4"/>
  <c r="F602" i="4"/>
  <c r="E602" i="4"/>
  <c r="D602" i="4"/>
  <c r="C602" i="4"/>
  <c r="B602" i="4"/>
  <c r="AK552" i="4"/>
  <c r="AJ552" i="4"/>
  <c r="AI552" i="4"/>
  <c r="AH552" i="4"/>
  <c r="AG552" i="4"/>
  <c r="AF552" i="4"/>
  <c r="AE552" i="4"/>
  <c r="AD552" i="4"/>
  <c r="AC552" i="4"/>
  <c r="AB552" i="4"/>
  <c r="AA552" i="4"/>
  <c r="Z552" i="4"/>
  <c r="Y552" i="4"/>
  <c r="X552" i="4"/>
  <c r="W552" i="4"/>
  <c r="V552" i="4"/>
  <c r="U552" i="4"/>
  <c r="T552" i="4"/>
  <c r="S552" i="4"/>
  <c r="R552" i="4"/>
  <c r="Q552" i="4"/>
  <c r="P552" i="4"/>
  <c r="O552" i="4"/>
  <c r="N552" i="4"/>
  <c r="M552" i="4"/>
  <c r="L552" i="4"/>
  <c r="K552" i="4"/>
  <c r="J552" i="4"/>
  <c r="I552" i="4"/>
  <c r="H552" i="4"/>
  <c r="G552" i="4"/>
  <c r="F552" i="4"/>
  <c r="E552" i="4"/>
  <c r="D552" i="4"/>
  <c r="C552" i="4"/>
  <c r="B552" i="4"/>
  <c r="AK502" i="4"/>
  <c r="AJ502" i="4"/>
  <c r="AI502" i="4"/>
  <c r="AH502" i="4"/>
  <c r="AG502" i="4"/>
  <c r="AF502" i="4"/>
  <c r="AE502" i="4"/>
  <c r="AD502" i="4"/>
  <c r="AC502" i="4"/>
  <c r="AB502" i="4"/>
  <c r="AA502" i="4"/>
  <c r="Z502" i="4"/>
  <c r="Y502" i="4"/>
  <c r="X502" i="4"/>
  <c r="W502" i="4"/>
  <c r="V502" i="4"/>
  <c r="U502" i="4"/>
  <c r="T502" i="4"/>
  <c r="S502" i="4"/>
  <c r="R502" i="4"/>
  <c r="Q502" i="4"/>
  <c r="P502" i="4"/>
  <c r="O502" i="4"/>
  <c r="N502" i="4"/>
  <c r="M502" i="4"/>
  <c r="L502" i="4"/>
  <c r="K502" i="4"/>
  <c r="J502" i="4"/>
  <c r="I502" i="4"/>
  <c r="H502" i="4"/>
  <c r="G502" i="4"/>
  <c r="F502" i="4"/>
  <c r="E502" i="4"/>
  <c r="D502" i="4"/>
  <c r="C502" i="4"/>
  <c r="B502" i="4"/>
  <c r="AK452" i="4"/>
  <c r="AJ452" i="4"/>
  <c r="AI452" i="4"/>
  <c r="AH452" i="4"/>
  <c r="AG452" i="4"/>
  <c r="AF452" i="4"/>
  <c r="AE452" i="4"/>
  <c r="AD452" i="4"/>
  <c r="AC452" i="4"/>
  <c r="AB452" i="4"/>
  <c r="AA452" i="4"/>
  <c r="Z452" i="4"/>
  <c r="Y452" i="4"/>
  <c r="X452" i="4"/>
  <c r="W452" i="4"/>
  <c r="V452" i="4"/>
  <c r="U452" i="4"/>
  <c r="T452" i="4"/>
  <c r="S452" i="4"/>
  <c r="R452" i="4"/>
  <c r="Q452" i="4"/>
  <c r="P452" i="4"/>
  <c r="O452" i="4"/>
  <c r="N452" i="4"/>
  <c r="M452" i="4"/>
  <c r="L452" i="4"/>
  <c r="K452" i="4"/>
  <c r="J452" i="4"/>
  <c r="I452" i="4"/>
  <c r="H452" i="4"/>
  <c r="G452" i="4"/>
  <c r="F452" i="4"/>
  <c r="E452" i="4"/>
  <c r="D452" i="4"/>
  <c r="C452" i="4"/>
  <c r="B452" i="4"/>
  <c r="AK402" i="4"/>
  <c r="AJ402" i="4"/>
  <c r="AI402" i="4"/>
  <c r="AH402" i="4"/>
  <c r="AG402" i="4"/>
  <c r="AF402" i="4"/>
  <c r="AE402" i="4"/>
  <c r="AD402" i="4"/>
  <c r="AC402" i="4"/>
  <c r="AB402" i="4"/>
  <c r="AA402" i="4"/>
  <c r="Z402" i="4"/>
  <c r="Y402" i="4"/>
  <c r="X402" i="4"/>
  <c r="W402" i="4"/>
  <c r="V402" i="4"/>
  <c r="U402" i="4"/>
  <c r="T402" i="4"/>
  <c r="S402" i="4"/>
  <c r="R402" i="4"/>
  <c r="Q402" i="4"/>
  <c r="P402" i="4"/>
  <c r="O402" i="4"/>
  <c r="N402" i="4"/>
  <c r="M402" i="4"/>
  <c r="L402" i="4"/>
  <c r="K402" i="4"/>
  <c r="J402" i="4"/>
  <c r="I402" i="4"/>
  <c r="H402" i="4"/>
  <c r="G402" i="4"/>
  <c r="F402" i="4"/>
  <c r="E402" i="4"/>
  <c r="D402" i="4"/>
  <c r="C402" i="4"/>
  <c r="B402" i="4"/>
  <c r="AK352" i="4"/>
  <c r="AJ352" i="4"/>
  <c r="AI352" i="4"/>
  <c r="AH352" i="4"/>
  <c r="AG352" i="4"/>
  <c r="AF352" i="4"/>
  <c r="AE352" i="4"/>
  <c r="AD352" i="4"/>
  <c r="AC352" i="4"/>
  <c r="AB352" i="4"/>
  <c r="AA352" i="4"/>
  <c r="Z352" i="4"/>
  <c r="Y352" i="4"/>
  <c r="X352" i="4"/>
  <c r="W352" i="4"/>
  <c r="V352" i="4"/>
  <c r="U352" i="4"/>
  <c r="T352" i="4"/>
  <c r="S352" i="4"/>
  <c r="R352" i="4"/>
  <c r="Q352" i="4"/>
  <c r="P352" i="4"/>
  <c r="O352" i="4"/>
  <c r="N352" i="4"/>
  <c r="M352" i="4"/>
  <c r="L352" i="4"/>
  <c r="K352" i="4"/>
  <c r="J352" i="4"/>
  <c r="I352" i="4"/>
  <c r="H352" i="4"/>
  <c r="G352" i="4"/>
  <c r="F352" i="4"/>
  <c r="E352" i="4"/>
  <c r="D352" i="4"/>
  <c r="C352" i="4"/>
  <c r="B352" i="4"/>
  <c r="AK302" i="4"/>
  <c r="AJ302" i="4"/>
  <c r="AI302" i="4"/>
  <c r="AH302" i="4"/>
  <c r="AG302" i="4"/>
  <c r="AF302" i="4"/>
  <c r="AE302" i="4"/>
  <c r="AD302" i="4"/>
  <c r="AC302" i="4"/>
  <c r="AB302" i="4"/>
  <c r="AA302" i="4"/>
  <c r="Z302" i="4"/>
  <c r="Y302" i="4"/>
  <c r="X302" i="4"/>
  <c r="W302" i="4"/>
  <c r="V302" i="4"/>
  <c r="U302" i="4"/>
  <c r="T302" i="4"/>
  <c r="S302" i="4"/>
  <c r="R302" i="4"/>
  <c r="Q302" i="4"/>
  <c r="P302" i="4"/>
  <c r="O302" i="4"/>
  <c r="N302" i="4"/>
  <c r="M302" i="4"/>
  <c r="L302" i="4"/>
  <c r="K302" i="4"/>
  <c r="J302" i="4"/>
  <c r="I302" i="4"/>
  <c r="H302" i="4"/>
  <c r="G302" i="4"/>
  <c r="F302" i="4"/>
  <c r="E302" i="4"/>
  <c r="D302" i="4"/>
  <c r="C302" i="4"/>
  <c r="B302" i="4"/>
  <c r="AK252" i="4"/>
  <c r="AJ252" i="4"/>
  <c r="AI252" i="4"/>
  <c r="AH252" i="4"/>
  <c r="AG252" i="4"/>
  <c r="AF252" i="4"/>
  <c r="AE252" i="4"/>
  <c r="AD252" i="4"/>
  <c r="AC252" i="4"/>
  <c r="AB252" i="4"/>
  <c r="AA252" i="4"/>
  <c r="Z252" i="4"/>
  <c r="Y252" i="4"/>
  <c r="X252" i="4"/>
  <c r="W252" i="4"/>
  <c r="V252" i="4"/>
  <c r="U252" i="4"/>
  <c r="T252" i="4"/>
  <c r="S252" i="4"/>
  <c r="R252" i="4"/>
  <c r="Q252" i="4"/>
  <c r="P252" i="4"/>
  <c r="O252" i="4"/>
  <c r="N252" i="4"/>
  <c r="M252" i="4"/>
  <c r="L252" i="4"/>
  <c r="K252" i="4"/>
  <c r="J252" i="4"/>
  <c r="I252" i="4"/>
  <c r="H252" i="4"/>
  <c r="G252" i="4"/>
  <c r="F252" i="4"/>
  <c r="E252" i="4"/>
  <c r="D252" i="4"/>
  <c r="C252" i="4"/>
  <c r="B252" i="4"/>
  <c r="AK202" i="4"/>
  <c r="AJ202" i="4"/>
  <c r="AI202" i="4"/>
  <c r="AH202" i="4"/>
  <c r="AG202" i="4"/>
  <c r="AF202" i="4"/>
  <c r="AE202" i="4"/>
  <c r="AD202" i="4"/>
  <c r="AC202" i="4"/>
  <c r="AB202" i="4"/>
  <c r="AA202" i="4"/>
  <c r="Z202" i="4"/>
  <c r="Y202" i="4"/>
  <c r="X202" i="4"/>
  <c r="W202" i="4"/>
  <c r="V202" i="4"/>
  <c r="U202" i="4"/>
  <c r="T202" i="4"/>
  <c r="S202" i="4"/>
  <c r="R202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B202" i="4"/>
  <c r="AK152" i="4"/>
  <c r="AJ152" i="4"/>
  <c r="AI152" i="4"/>
  <c r="AH152" i="4"/>
  <c r="AG152" i="4"/>
  <c r="AF152" i="4"/>
  <c r="AE152" i="4"/>
  <c r="AD152" i="4"/>
  <c r="AC152" i="4"/>
  <c r="AB152" i="4"/>
  <c r="AA152" i="4"/>
  <c r="Z152" i="4"/>
  <c r="Y152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A1501" i="4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201" i="4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101" i="4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051" i="4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951" i="4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901" i="4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651" i="4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551" i="4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501" i="4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401" i="4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351" i="4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201" i="4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151" i="4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51" i="4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" i="4"/>
  <c r="A2" i="4" s="1"/>
  <c r="A3" i="4" s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B2" i="4"/>
  <c r="D14" i="1" s="1"/>
  <c r="C2" i="2"/>
  <c r="C6" i="1" s="1"/>
  <c r="C3" i="2"/>
  <c r="C88" i="1" s="1"/>
  <c r="C4" i="2"/>
  <c r="C145" i="1" s="1"/>
  <c r="C5" i="2"/>
  <c r="C162" i="1" s="1"/>
  <c r="C6" i="2"/>
  <c r="C7" i="2"/>
  <c r="C8" i="2"/>
  <c r="C9" i="2"/>
  <c r="C190" i="1" s="1"/>
  <c r="E191" i="1" s="1"/>
  <c r="E192" i="1" s="1"/>
  <c r="E193" i="1" s="1"/>
  <c r="C10" i="2"/>
  <c r="C11" i="2"/>
  <c r="C12" i="2"/>
  <c r="C212" i="1" s="1"/>
  <c r="C13" i="2"/>
  <c r="C14" i="2"/>
  <c r="C15" i="2"/>
  <c r="C293" i="1" s="1"/>
  <c r="C16" i="2"/>
  <c r="C316" i="1" s="1"/>
  <c r="E317" i="1" s="1"/>
  <c r="C17" i="2"/>
  <c r="C18" i="2"/>
  <c r="C19" i="2"/>
  <c r="C330" i="1" s="1"/>
  <c r="E331" i="1" s="1"/>
  <c r="C20" i="2"/>
  <c r="C21" i="2"/>
  <c r="C22" i="2"/>
  <c r="C23" i="2"/>
  <c r="C24" i="2"/>
  <c r="C25" i="2"/>
  <c r="C370" i="1" s="1"/>
  <c r="C26" i="2"/>
  <c r="C27" i="2"/>
  <c r="C28" i="2"/>
  <c r="C29" i="2"/>
  <c r="C30" i="2"/>
  <c r="C31" i="2"/>
  <c r="C402" i="1" s="1"/>
  <c r="C32" i="2"/>
  <c r="C414" i="1" s="1"/>
  <c r="C33" i="2"/>
  <c r="C566" i="1" s="1"/>
  <c r="E195" i="1" l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339" i="1"/>
  <c r="E340" i="1" s="1"/>
  <c r="E341" i="1" s="1"/>
  <c r="E342" i="1" s="1"/>
  <c r="E343" i="1" s="1"/>
  <c r="E344" i="1" s="1"/>
  <c r="E347" i="1"/>
  <c r="E394" i="1"/>
  <c r="E254" i="1"/>
  <c r="E255" i="1" s="1"/>
  <c r="E256" i="1" s="1"/>
  <c r="E257" i="1" s="1"/>
  <c r="E258" i="1" s="1"/>
  <c r="E259" i="1" s="1"/>
  <c r="E567" i="1"/>
  <c r="E194" i="1"/>
  <c r="E183" i="1"/>
  <c r="E184" i="1" s="1"/>
  <c r="E185" i="1" s="1"/>
  <c r="E186" i="1" s="1"/>
  <c r="E187" i="1" s="1"/>
  <c r="E188" i="1" s="1"/>
  <c r="E189" i="1" s="1"/>
  <c r="E393" i="1"/>
  <c r="E387" i="1"/>
  <c r="E388" i="1" s="1"/>
  <c r="E389" i="1" s="1"/>
  <c r="E390" i="1" s="1"/>
  <c r="E359" i="1"/>
  <c r="E273" i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333" i="1"/>
  <c r="E334" i="1" s="1"/>
  <c r="E335" i="1" s="1"/>
  <c r="E336" i="1" s="1"/>
  <c r="E261" i="1"/>
  <c r="E262" i="1" s="1"/>
  <c r="E263" i="1" s="1"/>
  <c r="E264" i="1" s="1"/>
  <c r="E265" i="1" s="1"/>
  <c r="E266" i="1" s="1"/>
  <c r="E267" i="1" s="1"/>
  <c r="E268" i="1" s="1"/>
  <c r="E269" i="1" s="1"/>
  <c r="E270" i="1" s="1"/>
  <c r="E179" i="1"/>
  <c r="E318" i="1"/>
  <c r="E319" i="1" s="1"/>
  <c r="E320" i="1" s="1"/>
  <c r="E321" i="1" s="1"/>
  <c r="E322" i="1" s="1"/>
  <c r="E323" i="1" s="1"/>
  <c r="E178" i="1"/>
  <c r="E175" i="1"/>
  <c r="E176" i="1" s="1"/>
  <c r="A176" i="1" s="1"/>
  <c r="E348" i="1"/>
  <c r="E349" i="1" s="1"/>
  <c r="E350" i="1" s="1"/>
  <c r="E351" i="1" s="1"/>
  <c r="E352" i="1" s="1"/>
  <c r="E353" i="1" s="1"/>
  <c r="E354" i="1" s="1"/>
  <c r="E355" i="1" s="1"/>
  <c r="E356" i="1" s="1"/>
  <c r="E395" i="1"/>
  <c r="E396" i="1" s="1"/>
  <c r="E397" i="1" s="1"/>
  <c r="E398" i="1" s="1"/>
  <c r="E399" i="1" s="1"/>
  <c r="E400" i="1" s="1"/>
  <c r="E326" i="1"/>
  <c r="E360" i="1"/>
  <c r="E361" i="1" s="1"/>
  <c r="E362" i="1" s="1"/>
  <c r="E363" i="1" s="1"/>
  <c r="E364" i="1" s="1"/>
  <c r="E365" i="1" s="1"/>
  <c r="B316" i="1"/>
  <c r="B124" i="1"/>
  <c r="B95" i="1"/>
  <c r="B121" i="1"/>
  <c r="B94" i="1"/>
  <c r="B315" i="1"/>
  <c r="B119" i="1"/>
  <c r="B91" i="1"/>
  <c r="B118" i="1"/>
  <c r="B115" i="1"/>
  <c r="B571" i="1"/>
  <c r="A701" i="4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B112" i="1"/>
  <c r="B567" i="1"/>
  <c r="B136" i="1"/>
  <c r="B107" i="1"/>
  <c r="B4" i="2"/>
  <c r="B566" i="1"/>
  <c r="B133" i="1"/>
  <c r="B106" i="1"/>
  <c r="B131" i="1"/>
  <c r="B103" i="1"/>
  <c r="B130" i="1"/>
  <c r="B100" i="1"/>
  <c r="C166" i="1"/>
  <c r="E167" i="1" s="1"/>
  <c r="E168" i="1" s="1"/>
  <c r="E169" i="1" s="1"/>
  <c r="E170" i="1" s="1"/>
  <c r="E171" i="1" s="1"/>
  <c r="E172" i="1" s="1"/>
  <c r="E173" i="1" s="1"/>
  <c r="B207" i="1"/>
  <c r="B208" i="1"/>
  <c r="B209" i="1"/>
  <c r="A451" i="4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B345" i="1"/>
  <c r="A1001" i="4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B19" i="2"/>
  <c r="A801" i="4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B324" i="1"/>
  <c r="B325" i="1"/>
  <c r="B326" i="1"/>
  <c r="A251" i="4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B174" i="1"/>
  <c r="B175" i="1"/>
  <c r="B176" i="1"/>
  <c r="B8" i="2"/>
  <c r="C249" i="1"/>
  <c r="C243" i="1"/>
  <c r="C237" i="1"/>
  <c r="C231" i="1"/>
  <c r="C225" i="1"/>
  <c r="C218" i="1"/>
  <c r="C211" i="1"/>
  <c r="E212" i="1" s="1"/>
  <c r="C83" i="1"/>
  <c r="C77" i="1"/>
  <c r="C71" i="1"/>
  <c r="C65" i="1"/>
  <c r="C59" i="1"/>
  <c r="C53" i="1"/>
  <c r="C47" i="1"/>
  <c r="C41" i="1"/>
  <c r="C35" i="1"/>
  <c r="C29" i="1"/>
  <c r="C23" i="1"/>
  <c r="C17" i="1"/>
  <c r="C11" i="1"/>
  <c r="C5" i="1"/>
  <c r="D569" i="1"/>
  <c r="D565" i="1"/>
  <c r="D561" i="1"/>
  <c r="D557" i="1"/>
  <c r="D553" i="1"/>
  <c r="D549" i="1"/>
  <c r="D545" i="1"/>
  <c r="D541" i="1"/>
  <c r="D537" i="1"/>
  <c r="D533" i="1"/>
  <c r="D529" i="1"/>
  <c r="D525" i="1"/>
  <c r="D521" i="1"/>
  <c r="D517" i="1"/>
  <c r="D513" i="1"/>
  <c r="D509" i="1"/>
  <c r="D505" i="1"/>
  <c r="D501" i="1"/>
  <c r="D497" i="1"/>
  <c r="D493" i="1"/>
  <c r="D489" i="1"/>
  <c r="D485" i="1"/>
  <c r="D481" i="1"/>
  <c r="D477" i="1"/>
  <c r="D473" i="1"/>
  <c r="D469" i="1"/>
  <c r="D465" i="1"/>
  <c r="D461" i="1"/>
  <c r="D457" i="1"/>
  <c r="D453" i="1"/>
  <c r="D449" i="1"/>
  <c r="D445" i="1"/>
  <c r="D441" i="1"/>
  <c r="D437" i="1"/>
  <c r="D433" i="1"/>
  <c r="D429" i="1"/>
  <c r="D425" i="1"/>
  <c r="D421" i="1"/>
  <c r="D417" i="1"/>
  <c r="C310" i="1"/>
  <c r="C304" i="1"/>
  <c r="C298" i="1"/>
  <c r="C292" i="1"/>
  <c r="E293" i="1" s="1"/>
  <c r="B259" i="1"/>
  <c r="B253" i="1"/>
  <c r="B167" i="1"/>
  <c r="B149" i="1"/>
  <c r="B138" i="1"/>
  <c r="B126" i="1"/>
  <c r="B114" i="1"/>
  <c r="B102" i="1"/>
  <c r="B90" i="1"/>
  <c r="C569" i="1"/>
  <c r="C565" i="1"/>
  <c r="C561" i="1"/>
  <c r="C557" i="1"/>
  <c r="C553" i="1"/>
  <c r="C549" i="1"/>
  <c r="C545" i="1"/>
  <c r="C541" i="1"/>
  <c r="C537" i="1"/>
  <c r="C533" i="1"/>
  <c r="C529" i="1"/>
  <c r="C525" i="1"/>
  <c r="C521" i="1"/>
  <c r="C517" i="1"/>
  <c r="C513" i="1"/>
  <c r="C509" i="1"/>
  <c r="C505" i="1"/>
  <c r="C501" i="1"/>
  <c r="C497" i="1"/>
  <c r="C493" i="1"/>
  <c r="C489" i="1"/>
  <c r="C485" i="1"/>
  <c r="C481" i="1"/>
  <c r="C477" i="1"/>
  <c r="C473" i="1"/>
  <c r="C469" i="1"/>
  <c r="C465" i="1"/>
  <c r="C461" i="1"/>
  <c r="C457" i="1"/>
  <c r="C453" i="1"/>
  <c r="C449" i="1"/>
  <c r="C445" i="1"/>
  <c r="C441" i="1"/>
  <c r="C437" i="1"/>
  <c r="C433" i="1"/>
  <c r="C429" i="1"/>
  <c r="C425" i="1"/>
  <c r="C421" i="1"/>
  <c r="C417" i="1"/>
  <c r="C413" i="1"/>
  <c r="C409" i="1"/>
  <c r="E410" i="1" s="1"/>
  <c r="C405" i="1"/>
  <c r="C373" i="1"/>
  <c r="C369" i="1"/>
  <c r="B342" i="1"/>
  <c r="C223" i="1"/>
  <c r="C248" i="1"/>
  <c r="C242" i="1"/>
  <c r="C236" i="1"/>
  <c r="C230" i="1"/>
  <c r="C224" i="1"/>
  <c r="C217" i="1"/>
  <c r="C165" i="1"/>
  <c r="E166" i="1" s="1"/>
  <c r="B148" i="1"/>
  <c r="B137" i="1"/>
  <c r="B125" i="1"/>
  <c r="B113" i="1"/>
  <c r="B101" i="1"/>
  <c r="B89" i="1"/>
  <c r="C82" i="1"/>
  <c r="C76" i="1"/>
  <c r="C70" i="1"/>
  <c r="C64" i="1"/>
  <c r="C58" i="1"/>
  <c r="C52" i="1"/>
  <c r="C46" i="1"/>
  <c r="C40" i="1"/>
  <c r="C34" i="1"/>
  <c r="C28" i="1"/>
  <c r="C22" i="1"/>
  <c r="C16" i="1"/>
  <c r="C10" i="1"/>
  <c r="C4" i="1"/>
  <c r="B569" i="1"/>
  <c r="B565" i="1"/>
  <c r="B381" i="1"/>
  <c r="B377" i="1"/>
  <c r="B373" i="1"/>
  <c r="A366" i="1" s="1"/>
  <c r="B369" i="1"/>
  <c r="B365" i="1"/>
  <c r="B361" i="1"/>
  <c r="B357" i="1"/>
  <c r="C309" i="1"/>
  <c r="C303" i="1"/>
  <c r="E304" i="1" s="1"/>
  <c r="C297" i="1"/>
  <c r="E298" i="1" s="1"/>
  <c r="B147" i="1"/>
  <c r="B88" i="1"/>
  <c r="D572" i="1"/>
  <c r="D568" i="1"/>
  <c r="D560" i="1"/>
  <c r="D556" i="1"/>
  <c r="D552" i="1"/>
  <c r="D548" i="1"/>
  <c r="D544" i="1"/>
  <c r="D540" i="1"/>
  <c r="D536" i="1"/>
  <c r="D532" i="1"/>
  <c r="D528" i="1"/>
  <c r="D524" i="1"/>
  <c r="D520" i="1"/>
  <c r="D516" i="1"/>
  <c r="D512" i="1"/>
  <c r="D508" i="1"/>
  <c r="D504" i="1"/>
  <c r="D500" i="1"/>
  <c r="D496" i="1"/>
  <c r="D492" i="1"/>
  <c r="D488" i="1"/>
  <c r="D484" i="1"/>
  <c r="D480" i="1"/>
  <c r="D476" i="1"/>
  <c r="D472" i="1"/>
  <c r="D468" i="1"/>
  <c r="D464" i="1"/>
  <c r="D460" i="1"/>
  <c r="D456" i="1"/>
  <c r="D452" i="1"/>
  <c r="D448" i="1"/>
  <c r="D444" i="1"/>
  <c r="D440" i="1"/>
  <c r="D436" i="1"/>
  <c r="D432" i="1"/>
  <c r="D428" i="1"/>
  <c r="D424" i="1"/>
  <c r="D420" i="1"/>
  <c r="D416" i="1"/>
  <c r="B341" i="1"/>
  <c r="C222" i="1"/>
  <c r="C247" i="1"/>
  <c r="C241" i="1"/>
  <c r="C235" i="1"/>
  <c r="C229" i="1"/>
  <c r="C221" i="1"/>
  <c r="C216" i="1"/>
  <c r="C164" i="1"/>
  <c r="E165" i="1" s="1"/>
  <c r="B158" i="1"/>
  <c r="B146" i="1"/>
  <c r="B135" i="1"/>
  <c r="B123" i="1"/>
  <c r="B111" i="1"/>
  <c r="B99" i="1"/>
  <c r="C81" i="1"/>
  <c r="C75" i="1"/>
  <c r="C69" i="1"/>
  <c r="C63" i="1"/>
  <c r="C57" i="1"/>
  <c r="C51" i="1"/>
  <c r="C45" i="1"/>
  <c r="C39" i="1"/>
  <c r="C33" i="1"/>
  <c r="C27" i="1"/>
  <c r="C21" i="1"/>
  <c r="C15" i="1"/>
  <c r="C9" i="1"/>
  <c r="C3" i="1"/>
  <c r="C572" i="1"/>
  <c r="C568" i="1"/>
  <c r="E569" i="1" s="1"/>
  <c r="C564" i="1"/>
  <c r="C560" i="1"/>
  <c r="E561" i="1" s="1"/>
  <c r="C556" i="1"/>
  <c r="C552" i="1"/>
  <c r="C548" i="1"/>
  <c r="C544" i="1"/>
  <c r="C540" i="1"/>
  <c r="C536" i="1"/>
  <c r="C532" i="1"/>
  <c r="C528" i="1"/>
  <c r="C524" i="1"/>
  <c r="C520" i="1"/>
  <c r="C516" i="1"/>
  <c r="C512" i="1"/>
  <c r="C508" i="1"/>
  <c r="C504" i="1"/>
  <c r="C500" i="1"/>
  <c r="C496" i="1"/>
  <c r="C492" i="1"/>
  <c r="C488" i="1"/>
  <c r="C484" i="1"/>
  <c r="C480" i="1"/>
  <c r="C476" i="1"/>
  <c r="C472" i="1"/>
  <c r="C468" i="1"/>
  <c r="C464" i="1"/>
  <c r="C460" i="1"/>
  <c r="C456" i="1"/>
  <c r="C452" i="1"/>
  <c r="C448" i="1"/>
  <c r="C444" i="1"/>
  <c r="C440" i="1"/>
  <c r="C436" i="1"/>
  <c r="C432" i="1"/>
  <c r="C428" i="1"/>
  <c r="C424" i="1"/>
  <c r="C420" i="1"/>
  <c r="C416" i="1"/>
  <c r="C412" i="1"/>
  <c r="C408" i="1"/>
  <c r="E409" i="1" s="1"/>
  <c r="C404" i="1"/>
  <c r="C372" i="1"/>
  <c r="E373" i="1" s="1"/>
  <c r="C368" i="1"/>
  <c r="C314" i="1"/>
  <c r="E315" i="1" s="1"/>
  <c r="C308" i="1"/>
  <c r="E309" i="1" s="1"/>
  <c r="C302" i="1"/>
  <c r="C296" i="1"/>
  <c r="E297" i="1" s="1"/>
  <c r="B257" i="1"/>
  <c r="B171" i="1"/>
  <c r="B157" i="1"/>
  <c r="B145" i="1"/>
  <c r="B134" i="1"/>
  <c r="B122" i="1"/>
  <c r="B110" i="1"/>
  <c r="B98" i="1"/>
  <c r="B87" i="1"/>
  <c r="B572" i="1"/>
  <c r="B568" i="1"/>
  <c r="B380" i="1"/>
  <c r="B376" i="1"/>
  <c r="B372" i="1"/>
  <c r="B368" i="1"/>
  <c r="B364" i="1"/>
  <c r="B360" i="1"/>
  <c r="C252" i="1"/>
  <c r="E253" i="1" s="1"/>
  <c r="C246" i="1"/>
  <c r="C240" i="1"/>
  <c r="C234" i="1"/>
  <c r="C228" i="1"/>
  <c r="C215" i="1"/>
  <c r="E216" i="1" s="1"/>
  <c r="C214" i="1"/>
  <c r="C163" i="1"/>
  <c r="C86" i="1"/>
  <c r="C80" i="1"/>
  <c r="C74" i="1"/>
  <c r="C68" i="1"/>
  <c r="C62" i="1"/>
  <c r="C56" i="1"/>
  <c r="C50" i="1"/>
  <c r="C44" i="1"/>
  <c r="C38" i="1"/>
  <c r="C32" i="1"/>
  <c r="C26" i="1"/>
  <c r="C20" i="1"/>
  <c r="C14" i="1"/>
  <c r="C8" i="1"/>
  <c r="D571" i="1"/>
  <c r="D567" i="1"/>
  <c r="D555" i="1"/>
  <c r="D551" i="1"/>
  <c r="D547" i="1"/>
  <c r="D543" i="1"/>
  <c r="D539" i="1"/>
  <c r="D535" i="1"/>
  <c r="D531" i="1"/>
  <c r="D527" i="1"/>
  <c r="D523" i="1"/>
  <c r="D515" i="1"/>
  <c r="D511" i="1"/>
  <c r="D507" i="1"/>
  <c r="D503" i="1"/>
  <c r="D499" i="1"/>
  <c r="D495" i="1"/>
  <c r="D491" i="1"/>
  <c r="D487" i="1"/>
  <c r="D483" i="1"/>
  <c r="D479" i="1"/>
  <c r="D475" i="1"/>
  <c r="D471" i="1"/>
  <c r="D467" i="1"/>
  <c r="D463" i="1"/>
  <c r="D459" i="1"/>
  <c r="D455" i="1"/>
  <c r="D451" i="1"/>
  <c r="D447" i="1"/>
  <c r="D443" i="1"/>
  <c r="D439" i="1"/>
  <c r="D435" i="1"/>
  <c r="D431" i="1"/>
  <c r="D427" i="1"/>
  <c r="D423" i="1"/>
  <c r="D419" i="1"/>
  <c r="C313" i="1"/>
  <c r="C307" i="1"/>
  <c r="E308" i="1" s="1"/>
  <c r="C301" i="1"/>
  <c r="E302" i="1" s="1"/>
  <c r="C295" i="1"/>
  <c r="E296" i="1" s="1"/>
  <c r="B155" i="1"/>
  <c r="B143" i="1"/>
  <c r="B132" i="1"/>
  <c r="B120" i="1"/>
  <c r="B108" i="1"/>
  <c r="B96" i="1"/>
  <c r="C571" i="1"/>
  <c r="C567" i="1"/>
  <c r="E568" i="1" s="1"/>
  <c r="C559" i="1"/>
  <c r="E560" i="1" s="1"/>
  <c r="C555" i="1"/>
  <c r="C551" i="1"/>
  <c r="C547" i="1"/>
  <c r="C543" i="1"/>
  <c r="C539" i="1"/>
  <c r="C535" i="1"/>
  <c r="C531" i="1"/>
  <c r="C527" i="1"/>
  <c r="C523" i="1"/>
  <c r="C519" i="1"/>
  <c r="C515" i="1"/>
  <c r="C511" i="1"/>
  <c r="C507" i="1"/>
  <c r="C503" i="1"/>
  <c r="C499" i="1"/>
  <c r="C495" i="1"/>
  <c r="C491" i="1"/>
  <c r="C487" i="1"/>
  <c r="C483" i="1"/>
  <c r="C479" i="1"/>
  <c r="C475" i="1"/>
  <c r="C471" i="1"/>
  <c r="C467" i="1"/>
  <c r="C463" i="1"/>
  <c r="C459" i="1"/>
  <c r="C455" i="1"/>
  <c r="C451" i="1"/>
  <c r="C447" i="1"/>
  <c r="C443" i="1"/>
  <c r="C439" i="1"/>
  <c r="C435" i="1"/>
  <c r="C431" i="1"/>
  <c r="C427" i="1"/>
  <c r="C423" i="1"/>
  <c r="C419" i="1"/>
  <c r="C415" i="1"/>
  <c r="E416" i="1" s="1"/>
  <c r="C411" i="1"/>
  <c r="C407" i="1"/>
  <c r="E408" i="1" s="1"/>
  <c r="C403" i="1"/>
  <c r="E403" i="1" s="1"/>
  <c r="C371" i="1"/>
  <c r="E372" i="1" s="1"/>
  <c r="C367" i="1"/>
  <c r="C251" i="1"/>
  <c r="C245" i="1"/>
  <c r="C239" i="1"/>
  <c r="C233" i="1"/>
  <c r="C227" i="1"/>
  <c r="C220" i="1"/>
  <c r="E221" i="1" s="1"/>
  <c r="C213" i="1"/>
  <c r="E213" i="1" s="1"/>
  <c r="C85" i="1"/>
  <c r="C79" i="1"/>
  <c r="C73" i="1"/>
  <c r="C67" i="1"/>
  <c r="C61" i="1"/>
  <c r="C55" i="1"/>
  <c r="C49" i="1"/>
  <c r="C43" i="1"/>
  <c r="C37" i="1"/>
  <c r="C31" i="1"/>
  <c r="C25" i="1"/>
  <c r="C19" i="1"/>
  <c r="C13" i="1"/>
  <c r="C7" i="1"/>
  <c r="B379" i="1"/>
  <c r="B375" i="1"/>
  <c r="B371" i="1"/>
  <c r="B367" i="1"/>
  <c r="B363" i="1"/>
  <c r="B359" i="1"/>
  <c r="C312" i="1"/>
  <c r="C306" i="1"/>
  <c r="C300" i="1"/>
  <c r="C294" i="1"/>
  <c r="E295" i="1" s="1"/>
  <c r="D570" i="1"/>
  <c r="D566" i="1"/>
  <c r="D562" i="1"/>
  <c r="D558" i="1"/>
  <c r="D554" i="1"/>
  <c r="D550" i="1"/>
  <c r="D546" i="1"/>
  <c r="D542" i="1"/>
  <c r="D538" i="1"/>
  <c r="D534" i="1"/>
  <c r="D530" i="1"/>
  <c r="D526" i="1"/>
  <c r="D522" i="1"/>
  <c r="D518" i="1"/>
  <c r="D514" i="1"/>
  <c r="D510" i="1"/>
  <c r="D506" i="1"/>
  <c r="D502" i="1"/>
  <c r="D498" i="1"/>
  <c r="D494" i="1"/>
  <c r="D490" i="1"/>
  <c r="D486" i="1"/>
  <c r="D482" i="1"/>
  <c r="D478" i="1"/>
  <c r="D474" i="1"/>
  <c r="D470" i="1"/>
  <c r="D466" i="1"/>
  <c r="D462" i="1"/>
  <c r="D458" i="1"/>
  <c r="D454" i="1"/>
  <c r="D450" i="1"/>
  <c r="D446" i="1"/>
  <c r="D442" i="1"/>
  <c r="D438" i="1"/>
  <c r="D434" i="1"/>
  <c r="D430" i="1"/>
  <c r="D426" i="1"/>
  <c r="D422" i="1"/>
  <c r="D418" i="1"/>
  <c r="C250" i="1"/>
  <c r="C244" i="1"/>
  <c r="C238" i="1"/>
  <c r="C232" i="1"/>
  <c r="C226" i="1"/>
  <c r="C219" i="1"/>
  <c r="B152" i="1"/>
  <c r="B141" i="1"/>
  <c r="B129" i="1"/>
  <c r="B117" i="1"/>
  <c r="B105" i="1"/>
  <c r="B93" i="1"/>
  <c r="C84" i="1"/>
  <c r="C78" i="1"/>
  <c r="C72" i="1"/>
  <c r="C66" i="1"/>
  <c r="C60" i="1"/>
  <c r="C54" i="1"/>
  <c r="C48" i="1"/>
  <c r="C42" i="1"/>
  <c r="C36" i="1"/>
  <c r="C30" i="1"/>
  <c r="C24" i="1"/>
  <c r="C18" i="1"/>
  <c r="C12" i="1"/>
  <c r="B28" i="2"/>
  <c r="C570" i="1"/>
  <c r="C562" i="1"/>
  <c r="E563" i="1" s="1"/>
  <c r="C558" i="1"/>
  <c r="C554" i="1"/>
  <c r="C550" i="1"/>
  <c r="C546" i="1"/>
  <c r="C542" i="1"/>
  <c r="C538" i="1"/>
  <c r="C534" i="1"/>
  <c r="C530" i="1"/>
  <c r="C526" i="1"/>
  <c r="C522" i="1"/>
  <c r="C518" i="1"/>
  <c r="C514" i="1"/>
  <c r="C510" i="1"/>
  <c r="C506" i="1"/>
  <c r="C502" i="1"/>
  <c r="C498" i="1"/>
  <c r="C494" i="1"/>
  <c r="C490" i="1"/>
  <c r="C486" i="1"/>
  <c r="C482" i="1"/>
  <c r="C478" i="1"/>
  <c r="C474" i="1"/>
  <c r="C470" i="1"/>
  <c r="C466" i="1"/>
  <c r="C462" i="1"/>
  <c r="C458" i="1"/>
  <c r="C454" i="1"/>
  <c r="C450" i="1"/>
  <c r="C446" i="1"/>
  <c r="C442" i="1"/>
  <c r="C438" i="1"/>
  <c r="C434" i="1"/>
  <c r="C430" i="1"/>
  <c r="C426" i="1"/>
  <c r="C422" i="1"/>
  <c r="C418" i="1"/>
  <c r="C406" i="1"/>
  <c r="C374" i="1"/>
  <c r="E375" i="1" s="1"/>
  <c r="E376" i="1" s="1"/>
  <c r="E377" i="1" s="1"/>
  <c r="E378" i="1" s="1"/>
  <c r="E379" i="1" s="1"/>
  <c r="E380" i="1" s="1"/>
  <c r="C311" i="1"/>
  <c r="E312" i="1" s="1"/>
  <c r="C305" i="1"/>
  <c r="E306" i="1" s="1"/>
  <c r="C299" i="1"/>
  <c r="E300" i="1" s="1"/>
  <c r="B254" i="1"/>
  <c r="B140" i="1"/>
  <c r="B128" i="1"/>
  <c r="B116" i="1"/>
  <c r="B104" i="1"/>
  <c r="B378" i="1"/>
  <c r="B374" i="1"/>
  <c r="B370" i="1"/>
  <c r="B362" i="1"/>
  <c r="B358" i="1"/>
  <c r="A382" i="1"/>
  <c r="A357" i="1"/>
  <c r="A1551" i="4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251" i="4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151" i="4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B330" i="1"/>
  <c r="A851" i="4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B329" i="1"/>
  <c r="B327" i="1"/>
  <c r="B328" i="1"/>
  <c r="C329" i="1"/>
  <c r="E330" i="1" s="1"/>
  <c r="C328" i="1"/>
  <c r="B321" i="1"/>
  <c r="A751" i="4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B322" i="1"/>
  <c r="B317" i="1"/>
  <c r="A317" i="1" s="1"/>
  <c r="B323" i="1"/>
  <c r="A324" i="1" s="1"/>
  <c r="B318" i="1"/>
  <c r="B319" i="1"/>
  <c r="B320" i="1"/>
  <c r="B260" i="1"/>
  <c r="A260" i="1" s="1"/>
  <c r="B266" i="1"/>
  <c r="B261" i="1"/>
  <c r="B267" i="1"/>
  <c r="A601" i="4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B262" i="1"/>
  <c r="B268" i="1"/>
  <c r="B263" i="1"/>
  <c r="B269" i="1"/>
  <c r="B264" i="1"/>
  <c r="B270" i="1"/>
  <c r="A271" i="1" s="1"/>
  <c r="B265" i="1"/>
  <c r="C156" i="1"/>
  <c r="C150" i="1"/>
  <c r="C144" i="1"/>
  <c r="C155" i="1"/>
  <c r="C149" i="1"/>
  <c r="C143" i="1"/>
  <c r="C154" i="1"/>
  <c r="C148" i="1"/>
  <c r="C153" i="1"/>
  <c r="C147" i="1"/>
  <c r="C158" i="1"/>
  <c r="E159" i="1" s="1"/>
  <c r="E160" i="1" s="1"/>
  <c r="E161" i="1" s="1"/>
  <c r="C152" i="1"/>
  <c r="C146" i="1"/>
  <c r="C157" i="1"/>
  <c r="C151" i="1"/>
  <c r="C141" i="1"/>
  <c r="E142" i="1" s="1"/>
  <c r="C135" i="1"/>
  <c r="E136" i="1" s="1"/>
  <c r="C129" i="1"/>
  <c r="C123" i="1"/>
  <c r="C117" i="1"/>
  <c r="C111" i="1"/>
  <c r="C105" i="1"/>
  <c r="C99" i="1"/>
  <c r="C93" i="1"/>
  <c r="D110" i="1"/>
  <c r="C140" i="1"/>
  <c r="E141" i="1" s="1"/>
  <c r="C134" i="1"/>
  <c r="C128" i="1"/>
  <c r="C122" i="1"/>
  <c r="E123" i="1" s="1"/>
  <c r="C116" i="1"/>
  <c r="E117" i="1" s="1"/>
  <c r="C110" i="1"/>
  <c r="C104" i="1"/>
  <c r="C98" i="1"/>
  <c r="E99" i="1" s="1"/>
  <c r="C92" i="1"/>
  <c r="E93" i="1" s="1"/>
  <c r="C139" i="1"/>
  <c r="C133" i="1"/>
  <c r="C127" i="1"/>
  <c r="E128" i="1" s="1"/>
  <c r="C121" i="1"/>
  <c r="C115" i="1"/>
  <c r="C109" i="1"/>
  <c r="C103" i="1"/>
  <c r="E104" i="1" s="1"/>
  <c r="C97" i="1"/>
  <c r="E98" i="1" s="1"/>
  <c r="C91" i="1"/>
  <c r="E92" i="1" s="1"/>
  <c r="D127" i="1"/>
  <c r="C138" i="1"/>
  <c r="E139" i="1" s="1"/>
  <c r="C132" i="1"/>
  <c r="E133" i="1" s="1"/>
  <c r="C126" i="1"/>
  <c r="C120" i="1"/>
  <c r="C114" i="1"/>
  <c r="C108" i="1"/>
  <c r="C102" i="1"/>
  <c r="C96" i="1"/>
  <c r="C90" i="1"/>
  <c r="E91" i="1" s="1"/>
  <c r="D129" i="1"/>
  <c r="C137" i="1"/>
  <c r="E138" i="1" s="1"/>
  <c r="C131" i="1"/>
  <c r="E132" i="1" s="1"/>
  <c r="C125" i="1"/>
  <c r="E126" i="1" s="1"/>
  <c r="C119" i="1"/>
  <c r="C113" i="1"/>
  <c r="C107" i="1"/>
  <c r="C101" i="1"/>
  <c r="C95" i="1"/>
  <c r="E96" i="1" s="1"/>
  <c r="C89" i="1"/>
  <c r="C136" i="1"/>
  <c r="C130" i="1"/>
  <c r="E131" i="1" s="1"/>
  <c r="C124" i="1"/>
  <c r="E125" i="1" s="1"/>
  <c r="C118" i="1"/>
  <c r="C112" i="1"/>
  <c r="C106" i="1"/>
  <c r="C100" i="1"/>
  <c r="C94" i="1"/>
  <c r="D108" i="1"/>
  <c r="D120" i="1"/>
  <c r="D84" i="1"/>
  <c r="D72" i="1"/>
  <c r="D60" i="1"/>
  <c r="D48" i="1"/>
  <c r="D36" i="1"/>
  <c r="D24" i="1"/>
  <c r="D3" i="1"/>
  <c r="A210" i="1"/>
  <c r="A331" i="1"/>
  <c r="A347" i="1"/>
  <c r="A337" i="1"/>
  <c r="A88" i="1"/>
  <c r="A293" i="1"/>
  <c r="A345" i="1"/>
  <c r="A190" i="1"/>
  <c r="A315" i="1"/>
  <c r="A316" i="1"/>
  <c r="A162" i="1"/>
  <c r="D121" i="1"/>
  <c r="D109" i="1"/>
  <c r="D85" i="1"/>
  <c r="D73" i="1"/>
  <c r="D61" i="1"/>
  <c r="D49" i="1"/>
  <c r="D37" i="1"/>
  <c r="D25" i="1"/>
  <c r="D13" i="1"/>
  <c r="D12" i="1"/>
  <c r="D119" i="1"/>
  <c r="D107" i="1"/>
  <c r="D83" i="1"/>
  <c r="D71" i="1"/>
  <c r="D59" i="1"/>
  <c r="D47" i="1"/>
  <c r="D35" i="1"/>
  <c r="D23" i="1"/>
  <c r="D11" i="1"/>
  <c r="D118" i="1"/>
  <c r="D106" i="1"/>
  <c r="D82" i="1"/>
  <c r="D70" i="1"/>
  <c r="D58" i="1"/>
  <c r="D46" i="1"/>
  <c r="D34" i="1"/>
  <c r="D22" i="1"/>
  <c r="D10" i="1"/>
  <c r="D117" i="1"/>
  <c r="D105" i="1"/>
  <c r="D81" i="1"/>
  <c r="D69" i="1"/>
  <c r="D57" i="1"/>
  <c r="D45" i="1"/>
  <c r="D33" i="1"/>
  <c r="D21" i="1"/>
  <c r="D9" i="1"/>
  <c r="D116" i="1"/>
  <c r="D104" i="1"/>
  <c r="D80" i="1"/>
  <c r="D68" i="1"/>
  <c r="D56" i="1"/>
  <c r="D44" i="1"/>
  <c r="D32" i="1"/>
  <c r="D20" i="1"/>
  <c r="D8" i="1"/>
  <c r="D115" i="1"/>
  <c r="D103" i="1"/>
  <c r="D79" i="1"/>
  <c r="D67" i="1"/>
  <c r="D55" i="1"/>
  <c r="D43" i="1"/>
  <c r="D31" i="1"/>
  <c r="D19" i="1"/>
  <c r="D7" i="1"/>
  <c r="D114" i="1"/>
  <c r="D102" i="1"/>
  <c r="D78" i="1"/>
  <c r="D66" i="1"/>
  <c r="D54" i="1"/>
  <c r="D42" i="1"/>
  <c r="D30" i="1"/>
  <c r="D18" i="1"/>
  <c r="D6" i="1"/>
  <c r="D113" i="1"/>
  <c r="D101" i="1"/>
  <c r="D77" i="1"/>
  <c r="D65" i="1"/>
  <c r="D53" i="1"/>
  <c r="D41" i="1"/>
  <c r="D29" i="1"/>
  <c r="D17" i="1"/>
  <c r="D5" i="1"/>
  <c r="D112" i="1"/>
  <c r="D76" i="1"/>
  <c r="D64" i="1"/>
  <c r="D52" i="1"/>
  <c r="D40" i="1"/>
  <c r="D28" i="1"/>
  <c r="D16" i="1"/>
  <c r="D4" i="1"/>
  <c r="D111" i="1"/>
  <c r="D75" i="1"/>
  <c r="D63" i="1"/>
  <c r="D51" i="1"/>
  <c r="D39" i="1"/>
  <c r="D27" i="1"/>
  <c r="D15" i="1"/>
  <c r="D86" i="1"/>
  <c r="D74" i="1"/>
  <c r="D62" i="1"/>
  <c r="D50" i="1"/>
  <c r="D38" i="1"/>
  <c r="D26" i="1"/>
  <c r="E2" i="1"/>
  <c r="A2" i="1" s="1"/>
  <c r="E144" i="1" l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19" i="1"/>
  <c r="E111" i="1"/>
  <c r="E124" i="1"/>
  <c r="E562" i="1"/>
  <c r="A562" i="1" s="1"/>
  <c r="E36" i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20" i="1"/>
  <c r="E137" i="1"/>
  <c r="E97" i="1"/>
  <c r="E110" i="1"/>
  <c r="E129" i="1"/>
  <c r="A129" i="1" s="1"/>
  <c r="E329" i="1"/>
  <c r="E49" i="1"/>
  <c r="E307" i="1"/>
  <c r="E424" i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520" i="1"/>
  <c r="A520" i="1" s="1"/>
  <c r="E572" i="1"/>
  <c r="A572" i="1" s="1"/>
  <c r="E87" i="1"/>
  <c r="E421" i="1"/>
  <c r="E564" i="1"/>
  <c r="E565" i="1"/>
  <c r="E217" i="1"/>
  <c r="E218" i="1" s="1"/>
  <c r="E219" i="1" s="1"/>
  <c r="E220" i="1" s="1"/>
  <c r="E422" i="1"/>
  <c r="E423" i="1" s="1"/>
  <c r="E566" i="1"/>
  <c r="E299" i="1"/>
  <c r="E292" i="1"/>
  <c r="E143" i="1"/>
  <c r="E468" i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90" i="1"/>
  <c r="A90" i="1" s="1"/>
  <c r="E103" i="1"/>
  <c r="E116" i="1"/>
  <c r="E135" i="1"/>
  <c r="E55" i="1"/>
  <c r="E313" i="1"/>
  <c r="E314" i="1" s="1"/>
  <c r="A314" i="1" s="1"/>
  <c r="E524" i="1"/>
  <c r="E164" i="1"/>
  <c r="E521" i="1"/>
  <c r="E64" i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222" i="1"/>
  <c r="E5" i="1"/>
  <c r="E6" i="1" s="1"/>
  <c r="E7" i="1" s="1"/>
  <c r="E8" i="1" s="1"/>
  <c r="E9" i="1" s="1"/>
  <c r="E10" i="1" s="1"/>
  <c r="E522" i="1"/>
  <c r="E570" i="1"/>
  <c r="E305" i="1"/>
  <c r="E328" i="1"/>
  <c r="A328" i="1" s="1"/>
  <c r="E109" i="1"/>
  <c r="A109" i="1" s="1"/>
  <c r="E122" i="1"/>
  <c r="E559" i="1"/>
  <c r="E215" i="1"/>
  <c r="E525" i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73" i="1"/>
  <c r="E311" i="1"/>
  <c r="E115" i="1"/>
  <c r="E467" i="1"/>
  <c r="E50" i="1"/>
  <c r="E51" i="1" s="1"/>
  <c r="E52" i="1" s="1"/>
  <c r="E53" i="1" s="1"/>
  <c r="E54" i="1" s="1"/>
  <c r="A54" i="1" s="1"/>
  <c r="E303" i="1"/>
  <c r="E4" i="1"/>
  <c r="E310" i="1"/>
  <c r="E89" i="1"/>
  <c r="A87" i="1"/>
  <c r="E108" i="1"/>
  <c r="E121" i="1"/>
  <c r="E134" i="1"/>
  <c r="E94" i="1"/>
  <c r="E519" i="1"/>
  <c r="E571" i="1"/>
  <c r="E56" i="1"/>
  <c r="E211" i="1"/>
  <c r="E294" i="1"/>
  <c r="E214" i="1"/>
  <c r="E102" i="1"/>
  <c r="E95" i="1"/>
  <c r="E114" i="1"/>
  <c r="E127" i="1"/>
  <c r="E140" i="1"/>
  <c r="E100" i="1"/>
  <c r="E523" i="1"/>
  <c r="E368" i="1"/>
  <c r="E369" i="1" s="1"/>
  <c r="E367" i="1"/>
  <c r="E411" i="1"/>
  <c r="E412" i="1" s="1"/>
  <c r="E301" i="1"/>
  <c r="E101" i="1"/>
  <c r="E120" i="1"/>
  <c r="E106" i="1"/>
  <c r="E85" i="1"/>
  <c r="E86" i="1" s="1"/>
  <c r="E223" i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35" i="1"/>
  <c r="E417" i="1"/>
  <c r="E418" i="1" s="1"/>
  <c r="E419" i="1" s="1"/>
  <c r="E107" i="1"/>
  <c r="E112" i="1"/>
  <c r="E404" i="1"/>
  <c r="E405" i="1" s="1"/>
  <c r="E406" i="1" s="1"/>
  <c r="E407" i="1" s="1"/>
  <c r="E57" i="1"/>
  <c r="E58" i="1" s="1"/>
  <c r="E59" i="1" s="1"/>
  <c r="E60" i="1" s="1"/>
  <c r="E61" i="1" s="1"/>
  <c r="E62" i="1" s="1"/>
  <c r="E63" i="1" s="1"/>
  <c r="E374" i="1"/>
  <c r="E84" i="1"/>
  <c r="E163" i="1"/>
  <c r="E415" i="1"/>
  <c r="E130" i="1"/>
  <c r="E113" i="1"/>
  <c r="E105" i="1"/>
  <c r="E118" i="1"/>
  <c r="E34" i="1"/>
  <c r="A34" i="1" s="1"/>
  <c r="E3" i="1"/>
  <c r="A309" i="1"/>
  <c r="A367" i="1"/>
  <c r="A174" i="1"/>
  <c r="A295" i="1"/>
  <c r="A346" i="1"/>
  <c r="A212" i="1"/>
  <c r="A381" i="1"/>
  <c r="A135" i="1"/>
  <c r="A411" i="1"/>
  <c r="A308" i="1"/>
  <c r="A175" i="1"/>
  <c r="A299" i="1"/>
  <c r="A415" i="1"/>
  <c r="A89" i="1"/>
  <c r="A134" i="1"/>
  <c r="A144" i="1"/>
  <c r="A329" i="1"/>
  <c r="A416" i="1"/>
  <c r="A560" i="1"/>
  <c r="A292" i="1"/>
  <c r="A140" i="1"/>
  <c r="A564" i="1"/>
  <c r="A421" i="1"/>
  <c r="A565" i="1"/>
  <c r="A101" i="1"/>
  <c r="A163" i="1"/>
  <c r="A568" i="1"/>
  <c r="A4" i="1"/>
  <c r="A521" i="1"/>
  <c r="A296" i="1"/>
  <c r="A216" i="1"/>
  <c r="A306" i="1"/>
  <c r="A159" i="1"/>
  <c r="B151" i="1"/>
  <c r="A101" i="4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B142" i="1"/>
  <c r="B144" i="1"/>
  <c r="B150" i="1"/>
  <c r="B153" i="1"/>
  <c r="B154" i="1"/>
  <c r="B156" i="1"/>
  <c r="A215" i="1"/>
  <c r="A311" i="1"/>
  <c r="A166" i="1"/>
  <c r="A372" i="1"/>
  <c r="A253" i="1"/>
  <c r="A298" i="1"/>
  <c r="A165" i="1"/>
  <c r="A297" i="1"/>
  <c r="A142" i="1"/>
  <c r="A301" i="1"/>
  <c r="A307" i="1"/>
  <c r="A424" i="1"/>
  <c r="A221" i="1"/>
  <c r="A569" i="1"/>
  <c r="A304" i="1"/>
  <c r="A305" i="1"/>
  <c r="A164" i="1"/>
  <c r="A559" i="1"/>
  <c r="A567" i="1"/>
  <c r="A571" i="1"/>
  <c r="A467" i="1"/>
  <c r="A563" i="1"/>
  <c r="A303" i="1"/>
  <c r="A524" i="1"/>
  <c r="A570" i="1"/>
  <c r="A519" i="1"/>
  <c r="A373" i="1"/>
  <c r="A213" i="1"/>
  <c r="A523" i="1"/>
  <c r="A561" i="1"/>
  <c r="A211" i="1"/>
  <c r="A566" i="1"/>
  <c r="A374" i="1"/>
  <c r="B179" i="1"/>
  <c r="A301" i="4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B177" i="1"/>
  <c r="A177" i="1" s="1"/>
  <c r="B178" i="1"/>
  <c r="B386" i="1"/>
  <c r="B390" i="1"/>
  <c r="A191" i="1" s="1"/>
  <c r="B29" i="2"/>
  <c r="B383" i="1"/>
  <c r="B387" i="1"/>
  <c r="B384" i="1"/>
  <c r="B388" i="1"/>
  <c r="A1301" i="4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B385" i="1"/>
  <c r="B389" i="1"/>
  <c r="A327" i="1"/>
  <c r="A358" i="1"/>
  <c r="A84" i="1"/>
  <c r="A330" i="1"/>
  <c r="A124" i="1"/>
  <c r="A92" i="1"/>
  <c r="A136" i="1"/>
  <c r="A137" i="1"/>
  <c r="A126" i="1"/>
  <c r="A139" i="1"/>
  <c r="A100" i="1"/>
  <c r="A99" i="1"/>
  <c r="A122" i="1"/>
  <c r="A138" i="1"/>
  <c r="A96" i="1"/>
  <c r="A98" i="1"/>
  <c r="A132" i="1"/>
  <c r="A95" i="1"/>
  <c r="A130" i="1"/>
  <c r="A91" i="1"/>
  <c r="A97" i="1"/>
  <c r="A125" i="1"/>
  <c r="A127" i="1"/>
  <c r="A111" i="1"/>
  <c r="A105" i="1"/>
  <c r="A110" i="1"/>
  <c r="A128" i="1"/>
  <c r="A123" i="1"/>
  <c r="A294" i="1"/>
  <c r="A131" i="1"/>
  <c r="A133" i="1"/>
  <c r="A93" i="1"/>
  <c r="A94" i="1"/>
  <c r="A108" i="1"/>
  <c r="A141" i="1"/>
  <c r="A55" i="1"/>
  <c r="A117" i="1"/>
  <c r="A116" i="1"/>
  <c r="A106" i="1"/>
  <c r="A114" i="1"/>
  <c r="A107" i="1"/>
  <c r="A217" i="1"/>
  <c r="A118" i="1"/>
  <c r="A113" i="1"/>
  <c r="A115" i="1"/>
  <c r="A103" i="1"/>
  <c r="A119" i="1"/>
  <c r="A310" i="1"/>
  <c r="A272" i="1"/>
  <c r="A120" i="1"/>
  <c r="A64" i="1"/>
  <c r="A102" i="1"/>
  <c r="A112" i="1"/>
  <c r="A121" i="1"/>
  <c r="A3" i="1"/>
  <c r="A10" i="1" l="1"/>
  <c r="E11" i="1"/>
  <c r="E12" i="1" s="1"/>
  <c r="E13" i="1" s="1"/>
  <c r="E14" i="1" s="1"/>
  <c r="E413" i="1"/>
  <c r="E414" i="1" s="1"/>
  <c r="A412" i="1"/>
  <c r="E370" i="1"/>
  <c r="E371" i="1" s="1"/>
  <c r="A369" i="1"/>
  <c r="A36" i="1"/>
  <c r="A422" i="1"/>
  <c r="E574" i="1"/>
  <c r="A573" i="1"/>
  <c r="A332" i="1"/>
  <c r="A167" i="1"/>
  <c r="A51" i="1"/>
  <c r="A11" i="1"/>
  <c r="A300" i="1"/>
  <c r="A13" i="1"/>
  <c r="A9" i="1"/>
  <c r="A326" i="1"/>
  <c r="A325" i="1"/>
  <c r="A35" i="1"/>
  <c r="A302" i="1"/>
  <c r="A338" i="1"/>
  <c r="A312" i="1"/>
  <c r="A261" i="1"/>
  <c r="A53" i="1"/>
  <c r="A143" i="1"/>
  <c r="A12" i="1"/>
  <c r="A348" i="1"/>
  <c r="A420" i="1"/>
  <c r="A313" i="1"/>
  <c r="A8" i="1"/>
  <c r="A368" i="1"/>
  <c r="A5" i="1"/>
  <c r="A50" i="1"/>
  <c r="A522" i="1"/>
  <c r="A104" i="1"/>
  <c r="A49" i="1"/>
  <c r="A318" i="1"/>
  <c r="A52" i="1"/>
  <c r="A7" i="1"/>
  <c r="A6" i="1"/>
  <c r="A207" i="1"/>
  <c r="A85" i="1"/>
  <c r="A425" i="1"/>
  <c r="A178" i="1"/>
  <c r="A214" i="1"/>
  <c r="B391" i="1"/>
  <c r="A391" i="1" s="1"/>
  <c r="A1351" i="4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B30" i="2"/>
  <c r="A359" i="1"/>
  <c r="A423" i="1"/>
  <c r="A56" i="1"/>
  <c r="A273" i="1"/>
  <c r="A574" i="1" l="1"/>
  <c r="E575" i="1"/>
  <c r="A413" i="1"/>
  <c r="A14" i="1"/>
  <c r="E15" i="1"/>
  <c r="A168" i="1"/>
  <c r="A146" i="1"/>
  <c r="A145" i="1"/>
  <c r="A526" i="1"/>
  <c r="A525" i="1"/>
  <c r="A319" i="1"/>
  <c r="A193" i="1"/>
  <c r="A192" i="1"/>
  <c r="A349" i="1"/>
  <c r="A254" i="1"/>
  <c r="A37" i="1"/>
  <c r="A181" i="1"/>
  <c r="A180" i="1"/>
  <c r="A468" i="1"/>
  <c r="A418" i="1"/>
  <c r="A417" i="1"/>
  <c r="A218" i="1"/>
  <c r="A161" i="1"/>
  <c r="A160" i="1"/>
  <c r="A339" i="1"/>
  <c r="A262" i="1"/>
  <c r="A65" i="1"/>
  <c r="A371" i="1"/>
  <c r="A370" i="1"/>
  <c r="A333" i="1"/>
  <c r="A208" i="1"/>
  <c r="A86" i="1"/>
  <c r="A179" i="1"/>
  <c r="A414" i="1"/>
  <c r="B394" i="1"/>
  <c r="B398" i="1"/>
  <c r="B395" i="1"/>
  <c r="B399" i="1"/>
  <c r="A1401" i="4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B392" i="1"/>
  <c r="B396" i="1"/>
  <c r="B400" i="1"/>
  <c r="A383" i="1" s="1"/>
  <c r="B393" i="1"/>
  <c r="B397" i="1"/>
  <c r="B31" i="2"/>
  <c r="A360" i="1"/>
  <c r="A147" i="1"/>
  <c r="A274" i="1"/>
  <c r="E16" i="1" l="1"/>
  <c r="A15" i="1"/>
  <c r="A575" i="1"/>
  <c r="E576" i="1"/>
  <c r="A255" i="1"/>
  <c r="A58" i="1"/>
  <c r="A57" i="1"/>
  <c r="A220" i="1"/>
  <c r="A219" i="1"/>
  <c r="A419" i="1"/>
  <c r="A334" i="1"/>
  <c r="A350" i="1"/>
  <c r="A194" i="1"/>
  <c r="A527" i="1"/>
  <c r="A66" i="1"/>
  <c r="A469" i="1"/>
  <c r="A320" i="1"/>
  <c r="A427" i="1"/>
  <c r="A426" i="1"/>
  <c r="A263" i="1"/>
  <c r="A340" i="1"/>
  <c r="A38" i="1"/>
  <c r="A169" i="1"/>
  <c r="A384" i="1"/>
  <c r="A209" i="1"/>
  <c r="A528" i="1"/>
  <c r="A392" i="1"/>
  <c r="B402" i="1"/>
  <c r="B406" i="1"/>
  <c r="B403" i="1"/>
  <c r="B407" i="1"/>
  <c r="A1451" i="4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B404" i="1"/>
  <c r="B408" i="1"/>
  <c r="B401" i="1"/>
  <c r="A375" i="1" s="1"/>
  <c r="B405" i="1"/>
  <c r="B409" i="1"/>
  <c r="A410" i="1" s="1"/>
  <c r="A428" i="1"/>
  <c r="A361" i="1"/>
  <c r="A59" i="1"/>
  <c r="A275" i="1"/>
  <c r="A195" i="1"/>
  <c r="A148" i="1"/>
  <c r="E17" i="1" l="1"/>
  <c r="A16" i="1"/>
  <c r="E577" i="1"/>
  <c r="A577" i="1" s="1"/>
  <c r="A576" i="1"/>
  <c r="A335" i="1"/>
  <c r="A336" i="1"/>
  <c r="A264" i="1"/>
  <c r="A351" i="1"/>
  <c r="A170" i="1"/>
  <c r="A321" i="1"/>
  <c r="A182" i="1"/>
  <c r="A470" i="1"/>
  <c r="A39" i="1"/>
  <c r="A67" i="1"/>
  <c r="A341" i="1"/>
  <c r="A256" i="1"/>
  <c r="A376" i="1"/>
  <c r="A409" i="1"/>
  <c r="A385" i="1"/>
  <c r="A529" i="1"/>
  <c r="A408" i="1"/>
  <c r="A393" i="1"/>
  <c r="A401" i="1"/>
  <c r="A429" i="1"/>
  <c r="A362" i="1"/>
  <c r="A60" i="1"/>
  <c r="A276" i="1"/>
  <c r="A196" i="1"/>
  <c r="A149" i="1"/>
  <c r="E18" i="1" l="1"/>
  <c r="A17" i="1"/>
  <c r="A183" i="1"/>
  <c r="A257" i="1"/>
  <c r="A342" i="1"/>
  <c r="A403" i="1"/>
  <c r="A402" i="1"/>
  <c r="A171" i="1"/>
  <c r="A352" i="1"/>
  <c r="A68" i="1"/>
  <c r="A322" i="1"/>
  <c r="A323" i="1"/>
  <c r="A40" i="1"/>
  <c r="A265" i="1"/>
  <c r="A471" i="1"/>
  <c r="A377" i="1"/>
  <c r="A386" i="1"/>
  <c r="A530" i="1"/>
  <c r="A404" i="1"/>
  <c r="A394" i="1"/>
  <c r="A430" i="1"/>
  <c r="A363" i="1"/>
  <c r="A150" i="1"/>
  <c r="A61" i="1"/>
  <c r="A197" i="1"/>
  <c r="A277" i="1"/>
  <c r="E19" i="1" l="1"/>
  <c r="A18" i="1"/>
  <c r="A353" i="1"/>
  <c r="A472" i="1"/>
  <c r="A172" i="1"/>
  <c r="A173" i="1"/>
  <c r="A266" i="1"/>
  <c r="A41" i="1"/>
  <c r="A343" i="1"/>
  <c r="A344" i="1"/>
  <c r="A259" i="1"/>
  <c r="A258" i="1"/>
  <c r="A69" i="1"/>
  <c r="A184" i="1"/>
  <c r="A387" i="1"/>
  <c r="A378" i="1"/>
  <c r="A531" i="1"/>
  <c r="A395" i="1"/>
  <c r="A405" i="1"/>
  <c r="A431" i="1"/>
  <c r="A364" i="1"/>
  <c r="A151" i="1"/>
  <c r="A62" i="1"/>
  <c r="A278" i="1"/>
  <c r="A198" i="1"/>
  <c r="E20" i="1" l="1"/>
  <c r="A19" i="1"/>
  <c r="A42" i="1"/>
  <c r="A185" i="1"/>
  <c r="A473" i="1"/>
  <c r="A70" i="1"/>
  <c r="A354" i="1"/>
  <c r="A267" i="1"/>
  <c r="A379" i="1"/>
  <c r="A388" i="1"/>
  <c r="A532" i="1"/>
  <c r="A406" i="1"/>
  <c r="A396" i="1"/>
  <c r="A432" i="1"/>
  <c r="A365" i="1"/>
  <c r="A63" i="1"/>
  <c r="A279" i="1"/>
  <c r="A152" i="1"/>
  <c r="A199" i="1"/>
  <c r="E21" i="1" l="1"/>
  <c r="A20" i="1"/>
  <c r="A355" i="1"/>
  <c r="A356" i="1"/>
  <c r="A268" i="1"/>
  <c r="A71" i="1"/>
  <c r="A474" i="1"/>
  <c r="A186" i="1"/>
  <c r="A43" i="1"/>
  <c r="A389" i="1"/>
  <c r="A380" i="1"/>
  <c r="A533" i="1"/>
  <c r="A397" i="1"/>
  <c r="A407" i="1"/>
  <c r="A433" i="1"/>
  <c r="A153" i="1"/>
  <c r="A280" i="1"/>
  <c r="A200" i="1"/>
  <c r="E22" i="1" l="1"/>
  <c r="A21" i="1"/>
  <c r="A187" i="1"/>
  <c r="A475" i="1"/>
  <c r="A72" i="1"/>
  <c r="A269" i="1"/>
  <c r="A270" i="1"/>
  <c r="A44" i="1"/>
  <c r="A390" i="1"/>
  <c r="A534" i="1"/>
  <c r="A398" i="1"/>
  <c r="A434" i="1"/>
  <c r="A154" i="1"/>
  <c r="A201" i="1"/>
  <c r="A281" i="1"/>
  <c r="E23" i="1" l="1"/>
  <c r="A22" i="1"/>
  <c r="A45" i="1"/>
  <c r="A73" i="1"/>
  <c r="A476" i="1"/>
  <c r="A188" i="1"/>
  <c r="A189" i="1"/>
  <c r="A535" i="1"/>
  <c r="A399" i="1"/>
  <c r="A435" i="1"/>
  <c r="A155" i="1"/>
  <c r="A282" i="1"/>
  <c r="A202" i="1"/>
  <c r="E24" i="1" l="1"/>
  <c r="A23" i="1"/>
  <c r="A477" i="1"/>
  <c r="A74" i="1"/>
  <c r="A46" i="1"/>
  <c r="A536" i="1"/>
  <c r="A400" i="1"/>
  <c r="A436" i="1"/>
  <c r="A283" i="1"/>
  <c r="A203" i="1"/>
  <c r="A156" i="1"/>
  <c r="E25" i="1" l="1"/>
  <c r="A24" i="1"/>
  <c r="A47" i="1"/>
  <c r="A48" i="1"/>
  <c r="A75" i="1"/>
  <c r="A478" i="1"/>
  <c r="A537" i="1"/>
  <c r="A437" i="1"/>
  <c r="A204" i="1"/>
  <c r="A157" i="1"/>
  <c r="A284" i="1"/>
  <c r="E26" i="1" l="1"/>
  <c r="A25" i="1"/>
  <c r="A76" i="1"/>
  <c r="A479" i="1"/>
  <c r="A538" i="1"/>
  <c r="A438" i="1"/>
  <c r="A285" i="1"/>
  <c r="A205" i="1"/>
  <c r="A158" i="1"/>
  <c r="E27" i="1" l="1"/>
  <c r="A26" i="1"/>
  <c r="A480" i="1"/>
  <c r="A77" i="1"/>
  <c r="A539" i="1"/>
  <c r="A439" i="1"/>
  <c r="A206" i="1"/>
  <c r="A286" i="1"/>
  <c r="E28" i="1" l="1"/>
  <c r="A27" i="1"/>
  <c r="A78" i="1"/>
  <c r="A481" i="1"/>
  <c r="A540" i="1"/>
  <c r="A440" i="1"/>
  <c r="A287" i="1"/>
  <c r="E29" i="1" l="1"/>
  <c r="A28" i="1"/>
  <c r="A482" i="1"/>
  <c r="A79" i="1"/>
  <c r="A541" i="1"/>
  <c r="A441" i="1"/>
  <c r="A288" i="1"/>
  <c r="E30" i="1" l="1"/>
  <c r="A29" i="1"/>
  <c r="A80" i="1"/>
  <c r="A483" i="1"/>
  <c r="A542" i="1"/>
  <c r="A442" i="1"/>
  <c r="A289" i="1"/>
  <c r="E31" i="1" l="1"/>
  <c r="A30" i="1"/>
  <c r="A484" i="1"/>
  <c r="A81" i="1"/>
  <c r="A543" i="1"/>
  <c r="A443" i="1"/>
  <c r="A290" i="1"/>
  <c r="E32" i="1" l="1"/>
  <c r="A31" i="1"/>
  <c r="A82" i="1"/>
  <c r="A83" i="1"/>
  <c r="A485" i="1"/>
  <c r="A544" i="1"/>
  <c r="A444" i="1"/>
  <c r="A291" i="1"/>
  <c r="E33" i="1" l="1"/>
  <c r="A33" i="1" s="1"/>
  <c r="A32" i="1"/>
  <c r="A486" i="1"/>
  <c r="A545" i="1"/>
  <c r="A445" i="1"/>
  <c r="A487" i="1" l="1"/>
  <c r="A546" i="1"/>
  <c r="A446" i="1"/>
  <c r="A488" i="1" l="1"/>
  <c r="A547" i="1"/>
  <c r="A447" i="1"/>
  <c r="A489" i="1" l="1"/>
  <c r="A548" i="1"/>
  <c r="A448" i="1"/>
  <c r="A490" i="1" l="1"/>
  <c r="A549" i="1"/>
  <c r="A449" i="1"/>
  <c r="A491" i="1" l="1"/>
  <c r="A550" i="1"/>
  <c r="A450" i="1"/>
  <c r="A492" i="1" l="1"/>
  <c r="A551" i="1"/>
  <c r="A451" i="1"/>
  <c r="A493" i="1" l="1"/>
  <c r="A552" i="1"/>
  <c r="A452" i="1"/>
  <c r="A494" i="1" l="1"/>
  <c r="A553" i="1"/>
  <c r="A453" i="1"/>
  <c r="A495" i="1" l="1"/>
  <c r="A554" i="1"/>
  <c r="A454" i="1"/>
  <c r="A222" i="1"/>
  <c r="A496" i="1" l="1"/>
  <c r="A555" i="1"/>
  <c r="A455" i="1"/>
  <c r="A223" i="1"/>
  <c r="A497" i="1" l="1"/>
  <c r="A224" i="1"/>
  <c r="A556" i="1"/>
  <c r="A456" i="1"/>
  <c r="A498" i="1" l="1"/>
  <c r="A225" i="1"/>
  <c r="A557" i="1"/>
  <c r="A457" i="1"/>
  <c r="A499" i="1" l="1"/>
  <c r="A226" i="1"/>
  <c r="A558" i="1"/>
  <c r="A458" i="1"/>
  <c r="A500" i="1" l="1"/>
  <c r="A227" i="1"/>
  <c r="A459" i="1"/>
  <c r="A501" i="1" l="1"/>
  <c r="A228" i="1"/>
  <c r="A460" i="1"/>
  <c r="A502" i="1" l="1"/>
  <c r="A229" i="1"/>
  <c r="A461" i="1"/>
  <c r="A503" i="1" l="1"/>
  <c r="A230" i="1"/>
  <c r="A462" i="1"/>
  <c r="A504" i="1" l="1"/>
  <c r="A231" i="1"/>
  <c r="A463" i="1"/>
  <c r="A505" i="1" l="1"/>
  <c r="A232" i="1"/>
  <c r="A464" i="1"/>
  <c r="A506" i="1" l="1"/>
  <c r="A233" i="1"/>
  <c r="A465" i="1"/>
  <c r="A507" i="1" l="1"/>
  <c r="A234" i="1"/>
  <c r="A466" i="1"/>
  <c r="A508" i="1" l="1"/>
  <c r="A235" i="1"/>
  <c r="A509" i="1" l="1"/>
  <c r="A236" i="1"/>
  <c r="A510" i="1" l="1"/>
  <c r="A237" i="1"/>
  <c r="A511" i="1" l="1"/>
  <c r="A238" i="1"/>
  <c r="A512" i="1" l="1"/>
  <c r="A239" i="1"/>
  <c r="A513" i="1" l="1"/>
  <c r="A240" i="1"/>
  <c r="A514" i="1" l="1"/>
  <c r="A241" i="1"/>
  <c r="A515" i="1" l="1"/>
  <c r="A242" i="1"/>
  <c r="A516" i="1" l="1"/>
  <c r="A243" i="1"/>
  <c r="A517" i="1" l="1"/>
  <c r="A518" i="1"/>
  <c r="A244" i="1"/>
  <c r="A245" i="1" l="1"/>
  <c r="A246" i="1" l="1"/>
  <c r="A247" i="1" l="1"/>
  <c r="A248" i="1" l="1"/>
  <c r="A249" i="1" l="1"/>
  <c r="A250" i="1" l="1"/>
  <c r="A251" i="1" l="1"/>
  <c r="A25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郑協</author>
  </authors>
  <commentList>
    <comment ref="I1" authorId="0" shapeId="0" xr:uid="{1816F2C0-1ED1-4CD7-84EB-A4666A25D487}">
      <text>
        <r>
          <rPr>
            <b/>
            <sz val="9"/>
            <color indexed="81"/>
            <rFont val="宋体"/>
            <family val="3"/>
            <charset val="134"/>
          </rPr>
          <t>郑協:</t>
        </r>
        <r>
          <rPr>
            <sz val="9"/>
            <color indexed="81"/>
            <rFont val="宋体"/>
            <family val="3"/>
            <charset val="134"/>
          </rPr>
          <t xml:space="preserve">
https://www.google.com/s2/favicons?domain=</t>
        </r>
      </text>
    </comment>
  </commentList>
</comments>
</file>

<file path=xl/sharedStrings.xml><?xml version="1.0" encoding="utf-8"?>
<sst xmlns="http://schemas.openxmlformats.org/spreadsheetml/2006/main" count="10086" uniqueCount="1751">
  <si>
    <t>序号</t>
  </si>
  <si>
    <t>序号</t>
    <phoneticPr fontId="1" type="noConversion"/>
  </si>
  <si>
    <t>1级</t>
  </si>
  <si>
    <t>1级</t>
    <phoneticPr fontId="1" type="noConversion"/>
  </si>
  <si>
    <t>2级</t>
  </si>
  <si>
    <t>2级</t>
    <phoneticPr fontId="1" type="noConversion"/>
  </si>
  <si>
    <t>3级</t>
  </si>
  <si>
    <t>3级</t>
    <phoneticPr fontId="1" type="noConversion"/>
  </si>
  <si>
    <t>级内</t>
  </si>
  <si>
    <t>级内</t>
    <phoneticPr fontId="1" type="noConversion"/>
  </si>
  <si>
    <t>简称</t>
  </si>
  <si>
    <t>网址</t>
  </si>
  <si>
    <t>描述title</t>
  </si>
  <si>
    <t>https://www.google.com/s2/favicons?domain=</t>
  </si>
  <si>
    <t>主要关键词</t>
  </si>
  <si>
    <t>次要关键词</t>
  </si>
  <si>
    <t>关键词</t>
  </si>
  <si>
    <t>判断网址</t>
  </si>
  <si>
    <t>判断图片</t>
  </si>
  <si>
    <t>其他标签</t>
  </si>
  <si>
    <t>图标大小</t>
  </si>
  <si>
    <t>备案/未备案</t>
  </si>
  <si>
    <t>经营性/非经营性</t>
  </si>
  <si>
    <t>图标地址</t>
  </si>
  <si>
    <t>图标地址</t>
    <phoneticPr fontId="1" type="noConversion"/>
  </si>
  <si>
    <t>重点关键词</t>
  </si>
  <si>
    <t>重点关键词</t>
    <phoneticPr fontId="1" type="noConversion"/>
  </si>
  <si>
    <t>首要关键词</t>
  </si>
  <si>
    <t>首要关键词</t>
    <phoneticPr fontId="1" type="noConversion"/>
  </si>
  <si>
    <t>政府</t>
  </si>
  <si>
    <t>政协</t>
  </si>
  <si>
    <t>媒体</t>
  </si>
  <si>
    <t>搜索引擎</t>
  </si>
  <si>
    <t>网址导航</t>
  </si>
  <si>
    <t>门户网站</t>
  </si>
  <si>
    <t>新闻</t>
  </si>
  <si>
    <t>直播</t>
  </si>
  <si>
    <t>视频</t>
  </si>
  <si>
    <t>音乐</t>
  </si>
  <si>
    <t>银行机构</t>
  </si>
  <si>
    <t>保险机构</t>
  </si>
  <si>
    <t>证券机构</t>
  </si>
  <si>
    <t>数字图书馆</t>
  </si>
  <si>
    <t>数字博物馆</t>
  </si>
  <si>
    <t>字典</t>
  </si>
  <si>
    <t>词典</t>
  </si>
  <si>
    <t>古籍</t>
  </si>
  <si>
    <t>Google</t>
  </si>
  <si>
    <t>百度</t>
  </si>
  <si>
    <t>网易</t>
  </si>
  <si>
    <t>网购平台</t>
  </si>
  <si>
    <t>邮箱</t>
  </si>
  <si>
    <t>图片</t>
  </si>
  <si>
    <t>云服务</t>
  </si>
  <si>
    <t>在线教育</t>
  </si>
  <si>
    <t>社区</t>
  </si>
  <si>
    <t>评测</t>
  </si>
  <si>
    <t>人力资源</t>
  </si>
  <si>
    <t>游戏</t>
  </si>
  <si>
    <t>初录未归挡</t>
  </si>
  <si>
    <t>初录未归挡1</t>
  </si>
  <si>
    <t>排序</t>
    <phoneticPr fontId="1" type="noConversion"/>
  </si>
  <si>
    <t>1</t>
  </si>
  <si>
    <t>2</t>
  </si>
  <si>
    <t>3</t>
  </si>
  <si>
    <t>4</t>
  </si>
  <si>
    <t>5</t>
  </si>
  <si>
    <t>6</t>
  </si>
  <si>
    <t>7</t>
  </si>
  <si>
    <t>列1</t>
  </si>
  <si>
    <t>-</t>
  </si>
  <si>
    <t>一级</t>
  </si>
  <si>
    <t>二级</t>
  </si>
  <si>
    <t>三级</t>
  </si>
  <si>
    <t>中国政府网</t>
  </si>
  <si>
    <t>http://www.gov.cn/</t>
  </si>
  <si>
    <t>中华人民共和国中央人民政府</t>
  </si>
  <si>
    <t>http://www.gov.cn/govweb/xhtml/favicon.ico</t>
  </si>
  <si>
    <t>国务院办公厅</t>
  </si>
  <si>
    <t>国务院</t>
  </si>
  <si>
    <t>外交部</t>
  </si>
  <si>
    <t>https://www.fmprc.gov.cn/web/</t>
  </si>
  <si>
    <t xml:space="preserve"> </t>
  </si>
  <si>
    <t>https://www.google.com/s2/favicons?domain=https://www.fmprc.gov.cn/web/</t>
  </si>
  <si>
    <t>组成部门</t>
  </si>
  <si>
    <t>国防部</t>
  </si>
  <si>
    <t>http://www.mod.gov.cn/</t>
  </si>
  <si>
    <t>http://www.mod.gov.cn/favicon.ico</t>
  </si>
  <si>
    <t>国家发展和改革委员会</t>
  </si>
  <si>
    <t>https://www.ndrc.gov.cn/</t>
  </si>
  <si>
    <t>https://www.google.com/s2/favicons?domain=https://www.ndrc.gov.cn/</t>
  </si>
  <si>
    <t>教育部</t>
  </si>
  <si>
    <t>http://www.moe.gov.cn/</t>
  </si>
  <si>
    <t>http://www.moe.gov.cn/favorite.ico</t>
  </si>
  <si>
    <t>(国家语言文字工作委员会)</t>
  </si>
  <si>
    <t>http://www.moe.gov.cn/jyb_sy/China_Language/</t>
  </si>
  <si>
    <t>科学技术部</t>
  </si>
  <si>
    <t>http://www.most.gov.cn/</t>
  </si>
  <si>
    <t>http://www.most.gov.cn/favicon.ico</t>
  </si>
  <si>
    <t>工业和信息化部</t>
  </si>
  <si>
    <t>https://www.miit.gov.cn/</t>
  </si>
  <si>
    <t>https://www.miit.gov.cn/favicon.ico</t>
  </si>
  <si>
    <t>(国家航天局)</t>
  </si>
  <si>
    <t>http://www.cnsa.gov.cn/</t>
  </si>
  <si>
    <t>https://www.google.com/s2/favicons?domain=http://www.cnsa.gov.cn/</t>
  </si>
  <si>
    <t>(国家原子能机构)</t>
  </si>
  <si>
    <t>http://www.caea.gov.cn/</t>
  </si>
  <si>
    <t>https://www.google.com/s2/favicons?domain=http://www.caea.gov.cn/</t>
  </si>
  <si>
    <t>国家民族事务委员会</t>
  </si>
  <si>
    <t>http://www.neac.gov.cn/</t>
  </si>
  <si>
    <t>http://www.neac.gov.cn/favicon.ico</t>
  </si>
  <si>
    <t>公安部</t>
  </si>
  <si>
    <t>https://www.mps.gov.cn/</t>
  </si>
  <si>
    <t>https://www.mps.gov.cn/favicon.ico</t>
  </si>
  <si>
    <t>国家安全部</t>
  </si>
  <si>
    <t>民政部</t>
  </si>
  <si>
    <t>http://www.mca.gov.cn/</t>
  </si>
  <si>
    <t>http://www.mca.gov.cn/favicon.ico</t>
  </si>
  <si>
    <t>司法部</t>
  </si>
  <si>
    <t>http://www.moj.gov.cn/ </t>
  </si>
  <si>
    <t>http://www.legaldaily.com.cn/tongyong/images/2019sfb/2019favicon.ico</t>
  </si>
  <si>
    <t>财政部</t>
  </si>
  <si>
    <t>http://www.mof.gov.cn/index.htm </t>
  </si>
  <si>
    <t>http://www.mof.gov.cn/images/favicon.ico</t>
  </si>
  <si>
    <t>人力资源和社会保障部</t>
  </si>
  <si>
    <t>http://www.mohrss.gov.cn/</t>
  </si>
  <si>
    <t>https://www.google.com/s2/favicons?domain=http://www.mohrss.gov.cn/</t>
  </si>
  <si>
    <t>自然资源部</t>
  </si>
  <si>
    <t>http://www.mnr.gov.cn/</t>
  </si>
  <si>
    <t>生态环境部</t>
  </si>
  <si>
    <t>http://www.mee.gov.cn/</t>
  </si>
  <si>
    <t>http://www.mee.gov.cn/favicon.ico</t>
  </si>
  <si>
    <t>(国家核安全局)</t>
  </si>
  <si>
    <t>http://nnsa.mee.gov.cn/</t>
  </si>
  <si>
    <t>http://nnsa.mee.gov.cn/favicon.ico</t>
  </si>
  <si>
    <t>住房和城乡建设部</t>
  </si>
  <si>
    <t>http://www.mohurd.gov.cn/</t>
  </si>
  <si>
    <t>https://www.google.com/s2/favicons?domain=http://www.mohurd.gov.cn/</t>
  </si>
  <si>
    <t>交通运输部</t>
  </si>
  <si>
    <t>http://www.mot.gov.cn/</t>
  </si>
  <si>
    <t>https://www.google.com/s2/favicons?domain=http://www.mot.gov.cn/</t>
  </si>
  <si>
    <t>水利部</t>
  </si>
  <si>
    <t>http://www.mwr.gov.cn/</t>
  </si>
  <si>
    <t>http://www.mwr.gov.cn/favicon.ico</t>
  </si>
  <si>
    <t>农业农村部</t>
  </si>
  <si>
    <t>http://www.moa.gov.cn/</t>
  </si>
  <si>
    <t>http://www.moa.gov.cn/favicon.ico</t>
  </si>
  <si>
    <t>商务部</t>
  </si>
  <si>
    <t>http://www.mofcom.gov.cn/</t>
  </si>
  <si>
    <t>http://www.mofcom.gov.cn/assets/i/favicon_bak.png</t>
  </si>
  <si>
    <t>文化和旅游部</t>
  </si>
  <si>
    <t>https://www.mct.gov.cn/</t>
  </si>
  <si>
    <t>https://www.mct.gov.cn/favicon.ico</t>
  </si>
  <si>
    <t>国家卫生健康委员会</t>
  </si>
  <si>
    <t>http://www.nhc.gov.cn/</t>
  </si>
  <si>
    <t>https://www.google.com/s2/favicons?domain=http://www.nhc.gov.cn/</t>
  </si>
  <si>
    <t>退役军人事务部</t>
  </si>
  <si>
    <t>http://www.mva.gov.cn/favicon.ico</t>
  </si>
  <si>
    <t>应急管理部</t>
  </si>
  <si>
    <t>http://www.mem.gov.cn/</t>
  </si>
  <si>
    <t>http://www.mem.gov.cn/image/favicon.ico</t>
  </si>
  <si>
    <t>中国人民银行</t>
  </si>
  <si>
    <t>http://www.pbc.gov.cn/</t>
  </si>
  <si>
    <t>http://www.pbc.gov.cn/rmyh/uiFramework/commonResource/image/logo.ico</t>
  </si>
  <si>
    <t>审计署</t>
  </si>
  <si>
    <t>http://www.audit.gov.cn/</t>
  </si>
  <si>
    <t>https://www.google.com/s2/favicons?domain=http://www.audit.gov.cn/</t>
  </si>
  <si>
    <t>国有资产监督管理委员会</t>
  </si>
  <si>
    <t>http://www.sasac.gov.cn/</t>
  </si>
  <si>
    <t>国务院国有资产监督管理委员会</t>
  </si>
  <si>
    <t>http://www.sasac.gov.cn/dbsource/11869722/11869731.jpg</t>
  </si>
  <si>
    <t>直属特设机构</t>
  </si>
  <si>
    <t>海关总署</t>
  </si>
  <si>
    <t>http://www.customs.gov.cn/</t>
  </si>
  <si>
    <t>https://www.google.com/s2/favicons?domain=http://www.customs.gov.cn/</t>
  </si>
  <si>
    <t>直属机构</t>
  </si>
  <si>
    <t>国家税务总局</t>
  </si>
  <si>
    <t>http://www.chinatax.gov.cn/</t>
  </si>
  <si>
    <t>https://www.google.com/s2/favicons?domain=http://www.chinatax.gov.cn/</t>
  </si>
  <si>
    <t>国家市场监督管理总局</t>
  </si>
  <si>
    <t>http://www.samr.gov.cn/</t>
  </si>
  <si>
    <t>http://www.samr.gov.cn/favicon.ico</t>
  </si>
  <si>
    <t>(国家认证认可监督管理委员会)</t>
  </si>
  <si>
    <t>http://www.cnca.gov.cn/</t>
  </si>
  <si>
    <t>http://www.cnca.gov.cn/favicon.ico</t>
  </si>
  <si>
    <t>(国家标准化管理委员会)</t>
  </si>
  <si>
    <t>http://www.sac.gov.cn/</t>
  </si>
  <si>
    <t>http://www.sac.gov.cn/favicon.ico</t>
  </si>
  <si>
    <t>国家广播电视总局</t>
  </si>
  <si>
    <t>http://www.nrta.gov.cn/</t>
  </si>
  <si>
    <t>http://www.nrta.gov.cn/favicon.ico</t>
  </si>
  <si>
    <t>国家体育总局</t>
  </si>
  <si>
    <t>http://www.sport.gov.cn/</t>
  </si>
  <si>
    <t>https://www.google.com/s2/favicons?domain=http://www.sport.gov.cn/</t>
  </si>
  <si>
    <t>国家统计局</t>
  </si>
  <si>
    <t>http://www.stats.gov.cn/</t>
  </si>
  <si>
    <t>http://www.stats.gov.cn/favicon.ico</t>
  </si>
  <si>
    <t>国家国际发展合作署</t>
  </si>
  <si>
    <t>http://www.cidca.gov.cn/</t>
  </si>
  <si>
    <t>http://www.cidca.gov.cn/favicon.ico</t>
  </si>
  <si>
    <t>国家医疗保障局</t>
  </si>
  <si>
    <t>http://www.nhsa.gov.cn/</t>
  </si>
  <si>
    <t>http://www.nhsa.gov.cn/images/1/fp_pic_24.png</t>
  </si>
  <si>
    <t>国务院参事室</t>
  </si>
  <si>
    <t>http://www.counsellor.gov.cn/</t>
  </si>
  <si>
    <t>https://www.google.com/s2/favicons?domain=http://www.counsellor.gov.cn/</t>
  </si>
  <si>
    <t>国家机关事务管理局</t>
  </si>
  <si>
    <t>http://www.ggj.gov.cn/</t>
  </si>
  <si>
    <t>https://www.google.com/s2/favicons?domain=http://www.ggj.gov.cn/</t>
  </si>
  <si>
    <t>国家版权局网</t>
  </si>
  <si>
    <t>http://www.ncac.gov.cn/</t>
  </si>
  <si>
    <t>http://www.ncac.gov.cn/chinacopyright/favicon.ico</t>
  </si>
  <si>
    <t>国家宗教事务局</t>
  </si>
  <si>
    <t>http://www.sara.gov.cn/gjzjswjhtml/index.html</t>
  </si>
  <si>
    <t>https://www.google.com/s2/favicons?domain=http://www.sara.gov.cn/gjzjswjhtml/index.html</t>
  </si>
  <si>
    <t>国务院港澳事务办公室</t>
  </si>
  <si>
    <t>https://www.hmo.gov.cn/</t>
  </si>
  <si>
    <t>https://www.google.com/s2/favicons?domain=https://www.hmo.gov.cn/</t>
  </si>
  <si>
    <t>办事机构</t>
  </si>
  <si>
    <t>国务院研究室</t>
  </si>
  <si>
    <t>http://www.gov.cn/guoqing/2018-06/22/content_5300522.htm</t>
  </si>
  <si>
    <t>国务院侨务办公室</t>
  </si>
  <si>
    <t>http://www.gqb.gov.cn/</t>
  </si>
  <si>
    <t>https://www.google.com/s2/favicons?domain=http://www.gqb.gov.cn/</t>
  </si>
  <si>
    <t>国务院台湾事务办公室</t>
  </si>
  <si>
    <t>http://www.gwytb.gov.cn/</t>
  </si>
  <si>
    <t>https://www.google.com/s2/favicons?domain=http://www.gwytb.gov.cn/</t>
  </si>
  <si>
    <t>中共中央网络安全和信息化委员会办公室</t>
  </si>
  <si>
    <t>http://www.cac.gov.cn/</t>
  </si>
  <si>
    <t>http://www.cac.gov.cn/favicon.ico</t>
  </si>
  <si>
    <t>国务院新闻办公室</t>
  </si>
  <si>
    <t>http://www.scio.gov.cn/index.htm</t>
  </si>
  <si>
    <t>http://www.scio.gov.cn/favicon.ico</t>
  </si>
  <si>
    <t>新华通讯社</t>
  </si>
  <si>
    <t>http://203.192.6.89/xhs/</t>
  </si>
  <si>
    <t>https://www.google.com/s2/favicons?domain=http://203.192.6.89/xhs/</t>
  </si>
  <si>
    <t>直属事业单位</t>
  </si>
  <si>
    <t>中国科学院</t>
  </si>
  <si>
    <t>http://www.cas.ac.cn/</t>
  </si>
  <si>
    <t>http://www.cas.cn/lib/images/favicon.ico</t>
  </si>
  <si>
    <t>中国社会科学院</t>
  </si>
  <si>
    <t>http://cass.cssn.cn/</t>
  </si>
  <si>
    <t>http://cass.cssn.cn/favicon.ico</t>
  </si>
  <si>
    <t>中国工程院</t>
  </si>
  <si>
    <t>http://www.cae.cn/</t>
  </si>
  <si>
    <t>http://www.cae.cn/cae/favicon.ico</t>
  </si>
  <si>
    <t>国务院发展研究中心</t>
  </si>
  <si>
    <t>https://www.drc.gov.cn/default.aspx</t>
  </si>
  <si>
    <t>https://www.google.com/s2/favicons?domain=https://www.drc.gov.cn/default.aspx</t>
  </si>
  <si>
    <t>中央广播电视总台</t>
  </si>
  <si>
    <t>http://www.cnr.cn/</t>
  </si>
  <si>
    <t>http://www.cnr.cn/favicon.ico</t>
  </si>
  <si>
    <t>中国气象局</t>
  </si>
  <si>
    <t>http://www.cma.gov.cn/</t>
  </si>
  <si>
    <t>http://www.cma.gov.cn/favicon.ico</t>
  </si>
  <si>
    <t>中国银行保险监督管理委员会</t>
  </si>
  <si>
    <t>http://www.cbirc.gov.cn/cn/view/pages/index/index.html</t>
  </si>
  <si>
    <t>http://www.cbirc.gov.cn/cn/static/favicon.ico</t>
  </si>
  <si>
    <t>中国证券监督管理委员会</t>
  </si>
  <si>
    <t>http://www.csrc.gov.cn/pub/newsite/</t>
  </si>
  <si>
    <t>https://www.google.com/s2/favicons?domain=http://www.csrc.gov.cn/pub/newsite/</t>
  </si>
  <si>
    <t>国家信访局</t>
  </si>
  <si>
    <t>https://www.gjxfj.gov.cn/gjxfj/index.htm</t>
  </si>
  <si>
    <t>https://www.gjxfj.gov.cn/favicon.ico</t>
  </si>
  <si>
    <t>国家局</t>
  </si>
  <si>
    <t>国家粮食和物资储备局</t>
  </si>
  <si>
    <t>http://www.lswz.gov.cn/</t>
  </si>
  <si>
    <t>http://www.lswz.gov.cn/html/xhtml/images/favicon.ico</t>
  </si>
  <si>
    <t>国家能源局</t>
  </si>
  <si>
    <t>http://www.nea.gov.cn/</t>
  </si>
  <si>
    <t>https://www.google.com/s2/favicons?domain=http://www.nea.gov.cn/</t>
  </si>
  <si>
    <t>国家国防科技工业局</t>
  </si>
  <si>
    <t>http://www.sastind.gov.cn/</t>
  </si>
  <si>
    <t>https://www.google.com/s2/favicons?domain=http://www.sastind.gov.cn/</t>
  </si>
  <si>
    <t>国家烟草专卖局</t>
  </si>
  <si>
    <t>http://www.tobacco.gov.cn/gjyc/index.shtml</t>
  </si>
  <si>
    <t>https://www.google.com/s2/favicons?domain=http://www.tobacco.gov.cn/gjyc/index.shtml</t>
  </si>
  <si>
    <t>国家移民管理局</t>
  </si>
  <si>
    <t>https://www.nia.gov.cn/</t>
  </si>
  <si>
    <t>https://www.nia.gov.cn/titlepic/new-guohui.ico</t>
  </si>
  <si>
    <t>国家林业和草原局</t>
  </si>
  <si>
    <t>http://www.forestry.gov.cn/</t>
  </si>
  <si>
    <t>http://www.forestry.gov.cn/favicon.ico</t>
  </si>
  <si>
    <t>(国家公园管理局)</t>
  </si>
  <si>
    <t>国家铁路局</t>
  </si>
  <si>
    <t>http://www.nra.gov.cn/</t>
  </si>
  <si>
    <t>https://www.google.com/s2/favicons?domain=http://www.nra.gov.cn/</t>
  </si>
  <si>
    <t>中国民用航空局</t>
  </si>
  <si>
    <t>http://www.caac.gov.cn/index.html</t>
  </si>
  <si>
    <t>http://www.caac.gov.cn/images/favicon.png</t>
  </si>
  <si>
    <t>国家邮政局</t>
  </si>
  <si>
    <t>http://www.spb.gov.cn/</t>
  </si>
  <si>
    <t>https://www.google.com/s2/favicons?domain=http://www.spb.gov.cn/</t>
  </si>
  <si>
    <t>国家文物局</t>
  </si>
  <si>
    <t>http://www.ncha.gov.cn/</t>
  </si>
  <si>
    <t>https://www.google.com/s2/favicons?domain=http://www.ncha.gov.cn/</t>
  </si>
  <si>
    <t>国家中医药管理局</t>
  </si>
  <si>
    <t>http://www.satcm.gov.cn/</t>
  </si>
  <si>
    <t>http://www.satcm.gov.cn/favicon.ico</t>
  </si>
  <si>
    <t>国家矿山安全监察局</t>
  </si>
  <si>
    <t>http://www.chinacoal-safety.gov.cn/</t>
  </si>
  <si>
    <t>国家外汇管理局</t>
  </si>
  <si>
    <t>http://www.safe.gov.cn/</t>
  </si>
  <si>
    <t>http://www.safe.gov.cn/safe/templateresource/372b1dfdab204181b9b4f943a8e926a6/images/safe.ico</t>
  </si>
  <si>
    <t>国家药品监督管理局</t>
  </si>
  <si>
    <t>https://www.nmpa.gov.cn/</t>
  </si>
  <si>
    <t>https://www.nmpa.gov.cn/wbppimages/favicon.ico</t>
  </si>
  <si>
    <t>国家知识产权局</t>
  </si>
  <si>
    <t>https://www.cnipa.gov.cn/</t>
  </si>
  <si>
    <t>https://www.cnipa.gov.cn/favicon.ico</t>
  </si>
  <si>
    <t>国家档案局</t>
  </si>
  <si>
    <t>https://www.saac.gov.cn/</t>
  </si>
  <si>
    <t>https://www.google.com/s2/favicons?domain=https://www.saac.gov.cn/</t>
  </si>
  <si>
    <t>国家保密局</t>
  </si>
  <si>
    <t>http://www.gjbmj.gov.cn/</t>
  </si>
  <si>
    <t>https://www.google.com/s2/favicons?domain=http://www.gjbmj.gov.cn/</t>
  </si>
  <si>
    <t>国家密码管理局</t>
  </si>
  <si>
    <t>https://www.oscca.gov.cn/</t>
  </si>
  <si>
    <t>https://www.google.com/s2/favicons?domain=https://www.oscca.gov.cn/</t>
  </si>
  <si>
    <t>香港中联办</t>
  </si>
  <si>
    <t>http://www.locpg.hk/</t>
  </si>
  <si>
    <t>中央人民政府驻香港特别行政区联络办公室</t>
  </si>
  <si>
    <t>http://www.locpg.hk/favicon.ico</t>
  </si>
  <si>
    <t>派出机构</t>
  </si>
  <si>
    <t>澳门中联办</t>
  </si>
  <si>
    <t>http://www.zlb.gov.cn/</t>
  </si>
  <si>
    <t>中央人民政府驻澳门特别行政区联络办公室</t>
  </si>
  <si>
    <t>中央驻港国家安全公署</t>
  </si>
  <si>
    <t>中央人民政府驻香港特别行政区维护国家安全公署</t>
  </si>
  <si>
    <t>中国政协网</t>
  </si>
  <si>
    <t>http://www.cppcc.gov.cn/</t>
  </si>
  <si>
    <t>http://www.cppcc.gov.cn/image/favicon.ico</t>
  </si>
  <si>
    <t>北京市政协</t>
  </si>
  <si>
    <t>http://www.bjzx.gov.cn/</t>
  </si>
  <si>
    <t>http://test1.ttde.cn/bjzx/m/image/favicon.ico</t>
  </si>
  <si>
    <t>北京市</t>
  </si>
  <si>
    <t>天津市政协</t>
  </si>
  <si>
    <t>http://www.tjszx.gov.cn/</t>
  </si>
  <si>
    <t>https://www.google.com/s2/favicons?domain=http://www.tjszx.gov.cn/</t>
  </si>
  <si>
    <t>天津市</t>
  </si>
  <si>
    <t>上海市政协</t>
  </si>
  <si>
    <t>http://www.shszx.gov.cn/</t>
  </si>
  <si>
    <t>https://www.google.com/s2/favicons?domain=http://www.shszx.gov.cn/</t>
  </si>
  <si>
    <t>上海市</t>
  </si>
  <si>
    <t>重庆市政协</t>
  </si>
  <si>
    <t>http://www.cqzx.gov.cn/</t>
  </si>
  <si>
    <t>https://www.google.com/s2/favicons?domain=http://www.cqzx.gov.cn/</t>
  </si>
  <si>
    <t>重庆市</t>
  </si>
  <si>
    <t>广西壮族自治区政协</t>
  </si>
  <si>
    <t>http://www.gxzx.gov.cn/</t>
  </si>
  <si>
    <t>http://www.gxzx.gov.cn/favicon.ico</t>
  </si>
  <si>
    <t>广西壮族自治区</t>
  </si>
  <si>
    <t>内蒙古自治区政协</t>
  </si>
  <si>
    <t>http://www.nmgzx.gov.cn/webpage/homepage/index.html</t>
  </si>
  <si>
    <t>http://www.nmgzx.gov.cn/favicon.ico</t>
  </si>
  <si>
    <t>内蒙古自治区</t>
  </si>
  <si>
    <t>宁夏回族自治区政协</t>
  </si>
  <si>
    <t>http://www.nxzx.gov.cn/</t>
  </si>
  <si>
    <t>https://www.google.com/s2/favicons?domain=http://www.nxzx.gov.cn/</t>
  </si>
  <si>
    <t>宁夏回族自治区</t>
  </si>
  <si>
    <t>西藏自治区政协</t>
  </si>
  <si>
    <t>http://www.xizangzx.gov.cn/</t>
  </si>
  <si>
    <t>http://www.xizangzx.gov.cn/images/favicon.ico</t>
  </si>
  <si>
    <t>西藏自治区</t>
  </si>
  <si>
    <t>新疆维吾尔自治区政协</t>
  </si>
  <si>
    <t>http://www.xjzx.gov.cn/</t>
  </si>
  <si>
    <t>https://www.google.com/s2/favicons?domain=http://www.xjzx.gov.cn/</t>
  </si>
  <si>
    <t>新疆维吾尔自治区</t>
  </si>
  <si>
    <t>安徽省政协</t>
  </si>
  <si>
    <t>http://www.ahzx.gov.cn/</t>
  </si>
  <si>
    <t>https://www.google.com/s2/favicons?domain=http://www.ahzx.gov.cn/</t>
  </si>
  <si>
    <t>安徽省</t>
  </si>
  <si>
    <t>福建省政协</t>
  </si>
  <si>
    <t>http://www.fjzx.gov.cn/</t>
  </si>
  <si>
    <t>http://www.fjzx.gov.cn/r/cms/www/fjszxmhwz/image/favicon.ico</t>
  </si>
  <si>
    <t>福建省</t>
  </si>
  <si>
    <t>甘肃省政协</t>
  </si>
  <si>
    <t>http://www.gszx.gov.cn/</t>
  </si>
  <si>
    <t>http://www.gszx.gov.cn/favicon.ico</t>
  </si>
  <si>
    <t>甘肃省</t>
  </si>
  <si>
    <t>广东省政协</t>
  </si>
  <si>
    <t>http://www.gdzxb.gov.cn/</t>
  </si>
  <si>
    <t>http://www.gdzxb.gov.cn/favicon.ico</t>
  </si>
  <si>
    <t>广东省</t>
  </si>
  <si>
    <t>广州市政协</t>
  </si>
  <si>
    <t>https://www.gzzx.gov.cn/</t>
  </si>
  <si>
    <t>https://www.gzzx.gov.cn/images/iconcf134.ico</t>
  </si>
  <si>
    <t>广州市</t>
  </si>
  <si>
    <t>深圳市政协</t>
  </si>
  <si>
    <t>http://www.szzx.gov.cn/</t>
  </si>
  <si>
    <t>https://www.google.com/s2/favicons?domain=http://www.szzx.gov.cn/</t>
  </si>
  <si>
    <t>深圳市</t>
  </si>
  <si>
    <t>珠海市政协</t>
  </si>
  <si>
    <t>http://www.zhzx.gov.cn/</t>
  </si>
  <si>
    <t>https://www.google.com/s2/favicons?domain=http://www.zhzx.gov.cn/</t>
  </si>
  <si>
    <t>珠海市</t>
  </si>
  <si>
    <t>汕头市政协</t>
  </si>
  <si>
    <t>http://stzx.shantou.gov.cn/</t>
  </si>
  <si>
    <t>https://www.google.com/s2/favicons?domain=http://stzx.shantou.gov.cn/</t>
  </si>
  <si>
    <t>汕头市</t>
  </si>
  <si>
    <t>金平区政协</t>
  </si>
  <si>
    <t>http://www.jpzx.gov.cn/welcome</t>
  </si>
  <si>
    <t>http://www.jpzx.gov.cn/favicon.ico</t>
  </si>
  <si>
    <t>佛山市政协</t>
  </si>
  <si>
    <t>http://www.fszx.gov.cn/</t>
  </si>
  <si>
    <t>https://www.google.com/s2/favicons?domain=http://www.fszx.gov.cn/</t>
  </si>
  <si>
    <t>佛山市</t>
  </si>
  <si>
    <t>韶关市政协</t>
  </si>
  <si>
    <t>http://www.sgzxb.gov.cn/</t>
  </si>
  <si>
    <t>https://www.google.com/s2/favicons?domain=http://www.sgzxb.gov.cn/</t>
  </si>
  <si>
    <t>韶关市</t>
  </si>
  <si>
    <t>河源市政协</t>
  </si>
  <si>
    <t>http://www.gdhyzx.gov.cn/hyzx/index.html</t>
  </si>
  <si>
    <t>https://www.google.com/s2/favicons?domain=http://www.gdhyzx.gov.cn/hyzx/index.html</t>
  </si>
  <si>
    <t>河源市</t>
  </si>
  <si>
    <t>梅州市政协</t>
  </si>
  <si>
    <t>http://www.mzzx.gov.cn/</t>
  </si>
  <si>
    <t>https://www.google.com/s2/favicons?domain=http://www.mzzx.gov.cn/</t>
  </si>
  <si>
    <t>梅州市</t>
  </si>
  <si>
    <t>惠州市政协</t>
  </si>
  <si>
    <t>http://zx.huizhou.gov.cn/</t>
  </si>
  <si>
    <t>https://www.google.com/s2/favicons?domain=http://zx.huizhou.gov.cn/</t>
  </si>
  <si>
    <t>惠州市</t>
  </si>
  <si>
    <t>汕尾市政协</t>
  </si>
  <si>
    <t>http://www.swzx.gov.cn/</t>
  </si>
  <si>
    <t>https://www.google.com/s2/favicons?domain=http://www.swzx.gov.cn/</t>
  </si>
  <si>
    <t>汕尾市</t>
  </si>
  <si>
    <t>东莞市政协</t>
  </si>
  <si>
    <t>http://dgzx.dg.gov.cn/</t>
  </si>
  <si>
    <t>https://www.google.com/s2/favicons?domain=http://dgzx.dg.gov.cn/</t>
  </si>
  <si>
    <t>东莞市</t>
  </si>
  <si>
    <t>中山市政协</t>
  </si>
  <si>
    <t>http://zszx.zsnews.cn/</t>
  </si>
  <si>
    <t>https://www.google.com/s2/favicons?domain=http://zszx.zsnews.cn/</t>
  </si>
  <si>
    <t>中山市</t>
  </si>
  <si>
    <t>江门市政协</t>
  </si>
  <si>
    <t>http://zx.jiangmen.cn/</t>
  </si>
  <si>
    <t>https://www.google.com/s2/favicons?domain=http://zx.jiangmen.cn/</t>
  </si>
  <si>
    <t>江门市</t>
  </si>
  <si>
    <t>阳江市政协</t>
  </si>
  <si>
    <t>https://www.yjszx.gov.cn/default.html</t>
  </si>
  <si>
    <t>https://www.google.com/s2/favicons?domain=https://www.yjszx.gov.cn/default.html</t>
  </si>
  <si>
    <t>阳江市</t>
  </si>
  <si>
    <t>湛江市政协</t>
  </si>
  <si>
    <t>http://www.gdzjzx.gov.cn/</t>
  </si>
  <si>
    <t>https://www.google.com/s2/favicons?domain=http://www.gdzjzx.gov.cn/</t>
  </si>
  <si>
    <t>湛江市</t>
  </si>
  <si>
    <t>茂名市政协</t>
  </si>
  <si>
    <t>http://zx.maoming.gov.cn/website/main/jsp/index.jsp</t>
  </si>
  <si>
    <t>https://www.google.com/s2/favicons?domain=http://zx.maoming.gov.cn/website/main/jsp/index.jsp</t>
  </si>
  <si>
    <t>茂名市</t>
  </si>
  <si>
    <t>肇庆市政协</t>
  </si>
  <si>
    <t>http://zqzx.gov.cn/index.html</t>
  </si>
  <si>
    <t>https://www.google.com/s2/favicons?domain=http://zqzx.gov.cn/index.html</t>
  </si>
  <si>
    <t>肇庆市</t>
  </si>
  <si>
    <t>潮州市政协</t>
  </si>
  <si>
    <t>http://czzx.gov.cn/</t>
  </si>
  <si>
    <t>https://www.google.com/s2/favicons?domain=http://czzx.gov.cn/</t>
  </si>
  <si>
    <t>潮州市</t>
  </si>
  <si>
    <t>揭阳市政协</t>
  </si>
  <si>
    <t>http://www.jieyangzhengxie.gov.cn/</t>
  </si>
  <si>
    <t>https://www.google.com/s2/favicons?domain=http://www.jieyangzhengxie.gov.cn/</t>
  </si>
  <si>
    <t>揭阳市</t>
  </si>
  <si>
    <t>云浮市政协</t>
  </si>
  <si>
    <t>http://zx.yunfu.gov.cn/</t>
  </si>
  <si>
    <t>https://www.google.com/s2/favicons?domain=http://zx.yunfu.gov.cn/</t>
  </si>
  <si>
    <t>云浮市</t>
  </si>
  <si>
    <t>贵州省政协</t>
  </si>
  <si>
    <t>https://www.gzszx.gov.cn/</t>
  </si>
  <si>
    <t>https://www.google.com/s2/favicons?domain=https://www.gzszx.gov.cn/</t>
  </si>
  <si>
    <t>贵州省</t>
  </si>
  <si>
    <t>海南省政协</t>
  </si>
  <si>
    <t>http://www.hainanzx.gov.cn/default.html</t>
  </si>
  <si>
    <t>https://www.google.com/s2/favicons?domain=http://www.hainanzx.gov.cn/default.html</t>
  </si>
  <si>
    <t>海南省</t>
  </si>
  <si>
    <t>河北省政协</t>
  </si>
  <si>
    <t>http://www.hebzx.gov.cn/</t>
  </si>
  <si>
    <t>https://www.google.com/s2/favicons?domain=http://www.hebzx.gov.cn/</t>
  </si>
  <si>
    <t>河北省</t>
  </si>
  <si>
    <t>河南省政协</t>
  </si>
  <si>
    <t>http://www.hnzx.gov.cn/</t>
  </si>
  <si>
    <t>https://www.google.com/s2/favicons?domain=http://www.hnzx.gov.cn/</t>
  </si>
  <si>
    <t>河南省</t>
  </si>
  <si>
    <t>黑龙江省政协</t>
  </si>
  <si>
    <t>http://www.hljzx.gov.cn/</t>
  </si>
  <si>
    <t>https://www.google.com/s2/favicons?domain=http://www.hljzx.gov.cn/</t>
  </si>
  <si>
    <t>黑龙江省</t>
  </si>
  <si>
    <t>哈尔滨市政协</t>
  </si>
  <si>
    <t>https://www.hrbzx.gov.cn/</t>
  </si>
  <si>
    <t>https://www.google.com/s2/favicons?domain=https://www.hrbzx.gov.cn/</t>
  </si>
  <si>
    <t>哈尔滨市</t>
  </si>
  <si>
    <t>湖北省政协</t>
  </si>
  <si>
    <t>https://www.hbzx.gov.cn/</t>
  </si>
  <si>
    <t>https://www.hbzx.gov.cn/favicon.ico</t>
  </si>
  <si>
    <t>湖北省</t>
  </si>
  <si>
    <t>武汉市政协</t>
  </si>
  <si>
    <t>http://www.whzx.org.cn/</t>
  </si>
  <si>
    <t>https://www.google.com/s2/favicons?domain=http://www.whzx.org.cn/</t>
  </si>
  <si>
    <t>武汉市</t>
  </si>
  <si>
    <t>湖南省政协</t>
  </si>
  <si>
    <t>https://www.hunanzx.gov.cn/</t>
  </si>
  <si>
    <t>https://www.google.com/s2/favicons?domain=https://www.hunanzx.gov.cn/</t>
  </si>
  <si>
    <t>湖南省</t>
  </si>
  <si>
    <t>吉林省政协</t>
  </si>
  <si>
    <t>http://www.jlzx.gov.cn/index.jhtml</t>
  </si>
  <si>
    <t>https://www.google.com/s2/favicons?domain=http://www.jlzx.gov.cn/index.jhtml</t>
  </si>
  <si>
    <t>吉林省</t>
  </si>
  <si>
    <t>江苏省政协</t>
  </si>
  <si>
    <t>http://www.jszx.gov.cn/</t>
  </si>
  <si>
    <t>https://www.google.com/s2/favicons?domain=http://www.jszx.gov.cn/</t>
  </si>
  <si>
    <t>江苏省</t>
  </si>
  <si>
    <t>江西省政协</t>
  </si>
  <si>
    <t>https://jxzx.jxnews.com.cn/</t>
  </si>
  <si>
    <t>https://www.google.com/s2/favicons?domain=https://jxzx.jxnews.com.cn/</t>
  </si>
  <si>
    <t>江西省</t>
  </si>
  <si>
    <t>辽宁省政协</t>
  </si>
  <si>
    <t>http://www.lnzx.gov.cn/</t>
  </si>
  <si>
    <t>https://www.google.com/s2/favicons?domain=http://www.lnzx.gov.cn/</t>
  </si>
  <si>
    <t>辽宁省</t>
  </si>
  <si>
    <t>青海省政协</t>
  </si>
  <si>
    <t>http://www.qhszx.gov.cn/</t>
  </si>
  <si>
    <t>https://www.google.com/s2/favicons?domain=http://www.qhszx.gov.cn/</t>
  </si>
  <si>
    <t>青海省</t>
  </si>
  <si>
    <t>山东省政协</t>
  </si>
  <si>
    <t>http://www.sdzx.gov.cn/</t>
  </si>
  <si>
    <t>https://www.google.com/s2/favicons?domain=http://www.sdzx.gov.cn/</t>
  </si>
  <si>
    <t>山东省</t>
  </si>
  <si>
    <t>山西省政协</t>
  </si>
  <si>
    <t>http://www.shanxizx.gov.cn/</t>
  </si>
  <si>
    <t>https://www.google.com/s2/favicons?domain=http://www.shanxizx.gov.cn/</t>
  </si>
  <si>
    <t>山西省</t>
  </si>
  <si>
    <t>陕西省政协</t>
  </si>
  <si>
    <t>http://www.sxzx.gov.cn/</t>
  </si>
  <si>
    <t>http://www.sxzx.gov.cn/favicon.ico</t>
  </si>
  <si>
    <t>陕西省</t>
  </si>
  <si>
    <t>四川省政协</t>
  </si>
  <si>
    <t>http://www.sczx.gov.cn/</t>
  </si>
  <si>
    <t>https://www.google.com/s2/favicons?domain=http://www.sczx.gov.cn/</t>
  </si>
  <si>
    <t>四川省</t>
  </si>
  <si>
    <t>云南省政协</t>
  </si>
  <si>
    <t>http://www.ynzx.gov.cn/</t>
  </si>
  <si>
    <t>https://www.google.com/s2/favicons?domain=http://www.ynzx.gov.cn/</t>
  </si>
  <si>
    <t>云南省</t>
  </si>
  <si>
    <t>浙江省政协</t>
  </si>
  <si>
    <t>http://www.zjzx.gov.cn/</t>
  </si>
  <si>
    <t>http://www.zjzx.gov.cn/favicon.ico</t>
  </si>
  <si>
    <t>浙江省</t>
  </si>
  <si>
    <t>光明网</t>
  </si>
  <si>
    <t>http://www.gmw.cn/</t>
  </si>
  <si>
    <t>http://www.gmw.cn/favicon.ico</t>
  </si>
  <si>
    <t>中国日报网</t>
  </si>
  <si>
    <t>http://www.chinadaily.com.cn/</t>
  </si>
  <si>
    <t>http://www.chinadaily.com.cn/favicon.ico</t>
  </si>
  <si>
    <t>中央媒体</t>
  </si>
  <si>
    <t>新华网</t>
  </si>
  <si>
    <t>http://www.xinhuanet.com/</t>
  </si>
  <si>
    <t>http://www.xinhuanet.com/favicon.ico</t>
  </si>
  <si>
    <t>备案</t>
  </si>
  <si>
    <t>经营</t>
  </si>
  <si>
    <t>人民网</t>
  </si>
  <si>
    <t>http://www.people.com.cn/</t>
  </si>
  <si>
    <t>http://www.people.com.cn/favicon.ico</t>
  </si>
  <si>
    <t>中国网</t>
  </si>
  <si>
    <t>http://www.china.com.cn/index.shtml</t>
  </si>
  <si>
    <t>http://www.china.com.cn/favicon.ico</t>
  </si>
  <si>
    <t>央视网</t>
  </si>
  <si>
    <t>https://www.cctv.com/</t>
  </si>
  <si>
    <t>https://www.cctv.com/favicon.ico</t>
  </si>
  <si>
    <t>央广网</t>
  </si>
  <si>
    <t>中国经济网</t>
  </si>
  <si>
    <t>http://www.ce.cn/</t>
  </si>
  <si>
    <t>http://www.ce.cn/favicon.ico</t>
  </si>
  <si>
    <t>中国新闻网</t>
  </si>
  <si>
    <t>http://www.chinanews.com/</t>
  </si>
  <si>
    <t>https://www.google.com/s2/favicons?domain=http://www.chinanews.com/</t>
  </si>
  <si>
    <t>国际在线</t>
  </si>
  <si>
    <t>http://www.cri.cn/</t>
  </si>
  <si>
    <t>http://www.cri.cn/favicon.ico</t>
  </si>
  <si>
    <t>中国法院网</t>
  </si>
  <si>
    <t>https://www.chinacourt.org/index.shtml</t>
  </si>
  <si>
    <t>https://www.chinacourt.org/share/images/favicon.ico</t>
  </si>
  <si>
    <t>正义网</t>
  </si>
  <si>
    <t>http://www.jcrb.com/</t>
  </si>
  <si>
    <t>http://www.jcrb.com/favicon.ico</t>
  </si>
  <si>
    <t>中工网</t>
  </si>
  <si>
    <t>http://www.workercn.cn/</t>
  </si>
  <si>
    <t>http://www.workercn.cn/favicon.ico</t>
  </si>
  <si>
    <t>中青在线</t>
  </si>
  <si>
    <t>http://www.cyol.com/</t>
  </si>
  <si>
    <t>http://www.cyol.com/themes/cyol/assets/images/cyol/cyol_logo.png</t>
  </si>
  <si>
    <t>求是网</t>
  </si>
  <si>
    <t>http://www.qstheory.cn/</t>
  </si>
  <si>
    <t>http://www.qstheory.cn/favicon.ico</t>
  </si>
  <si>
    <t>百度搜索</t>
  </si>
  <si>
    <t>http://www.baidu.com/</t>
  </si>
  <si>
    <t>https://www.baidu.com/favicon.ico</t>
  </si>
  <si>
    <t>Google搜索</t>
  </si>
  <si>
    <t>https://www.google.com/</t>
  </si>
  <si>
    <t>https://www.google.com/favicon.ico</t>
  </si>
  <si>
    <t>搜狗搜索</t>
  </si>
  <si>
    <t>https://www.sogou.com/</t>
  </si>
  <si>
    <t>https://www.sogou.com/images/logo/new/favicon.ico?v=4</t>
  </si>
  <si>
    <t>GIPHY</t>
  </si>
  <si>
    <t>https://giphy.com/</t>
  </si>
  <si>
    <t>https://giphy.com/static/img/favicon.png</t>
  </si>
  <si>
    <t>鸠摩搜索</t>
  </si>
  <si>
    <t>https://www.jiumodiary.com/</t>
  </si>
  <si>
    <t>https://www.jiumodiary.com/images/favicon.png</t>
  </si>
  <si>
    <t>文档</t>
  </si>
  <si>
    <t>6miu搜索</t>
  </si>
  <si>
    <t>http://baiduyun.6miu.com/</t>
  </si>
  <si>
    <t>http://baiduyun.6miu.com/favicon.ico</t>
  </si>
  <si>
    <t>百度云盘</t>
  </si>
  <si>
    <t>Google 图书</t>
  </si>
  <si>
    <t>https://books.google.com/</t>
  </si>
  <si>
    <t>大名鼎鼎的谷歌图书，本想雄心壮志，将古今中文图书一网打尽，一统电子书江湖， 后因版权问题，搁浅。目前，除书目检索外，一些非版权电子书可全文下载，部分有版权的电子书可在线试读。</t>
  </si>
  <si>
    <t>https://books.google.com/favicon.ico</t>
  </si>
  <si>
    <t>图书</t>
  </si>
  <si>
    <t>正协信息客栈</t>
  </si>
  <si>
    <t>https://zhengxie.info/</t>
  </si>
  <si>
    <t>https://zhengxie.info/common/image/favicon.ico</t>
  </si>
  <si>
    <t>hao123</t>
  </si>
  <si>
    <t>https://www.hao123.com/</t>
  </si>
  <si>
    <t>https://www.hao123.com/favicon.ico</t>
  </si>
  <si>
    <t>谷歌265</t>
  </si>
  <si>
    <t>http://www.265.com/</t>
  </si>
  <si>
    <t>http://www.265.com/static/pages/img/favicon.ico</t>
  </si>
  <si>
    <t>QQ导航</t>
  </si>
  <si>
    <t>https://hao.qq.com/</t>
  </si>
  <si>
    <t>https://upd33.sogoucdn.com/nstatic/img/favicon.ico?v=3</t>
  </si>
  <si>
    <t>搜狗网址导航</t>
  </si>
  <si>
    <t>https://123.sogou.com/</t>
  </si>
  <si>
    <t>https://upd12.sogoucdn.com/nstatic/img/favicon.ico?v=3</t>
  </si>
  <si>
    <t>360导航</t>
  </si>
  <si>
    <t>https://hao.360.com/</t>
  </si>
  <si>
    <t>https://hao.360.com/favicon.ico</t>
  </si>
  <si>
    <t>设计导航</t>
  </si>
  <si>
    <t>http://hao.shejidaren.com/</t>
  </si>
  <si>
    <t>天猫</t>
  </si>
  <si>
    <t>https://www.tmall.com/</t>
  </si>
  <si>
    <t>https://zhengxie.info/common/image/favicon/天猫32.gif</t>
  </si>
  <si>
    <t>天猫32.gif</t>
  </si>
  <si>
    <t>淘宝网</t>
  </si>
  <si>
    <t>https://www.taobao.com/</t>
  </si>
  <si>
    <t>https://img.alicdn.com/tfs/TB1VlKFRpXXXXcNapXXXXXXXXXX-16-16.png</t>
  </si>
  <si>
    <t>京东</t>
  </si>
  <si>
    <t>https://www.jd.com/</t>
  </si>
  <si>
    <t>https://www.jd.com/favicon.ico</t>
  </si>
  <si>
    <t>苏宁易购</t>
  </si>
  <si>
    <t>https://www.suning.com/</t>
  </si>
  <si>
    <t>https://www.suning.com/favicon.ico</t>
  </si>
  <si>
    <t>拼多多</t>
  </si>
  <si>
    <t>https://m.pinduoduo.com/</t>
  </si>
  <si>
    <t>https://m.pinduoduo.com/favicon.ico</t>
  </si>
  <si>
    <t>1号会员店</t>
  </si>
  <si>
    <t>https://www.yhd.com/</t>
  </si>
  <si>
    <t>https://www.yhd.com/yhdmember/favicon.ico</t>
  </si>
  <si>
    <t>https://www.1688.com/</t>
  </si>
  <si>
    <t>https://cbu01.alicdn.com/favicon.ico?_=2020</t>
  </si>
  <si>
    <t>Alibaba</t>
  </si>
  <si>
    <t>https://www.alibaba.com/</t>
  </si>
  <si>
    <t>https://is.alicdn.com/simg/single/icon/favicon.ico</t>
  </si>
  <si>
    <t>维品会</t>
  </si>
  <si>
    <t>https://www.vip.com/</t>
  </si>
  <si>
    <t>https://www.vip.com/favicon.ico</t>
  </si>
  <si>
    <t>当当网</t>
  </si>
  <si>
    <t>http://www.dangdang.com/</t>
  </si>
  <si>
    <t>http://www.dangdang.com/favicon.ico</t>
  </si>
  <si>
    <t>亚马逊中国</t>
  </si>
  <si>
    <t>https://www.amazon.cn/</t>
  </si>
  <si>
    <t>https://www.amazon.cn/favicon.ico</t>
  </si>
  <si>
    <t>招商银行</t>
  </si>
  <si>
    <t>http://www.cmbchina.com/</t>
  </si>
  <si>
    <t>http://www.cmbchina.com/cmb.ico</t>
  </si>
  <si>
    <t>央行</t>
  </si>
  <si>
    <t>中国进出口银行</t>
  </si>
  <si>
    <t>http://www.eximbank.gov.cn/</t>
  </si>
  <si>
    <t>http://www.eximbank.gov.cn/favicon.ico</t>
  </si>
  <si>
    <t>政策</t>
  </si>
  <si>
    <t>中国农业发展银行</t>
  </si>
  <si>
    <t>http://www.adbc.com.cn/</t>
  </si>
  <si>
    <t>国家开发银行</t>
  </si>
  <si>
    <t>http://www.cdb.com.cn/</t>
  </si>
  <si>
    <t>中国银行</t>
  </si>
  <si>
    <t>https://www.boc.cn/</t>
  </si>
  <si>
    <t>https://www.boc.cn/favicon.ico</t>
  </si>
  <si>
    <t>国有</t>
  </si>
  <si>
    <t>中国工商银行</t>
  </si>
  <si>
    <t>http://www.icbc.com.cn/icbc/</t>
  </si>
  <si>
    <t>https://www.google.com/s2/favicons?domain=http://www.icbc.com.cn/icbc/</t>
  </si>
  <si>
    <t>中国农业银行</t>
  </si>
  <si>
    <t>http://www.abchina.com/cn/</t>
  </si>
  <si>
    <t>http://www.abchina.com/favicon.ico</t>
  </si>
  <si>
    <t>中国建设银行</t>
  </si>
  <si>
    <t>http://www.ccb.com/</t>
  </si>
  <si>
    <t>http://www.ccb.com/favicon.ico</t>
  </si>
  <si>
    <t>交通银行</t>
  </si>
  <si>
    <t>http://www.bankcomm.com/</t>
  </si>
  <si>
    <t>http://www.bankcomm.com/favicon.ico</t>
  </si>
  <si>
    <t>中国邮政储蓄银行</t>
  </si>
  <si>
    <t>http://www.psbc.com/cn/</t>
  </si>
  <si>
    <t>https://www.google.com/s2/favicons?domain=http://www.psbc.com/cn/</t>
  </si>
  <si>
    <t>邮储</t>
  </si>
  <si>
    <t>其他</t>
  </si>
  <si>
    <t>中信银行</t>
  </si>
  <si>
    <t>http://www.citicbank.com/</t>
  </si>
  <si>
    <t>http://www.citicbank.com/favicon.ico</t>
  </si>
  <si>
    <t>中国光大银行</t>
  </si>
  <si>
    <t>http://www.cebbank.com/</t>
  </si>
  <si>
    <t>http://www.cebbank.com/favicon.ico</t>
  </si>
  <si>
    <t>华夏银行</t>
  </si>
  <si>
    <t>https://www.hxb.com.cn/</t>
  </si>
  <si>
    <t>https://www.hxb.com.cn/statics/hxb.ico</t>
  </si>
  <si>
    <t>兴业银行</t>
  </si>
  <si>
    <t>https://www.cib.com.cn/</t>
  </si>
  <si>
    <t>https://www.cib.com.cn/favicon.ico</t>
  </si>
  <si>
    <t>广发银行</t>
  </si>
  <si>
    <t>http://www.cgbchina.com.cn/</t>
  </si>
  <si>
    <t>http://www.cgbchina.com.cn/static/CN/images/favicon.ico</t>
  </si>
  <si>
    <t>中国民生银行</t>
  </si>
  <si>
    <t>http://www.cmbc.com.cn/</t>
  </si>
  <si>
    <t>http://www.cmbc.com.cn/favicon.ico</t>
  </si>
  <si>
    <t>浦发银行</t>
  </si>
  <si>
    <t>https://www.spdb.com.cn/</t>
  </si>
  <si>
    <t>https://www.google.com/s2/favicons?domain=https://www.spdb.com.cn/</t>
  </si>
  <si>
    <t>渤海银行</t>
  </si>
  <si>
    <t>http://www.cbhb.com.cn</t>
  </si>
  <si>
    <t>https://www.google.com/s2/favicons?domain=http://www.cbhb.com.cn</t>
  </si>
  <si>
    <t>浙商银行</t>
  </si>
  <si>
    <t>http://www.czbank.com</t>
  </si>
  <si>
    <t>http://www.czbank.com/cn/images/favicon.ico</t>
  </si>
  <si>
    <t>北京银行</t>
  </si>
  <si>
    <t>http://www.bankofbeijing.com.cn</t>
  </si>
  <si>
    <t>https://www.google.com/s2/favicons?domain=http://www.bankofbeijing.com.cn</t>
  </si>
  <si>
    <t>徽商银行</t>
  </si>
  <si>
    <t>http://www.hsbank.com.cn</t>
  </si>
  <si>
    <t>http://www.hsbank.com.cn/favicon.ico</t>
  </si>
  <si>
    <t>天津银行</t>
  </si>
  <si>
    <t>http://www.tccb.com.cn</t>
  </si>
  <si>
    <t>http://www.tccb.com.cn/images/site.ico</t>
  </si>
  <si>
    <t>上海银行</t>
  </si>
  <si>
    <t>http://www.bankofshanghai.com</t>
  </si>
  <si>
    <t>https://www.bosc.cn/favicon.ico</t>
  </si>
  <si>
    <t>南京银行</t>
  </si>
  <si>
    <t>http://www.njcb.com.cn</t>
  </si>
  <si>
    <t>http://www.njcb.com.cn/favicon.ico</t>
  </si>
  <si>
    <t>宁波银行</t>
  </si>
  <si>
    <t>http://www.nbcb.com.cn</t>
  </si>
  <si>
    <t>http://www.nbcb.com.cn/images/favicon.ico</t>
  </si>
  <si>
    <t>杭州银行</t>
  </si>
  <si>
    <t>http://www.hccb.com.cn</t>
  </si>
  <si>
    <t>https://www.google.com/s2/favicons?domain=http://www.hccb.com.cn</t>
  </si>
  <si>
    <t>江苏银行</t>
  </si>
  <si>
    <t>http://www.jsbchina.cn</t>
  </si>
  <si>
    <t>http://www.jsbchina.cn/data/tosend/resource/template/jiangsubank/images/favicon.ico</t>
  </si>
  <si>
    <t>蒙商银行</t>
  </si>
  <si>
    <t>http://www.bsb.com.cn</t>
  </si>
  <si>
    <t>http://www.bsb.com.cn/favicon.ico</t>
  </si>
  <si>
    <t>温州银行</t>
  </si>
  <si>
    <t>http://www.wzcb.com.cn</t>
  </si>
  <si>
    <t>https://www.google.com/s2/favicons?domain=http://www.wzcb.com.cn</t>
  </si>
  <si>
    <t>广州银行</t>
  </si>
  <si>
    <t>http://www.gzcb.com.cn</t>
  </si>
  <si>
    <t>https://www.google.com/s2/favicons?domain=http://www.gzcb.com.cn</t>
  </si>
  <si>
    <t>重庆银行</t>
  </si>
  <si>
    <t>http://www.cqcbank.com</t>
  </si>
  <si>
    <t>https://www.google.com/s2/favicons?domain=http://www.cqcbank.com</t>
  </si>
  <si>
    <t>河北银行</t>
  </si>
  <si>
    <t>http://www.hebbank.com/</t>
  </si>
  <si>
    <t>https://www.google.com/s2/favicons?domain=http://www.hebbank.com/</t>
  </si>
  <si>
    <t>青岛银行</t>
  </si>
  <si>
    <t>http://www.qdccb.com</t>
  </si>
  <si>
    <t>http://www.qdccb.com/favicon.ico</t>
  </si>
  <si>
    <t>哈尔滨银行</t>
  </si>
  <si>
    <t>http://www.hrbcb.com.cn</t>
  </si>
  <si>
    <t>https://www.google.com/s2/favicons?domain=http://www.hrbcb.com.cn</t>
  </si>
  <si>
    <t>大连银行</t>
  </si>
  <si>
    <t>http://www.bankofdl.com/</t>
  </si>
  <si>
    <t>http://www.bankofdl.com/static/pc/images/favicon.ico</t>
  </si>
  <si>
    <t>恒丰银行</t>
  </si>
  <si>
    <t>http://m.hfbank.com.cn/</t>
  </si>
  <si>
    <t>https://www.hfbank.com.cn/images/favicon.ico</t>
  </si>
  <si>
    <t>北京农商银行</t>
  </si>
  <si>
    <t>http://www.bjrcb.com</t>
  </si>
  <si>
    <t>https://www.google.com/s2/favicons?domain=http://www.bjrcb.com</t>
  </si>
  <si>
    <t>上海农商银行</t>
  </si>
  <si>
    <t>http://www.srcb.com</t>
  </si>
  <si>
    <t>https://www.google.com/s2/favicons?domain=http://www.srcb.com</t>
  </si>
  <si>
    <t>深圳农村商业银行</t>
  </si>
  <si>
    <t>http://www.4001961200.com/</t>
  </si>
  <si>
    <t>http://www.4001961200.com/themes/szrcb/favicon.ico</t>
  </si>
  <si>
    <t>重庆农村商业银行</t>
  </si>
  <si>
    <t>http://www.cqrcb.com</t>
  </si>
  <si>
    <t>https://www.google.com/s2/favicons?domain=http://www.cqrcb.com</t>
  </si>
  <si>
    <t>广州农商银行</t>
  </si>
  <si>
    <t>http://www.grcbank.com/</t>
  </si>
  <si>
    <t>http://www.grcbank.com/styles/index/images/favicon.ico</t>
  </si>
  <si>
    <t>太平洋保险</t>
  </si>
  <si>
    <t>http://www.cpic.com.cn/</t>
  </si>
  <si>
    <t>https://www.cpiccdn.com/images/v2/favicon.gif</t>
  </si>
  <si>
    <t>中国人寿</t>
  </si>
  <si>
    <t>https://www.e-chinalife.com/</t>
  </si>
  <si>
    <t>https://www.google.com/s2/favicons?domain=https://www.e-chinalife.com/</t>
  </si>
  <si>
    <t>中国平安</t>
  </si>
  <si>
    <t>https://www.pingan.com/</t>
  </si>
  <si>
    <t>https://www.pingan.com/favicon.ico</t>
  </si>
  <si>
    <t>泰康保险</t>
  </si>
  <si>
    <t>http://www.taikang.com/</t>
  </si>
  <si>
    <t>https://www.google.com/s2/favicons?domain=http://www.taikang.com/</t>
  </si>
  <si>
    <t>中国人民保险</t>
  </si>
  <si>
    <t>https://www.picc.com/</t>
  </si>
  <si>
    <t>https://www.picc.com/favicon.ico</t>
  </si>
  <si>
    <t>新华保险</t>
  </si>
  <si>
    <t>https://www.newchinalife.com/</t>
  </si>
  <si>
    <t>https://www.newchinalife.com/favicon.ico</t>
  </si>
  <si>
    <t>友邦保险</t>
  </si>
  <si>
    <t>https://www.aia.com.cn/zh-cn/index.html</t>
  </si>
  <si>
    <t>https://www.aia.com.cn/favicon.ico</t>
  </si>
  <si>
    <t>国信证券</t>
  </si>
  <si>
    <t>https://www.guosen.com.cn/gs/index.html</t>
  </si>
  <si>
    <t>https://www.guosen.com.cn/favicon.ico</t>
  </si>
  <si>
    <t>国泰君安证券</t>
  </si>
  <si>
    <t>https://www.gtja.com/</t>
  </si>
  <si>
    <t>https://www.google.com/s2/favicons?domain=https://www.gtja.com/</t>
  </si>
  <si>
    <t>广发证券</t>
  </si>
  <si>
    <t>http://www.gf.com.cn/</t>
  </si>
  <si>
    <t>http://www.gf.com.cn/images/favicon.ico</t>
  </si>
  <si>
    <t>中国银河证券</t>
  </si>
  <si>
    <t>http://www.chinastock.com.cn/</t>
  </si>
  <si>
    <t>https://www.google.com/s2/favicons?domain=http://www.chinastock.com.cn/</t>
  </si>
  <si>
    <t>方正证券</t>
  </si>
  <si>
    <t>https://www.foundersc.com/</t>
  </si>
  <si>
    <t>https://www.foundersc.com/r/cms/www/default/img/logo1.ico</t>
  </si>
  <si>
    <t>光大证券</t>
  </si>
  <si>
    <t>http://www.ebscn.com/main/index/index.html</t>
  </si>
  <si>
    <t>http://www.ebscn.com/favicon.ico</t>
  </si>
  <si>
    <t>华泰证券</t>
  </si>
  <si>
    <t>https://www.htsc.com.cn/</t>
  </si>
  <si>
    <t>https://www.htsc.com.cn/favicon.ico</t>
  </si>
  <si>
    <t>安信证券</t>
  </si>
  <si>
    <t>http://www.essence.com.cn/</t>
  </si>
  <si>
    <t>http://static1.essence.com.cn/v6/img/logoico.ico</t>
  </si>
  <si>
    <t>西部证券</t>
  </si>
  <si>
    <t>http://www.west95582.com/jdw/index.html</t>
  </si>
  <si>
    <t>http://www.west95582.com/jdw/images/favicon.ico</t>
  </si>
  <si>
    <t>中信证券</t>
  </si>
  <si>
    <t>http://www.cs.ecitic.com/newsite/</t>
  </si>
  <si>
    <t>http://www.cs.ecitic.com/newsite/favicon.ico</t>
  </si>
  <si>
    <t>国海证券</t>
  </si>
  <si>
    <t>http://www.ghzq.com.cn/</t>
  </si>
  <si>
    <t>https://www.google.com/s2/favicons?domain=http://www.ghzq.com.cn/</t>
  </si>
  <si>
    <t>QQ邮箱</t>
  </si>
  <si>
    <t>https://mail.qq.com/</t>
  </si>
  <si>
    <t>https://mail.qq.com/zh_CN/htmledition/images/favicon/qqmail_favicon_32h.png</t>
  </si>
  <si>
    <t>Foxmail</t>
  </si>
  <si>
    <t>https://www.foxmail.com/</t>
  </si>
  <si>
    <t>https://www.foxmail.com/favicon.ico</t>
  </si>
  <si>
    <t>Gmail</t>
  </si>
  <si>
    <t>https://mail.google.com/</t>
  </si>
  <si>
    <t>https://ssl.gstatic.com/ui/v1/icons/mail/rfr/gmail.ico</t>
  </si>
  <si>
    <t>Outlook</t>
  </si>
  <si>
    <t>https://outlook.live.com/</t>
  </si>
  <si>
    <t>https://outlook-1.cdn.office.net/owamail/20210315003.14/resources/images/favicons/mail-seen.ico</t>
  </si>
  <si>
    <t>新浪邮箱</t>
  </si>
  <si>
    <t>https://mail.sina.com.cn/</t>
  </si>
  <si>
    <t>https://mail.sina.com.cn/favicon.ico</t>
  </si>
  <si>
    <t>雅虎Yahoo</t>
  </si>
  <si>
    <t>https://login.yahoo.com/</t>
  </si>
  <si>
    <t>https://s.yimg.com/wm/mbr/images/yahoo-favicon-img-v0.0.2.ico</t>
  </si>
  <si>
    <t>网易yeah.net</t>
  </si>
  <si>
    <t>https://www.yeah.net/</t>
  </si>
  <si>
    <t>网易126邮箱</t>
  </si>
  <si>
    <t>http://www.126.com/</t>
  </si>
  <si>
    <t>https://www.google.com/s2/favicons?domain=http://www.126.com/</t>
  </si>
  <si>
    <t>网易163邮箱</t>
  </si>
  <si>
    <t>https://mail.163.com/</t>
  </si>
  <si>
    <t>https://www.google.com/s2/favicons?domain=https://mail.163.com/</t>
  </si>
  <si>
    <t>故宫壁纸</t>
  </si>
  <si>
    <t>https://www.dpm.org.cn/lights/royal.html</t>
  </si>
  <si>
    <t>https://www.dpm.org.cn/favicon.ico</t>
  </si>
  <si>
    <t>极简壁纸</t>
  </si>
  <si>
    <t>https://bz.zzzmh.cn/</t>
  </si>
  <si>
    <t>https://bz.zzzmh.cn/favicon.ico</t>
  </si>
  <si>
    <t>壁纸</t>
  </si>
  <si>
    <t>云淡风轻</t>
  </si>
  <si>
    <t>https://bing.ioliu.cn/</t>
  </si>
  <si>
    <t>必应每日高清壁纸，图片来自必应搜索。</t>
  </si>
  <si>
    <t>https://bing.ioliu.cn/static/images/bing.ico</t>
  </si>
  <si>
    <t>wallhaven</t>
  </si>
  <si>
    <t>https://wallhaven.cc/</t>
  </si>
  <si>
    <t>https://wallhaven.cc/favicon.ico</t>
  </si>
  <si>
    <t>NET牛人</t>
  </si>
  <si>
    <t>https://ss.netnr.com/wallpaper</t>
  </si>
  <si>
    <t>https://ss.netnr.com/favicon.ico</t>
  </si>
  <si>
    <t>图片瀑布</t>
  </si>
  <si>
    <t>https://joer.ru/</t>
  </si>
  <si>
    <t>https://joer.ru/favicon.ico</t>
  </si>
  <si>
    <t>Pexels</t>
  </si>
  <si>
    <t>https://www.pexels.com/zh-cn/</t>
  </si>
  <si>
    <t>免费素材图片</t>
  </si>
  <si>
    <t>https://www.pexels.com/favicon.ico</t>
  </si>
  <si>
    <t>素材</t>
  </si>
  <si>
    <t>狗图网</t>
  </si>
  <si>
    <t>https://www.gooico.com/</t>
  </si>
  <si>
    <t>https://www.gooico.com/favicon.ico</t>
  </si>
  <si>
    <t>图标</t>
  </si>
  <si>
    <t>小歪API</t>
  </si>
  <si>
    <t>https://api.ixiaowai.cn/</t>
  </si>
  <si>
    <t>API</t>
  </si>
  <si>
    <t>阿里云</t>
  </si>
  <si>
    <t>https://cn.aliyun.com/</t>
  </si>
  <si>
    <t>https://img.alicdn.com/tfs/TB1_ZXuNcfpK1RjSZFOXXa6nFXa-32-32.ico</t>
  </si>
  <si>
    <t>腾讯云</t>
  </si>
  <si>
    <t>https://cloud.tencent.com/</t>
  </si>
  <si>
    <t>https://cloud.tencent.com/favicon.ico?t=201902181234</t>
  </si>
  <si>
    <t>百度云</t>
  </si>
  <si>
    <t>https://cloud.baidu.com/</t>
  </si>
  <si>
    <t>https://bce.bdstatic.com/img/favicon.ico</t>
  </si>
  <si>
    <t>华为云</t>
  </si>
  <si>
    <t>https://www.huaweicloud.com/</t>
  </si>
  <si>
    <t>https://res-static3.huaweicloud.com/content/dam/cloudbu-site/archive/commons/web_resoure/framework/favicon/favicon.ico?sttl=202012172120</t>
  </si>
  <si>
    <t>AWS</t>
  </si>
  <si>
    <t>https://aws.amazon.com/cn/</t>
  </si>
  <si>
    <t>https://a0.awsstatic.com/libra-css/images/site/fav/favicon.ico</t>
  </si>
  <si>
    <t>Google Cloud</t>
  </si>
  <si>
    <t>https://cloud.google.com/</t>
  </si>
  <si>
    <t>https://www.gstatic.com/devrel-devsite/prod/v3069b08f6c9d146fa6a9c7f184b2836998ab5f12cefec1342a7bf6dca024aa94/cloud/images/favicons/onecloud/favicon.ico</t>
  </si>
  <si>
    <t>Google AdSense</t>
  </si>
  <si>
    <t>https://www.google.com/adsense/</t>
  </si>
  <si>
    <t>https://ssl.gstatic.com/adsense/apps/static/bidi/adsense3_antipasti_server_20210317-12_RC00/common/resources/favicon.ico</t>
  </si>
  <si>
    <t>翻译</t>
  </si>
  <si>
    <t>https://translate.google.cn/</t>
  </si>
  <si>
    <t>https://ssl.gstatic.com/translate/favicon.ico</t>
  </si>
  <si>
    <t>云端硬盘</t>
  </si>
  <si>
    <t>https://drive.google.com/</t>
  </si>
  <si>
    <t>https://ssl.gstatic.com/images/branding/product/1x/drive_2020q4_32dp.png</t>
  </si>
  <si>
    <t>百度统计</t>
  </si>
  <si>
    <t>https://tongji.baidu.com/</t>
  </si>
  <si>
    <t>https://tongji.baidu.com/favicon.ico</t>
  </si>
  <si>
    <t>百度贴吧</t>
  </si>
  <si>
    <t>https://tieba.baidu.com/</t>
  </si>
  <si>
    <t>https://tb1.bdstatic.com/tb/favicon.ico</t>
  </si>
  <si>
    <t>百度指数</t>
  </si>
  <si>
    <t>http://index.baidu.com/</t>
  </si>
  <si>
    <t>百度网盘</t>
  </si>
  <si>
    <t>https://pan.baidu.com/</t>
  </si>
  <si>
    <t>https://pan.baidu.com/m-static/base/static/images/favicon.ico</t>
  </si>
  <si>
    <t>百度图片</t>
  </si>
  <si>
    <t>https://image.baidu.com/</t>
  </si>
  <si>
    <t>https://www.baidu.com/cache/icon/favicon.ico</t>
  </si>
  <si>
    <t>百度地图</t>
  </si>
  <si>
    <t>https://map.baidu.com/</t>
  </si>
  <si>
    <t>https://map.baidu.com/favicon.ico</t>
  </si>
  <si>
    <t>斗鱼</t>
  </si>
  <si>
    <t>https://www.douyu.com/</t>
  </si>
  <si>
    <t>https://www.douyu.com/favicon.ico</t>
  </si>
  <si>
    <t>YY</t>
  </si>
  <si>
    <t>https://www.yy.com/</t>
  </si>
  <si>
    <t>https://www.yy.com/favicon.ico</t>
  </si>
  <si>
    <t>六间房</t>
  </si>
  <si>
    <t>https://www.6.cn/</t>
  </si>
  <si>
    <t>https://vr0.xiu123.cn/imges/favicon.ico</t>
  </si>
  <si>
    <t>NOW直播</t>
  </si>
  <si>
    <t>https://now.qq.com/</t>
  </si>
  <si>
    <t>https://now.qq.com/favicon.ico</t>
  </si>
  <si>
    <t>搜狗直播</t>
  </si>
  <si>
    <t>http://show.sogou.com/</t>
  </si>
  <si>
    <t>战旗TV</t>
  </si>
  <si>
    <t>https://www.zhanqi.tv/</t>
  </si>
  <si>
    <t>龙珠直播</t>
  </si>
  <si>
    <t>http://longzhu.com/</t>
  </si>
  <si>
    <t>火猫直播</t>
  </si>
  <si>
    <t>http://www.huomao.com/</t>
  </si>
  <si>
    <t>http://www.huomao.com/favicon.ico</t>
  </si>
  <si>
    <t>虎牙直播</t>
  </si>
  <si>
    <t>https://www.huya.com/</t>
  </si>
  <si>
    <t>https://www.huya.com/favicon.ico</t>
  </si>
  <si>
    <t>哔哩哔哩直播</t>
  </si>
  <si>
    <t>https://live.bilibili.com/</t>
  </si>
  <si>
    <t>https://www.bilibili.com/favicon.ico</t>
  </si>
  <si>
    <t>CCTV央视频道</t>
  </si>
  <si>
    <t>https://tv.cctv.com/live/</t>
  </si>
  <si>
    <t>网络电视</t>
  </si>
  <si>
    <t>网易云课堂</t>
  </si>
  <si>
    <t>https://study.163.com/</t>
  </si>
  <si>
    <t>https://study.163.com/favicon.ico</t>
  </si>
  <si>
    <t>中国大学MOOC</t>
  </si>
  <si>
    <t>https://www.icourse163.org/</t>
  </si>
  <si>
    <t>https://edu-image.nosdn.127.net/32a8dd2a-b9aa-4ec9-abd5-66cd8751befb.png?imageView&amp;quality=100</t>
  </si>
  <si>
    <t>豆瓣网</t>
  </si>
  <si>
    <t>https://www.douban.com/</t>
  </si>
  <si>
    <t>https://www.douban.com/favicon.ico</t>
  </si>
  <si>
    <t>V2EX</t>
  </si>
  <si>
    <t>https://www.v2ex.com/</t>
  </si>
  <si>
    <t>https://www.v2ex.com/static/favicon.ico</t>
  </si>
  <si>
    <t>知乎</t>
  </si>
  <si>
    <t>https://zhihu.com/</t>
  </si>
  <si>
    <t>https://static.zhihu.com/heifetz/favicon.ico</t>
  </si>
  <si>
    <t>CSDN</t>
  </si>
  <si>
    <t>https://www.csdn.net/</t>
  </si>
  <si>
    <t>https://g.csdnimg.cn/static/logo/favicon32.ico</t>
  </si>
  <si>
    <t>简书</t>
  </si>
  <si>
    <t>https://www.jianshu.com/</t>
  </si>
  <si>
    <t>https://cdn2.jianshu.io/assets/favicons/favicon-e743bfb1821442341c3ab15bdbe804f7ad97676bd07a770ccc9483473aa76f06.ico</t>
  </si>
  <si>
    <t>微博</t>
  </si>
  <si>
    <t>https://weibo.com/</t>
  </si>
  <si>
    <t>https://weibo.com/favicon.ico</t>
  </si>
  <si>
    <t>果壳</t>
  </si>
  <si>
    <t>https://www.guokr.com/</t>
  </si>
  <si>
    <t>科技有意思 · 果壳走着瞧</t>
  </si>
  <si>
    <t>https://www.guokr.com/favicon.ico</t>
  </si>
  <si>
    <t>虎扑</t>
  </si>
  <si>
    <t>https://www.hupu.com/</t>
  </si>
  <si>
    <t>https://w1.hoopchina.com.cn/images/pc/old/favicon.ico</t>
  </si>
  <si>
    <t>SOOMAL</t>
  </si>
  <si>
    <t>http://www.soomal.com/</t>
  </si>
  <si>
    <t>http://www.soomal.com/favicon.ico</t>
  </si>
  <si>
    <t>BOSS直聘</t>
  </si>
  <si>
    <t>https://www.zhipin.com/</t>
  </si>
  <si>
    <t>https://www.zhipin.com/favicon.ico</t>
  </si>
  <si>
    <t>拉勾</t>
  </si>
  <si>
    <t>https://www.lagou.com/</t>
  </si>
  <si>
    <t>https://www.lgstatic.com/lg-www-fed/common/static/favicon_faed927.ico</t>
  </si>
  <si>
    <t>猎聘</t>
  </si>
  <si>
    <t>https://www.liepin.com/</t>
  </si>
  <si>
    <t>https://concat.lietou-static.com/fe-www-pc/v5/static/favicon.e6edbc00.ico</t>
  </si>
  <si>
    <t>大街</t>
  </si>
  <si>
    <t>https://www.dajie.com/</t>
  </si>
  <si>
    <t>https://assets.dajieimg.com/images/favicon.ico</t>
  </si>
  <si>
    <t>兼职猫</t>
  </si>
  <si>
    <t>https://www.jianzhimao.com/</t>
  </si>
  <si>
    <t>https://oss.aliyuncs.com/jianzhimao/web-res/icon/jianzhimao-logo-min.png?version=20210316..$[+1]</t>
  </si>
  <si>
    <t>https://job.csdn.net/</t>
  </si>
  <si>
    <t>https://job.csdn.net/favicon.ico</t>
  </si>
  <si>
    <t>乔布简历</t>
  </si>
  <si>
    <t>http://cv.qiaobutang.com/</t>
  </si>
  <si>
    <t>http://cv.qiaobutang.com/favicon.ico</t>
  </si>
  <si>
    <t>智联招聘</t>
  </si>
  <si>
    <t>https://www.zhaopin.com/</t>
  </si>
  <si>
    <t>https://common-bucket.zhaopin.cn/img/zhilian-ico/zhilian-ico-1.0.0.png</t>
  </si>
  <si>
    <t>前程无忧</t>
  </si>
  <si>
    <t>https://www.51job.com/</t>
  </si>
  <si>
    <t>https://www.51job.com/favicon.ico</t>
  </si>
  <si>
    <t>网易云音乐</t>
  </si>
  <si>
    <t>https://music.163.com/</t>
  </si>
  <si>
    <t>https://s1.music.126.net/style/favicon.ico?v20180823</t>
  </si>
  <si>
    <t>千千音乐</t>
  </si>
  <si>
    <t>https://music.taihe.com/</t>
  </si>
  <si>
    <t>https://music.taihe.com/favicon.ico</t>
  </si>
  <si>
    <t>音乐Tai</t>
  </si>
  <si>
    <t>https://www.yinyuetai.com/</t>
  </si>
  <si>
    <t>https://www.yinyuetai.com/favicon.ico</t>
  </si>
  <si>
    <t>芒果TV</t>
  </si>
  <si>
    <t>https://www.mgtv.com/</t>
  </si>
  <si>
    <t>https://www.mgtv.com/favicon.ico</t>
  </si>
  <si>
    <t>优酷</t>
  </si>
  <si>
    <t>https://www.youku.com/</t>
  </si>
  <si>
    <t>https://img.alicdn.com/tfs/TB1WeJ9Xrj1gK0jSZFuXXcrHpXa-195-195.png</t>
  </si>
  <si>
    <t>腾讯视频</t>
  </si>
  <si>
    <t>https://v.qq.com/</t>
  </si>
  <si>
    <t>https://v.qq.com/favicon.ico</t>
  </si>
  <si>
    <t>iQIYI</t>
  </si>
  <si>
    <t>https://www.iq.com/</t>
  </si>
  <si>
    <t>https://www.iqiyipic.com/common/images/logo.ico</t>
  </si>
  <si>
    <t>土豆</t>
  </si>
  <si>
    <t>https://www.tudou.com/</t>
  </si>
  <si>
    <t>https://img.alicdn.com/tfs/TB1Pd4JZ.z1gK0jSZLeXXb9kVXa-32-32.png</t>
  </si>
  <si>
    <t>豆瓣电影</t>
  </si>
  <si>
    <t>https://movie.douban.com/</t>
  </si>
  <si>
    <t>https://img9.doubanio.com/favicon.ico</t>
  </si>
  <si>
    <t>风行网</t>
  </si>
  <si>
    <t>http://www.fun.tv/</t>
  </si>
  <si>
    <t>360影视</t>
  </si>
  <si>
    <t>http://www.360kan.com/</t>
  </si>
  <si>
    <t>http://www.360kan.com/favicon.ico</t>
  </si>
  <si>
    <t>AcFun</t>
  </si>
  <si>
    <t>https://www.acfun.cn/</t>
  </si>
  <si>
    <t>https://cdn.aixifan.com/ico/favicon.ico</t>
  </si>
  <si>
    <t>咪咕视频</t>
  </si>
  <si>
    <t>https://www.miguvideo.com/</t>
  </si>
  <si>
    <t>https://www.miguvideo.com/favicon.ico</t>
  </si>
  <si>
    <t>乐视视频</t>
  </si>
  <si>
    <t>http://www.le.com/</t>
  </si>
  <si>
    <t>http://www.le.com/favicon.ico</t>
  </si>
  <si>
    <t>哔哩哔哩</t>
  </si>
  <si>
    <t>https://www.bilibili.com/</t>
  </si>
  <si>
    <t>https://www.bilibili.com/favicon.ico?v=1</t>
  </si>
  <si>
    <t>百度视频</t>
  </si>
  <si>
    <t>http://v.baidu.com/</t>
  </si>
  <si>
    <t>搜狐视频</t>
  </si>
  <si>
    <t>https://tv.sohu.com/</t>
  </si>
  <si>
    <t>https://tv.sohu.com/favicon.ico</t>
  </si>
  <si>
    <t>PPTV</t>
  </si>
  <si>
    <t>https://www.pptv.com/</t>
  </si>
  <si>
    <t>https://sr1.pplive.cn/mcms/nav/images/favicon.ico</t>
  </si>
  <si>
    <t>搜狗视频</t>
  </si>
  <si>
    <t>https://v.sogou.com/</t>
  </si>
  <si>
    <t>https://dlweb.sogoucdn.com/translate/favicon.ico?v=20180424</t>
  </si>
  <si>
    <t>https://www.163.com/</t>
  </si>
  <si>
    <t>https://www.163.com/favicon.ico</t>
  </si>
  <si>
    <t>新浪网</t>
  </si>
  <si>
    <t>https://www.sina.com.cn/</t>
  </si>
  <si>
    <t>https://www.sina.com.cn/favicon.ico</t>
  </si>
  <si>
    <t>搜狐</t>
  </si>
  <si>
    <t>https://www.sohu.com/</t>
  </si>
  <si>
    <t>https://statics.itc.cn/web/static/images/pic/sohu-logo/favicon.ico</t>
  </si>
  <si>
    <t>百度新闻</t>
  </si>
  <si>
    <t>http://news.baidu.com/</t>
  </si>
  <si>
    <t>http://gss0.bdstatic.com/5foIcy0a2gI2n2jgoY3K/static/fisp_static/common/img/favicon.ico</t>
  </si>
  <si>
    <t>腾讯新闻</t>
  </si>
  <si>
    <t>https://news.qq.com/</t>
  </si>
  <si>
    <t>https://mat1.gtimg.com/www/icon/favicon2.ico</t>
  </si>
  <si>
    <t>铁血网</t>
  </si>
  <si>
    <t>http://www.tiexue.net/</t>
  </si>
  <si>
    <t>http://www.tiexue.net/favicon.ico</t>
  </si>
  <si>
    <t>世界数字图书馆</t>
  </si>
  <si>
    <t>https://www.wdl.org/zh/</t>
  </si>
  <si>
    <t>联合国教科文组织协办的电子书网站，精选全球各大图书馆藏品。数量不太大，但多为精品。</t>
  </si>
  <si>
    <t>https://www.wdl.org/static/img/logos/wdl-152x152.3c48b49bd60d.png</t>
  </si>
  <si>
    <t>中国国家图书馆</t>
  </si>
  <si>
    <t>http://www.nlc.cn</t>
  </si>
  <si>
    <t>内有古籍、民国图书、民国期刊等免费数据库 ，部分商业数据库，可注册后使用。</t>
  </si>
  <si>
    <t>香港大学图书馆数据库索引</t>
  </si>
  <si>
    <t>https://libguides.lib.hku.hk/az.php</t>
  </si>
  <si>
    <t>哈佛大学图书馆数据库索引</t>
  </si>
  <si>
    <t>https://databases.hollis.harvard.edu/primo-explore/search?vid=HVD_DB&amp;lang=en_US</t>
  </si>
  <si>
    <t>香港公共图书馆旧香港报纸</t>
  </si>
  <si>
    <t>https://sc.lcsd.gov.hk/TuniS/mmis.hkpl.gov.hk/web/guest/old-hk-collection</t>
  </si>
  <si>
    <t>全国图书馆参考咨询联盟</t>
  </si>
  <si>
    <t>http://www.ucdrs.superlib.net</t>
  </si>
  <si>
    <t>大学数字图书馆国际合作计划</t>
  </si>
  <si>
    <t>http://cadal.edu.cn/index/home</t>
  </si>
  <si>
    <t>香光尼众佛学院图书馆</t>
  </si>
  <si>
    <t>http://www.gaya.org.tw/library/</t>
  </si>
  <si>
    <t>哥伦比亚大学东亚图书馆</t>
  </si>
  <si>
    <t>http://www.columbia.edu/cu/lweb/digital/collections/eastasian/paper_gods/index.html</t>
  </si>
  <si>
    <t>台灣大學圖書館公開取用電子書</t>
  </si>
  <si>
    <t>http://ebooks.lib.ntu.edu.tw/Home/ListBooks</t>
  </si>
  <si>
    <t>金陵圖書館</t>
  </si>
  <si>
    <t>http://www.jllib.cn/</t>
  </si>
  <si>
    <t>书格</t>
  </si>
  <si>
    <t>https://shuge.org/</t>
  </si>
  <si>
    <t>在线古籍图书馆</t>
  </si>
  <si>
    <t>哈佛燕京图书馆数字馆藏</t>
  </si>
  <si>
    <t>https://guides.library.harvard.edu/Chinese?utm_source=Library+Staff&amp;utm_campaign=9fca5a7bb3-EMAIL_CAMPAIGN_2017_06_28&amp;utm_medium=email&amp;utm_term=0_4bb25c0228-9fca5a7bb3-26352423#s-lg-box-6321879</t>
  </si>
  <si>
    <t>HathiTrust</t>
  </si>
  <si>
    <t>https://www.hathitrust.org</t>
  </si>
  <si>
    <t>公益性电子书网站，内有大量公版书可全文浏览或部分阅读。不同国家的IP，浏览权限不一。</t>
  </si>
  <si>
    <t>Library Genesis</t>
  </si>
  <si>
    <t>https://libgen.is</t>
  </si>
  <si>
    <t>245万册电子书（32.22TB），8000万篇文章，均可自由下载。</t>
  </si>
  <si>
    <t>Z-Library</t>
  </si>
  <si>
    <t>https://zh.th1lib.org/</t>
  </si>
  <si>
    <t>Z-Library是世界上最大的在线图书馆之一。</t>
  </si>
  <si>
    <t>Booksee</t>
  </si>
  <si>
    <t>https://en.booksee.org/</t>
  </si>
  <si>
    <t>提供自由下载</t>
  </si>
  <si>
    <t>Internet Archive</t>
  </si>
  <si>
    <t>https://archive.org/index.php</t>
  </si>
  <si>
    <t>全球最大的公益性电子书网站。所收电子书，主要为外语古籍和部分中文古籍（如四库、海外图书馆的特藏等）。此外，尚有海量的期刊杂志、老照片、录音、视频、网页等。</t>
  </si>
  <si>
    <t>中国高等教育文献保障系统</t>
  </si>
  <si>
    <t>http://www.calis.edu.cn</t>
  </si>
  <si>
    <t>WorldCat</t>
  </si>
  <si>
    <t>https://www.worldcat.org</t>
  </si>
  <si>
    <t>全球最大的图书与期刊联合目录，多语种，集成了全球各大图书馆的馆藏目录，目前有20亿笔资料目录。可注册，建立自己的书目库，支持书目导出、引用等。</t>
  </si>
  <si>
    <t>开世览文</t>
  </si>
  <si>
    <t>http://www.cashl.edu.cn/</t>
  </si>
  <si>
    <t>中国高校人文社会科学文献中心，提供多所主流高校的联合目录检索服务（虽然不太精确），可提供图书馆馆际互借服务。本校图书馆没有的图书，可通过这个平台，或中国高等教育文献保障系统：http://www.calis.edu.cn，申请馆际互借。</t>
  </si>
  <si>
    <t>历史文献数据库</t>
  </si>
  <si>
    <t>http://222.178.203.72:9051/#/</t>
  </si>
  <si>
    <t>北碚图书馆</t>
  </si>
  <si>
    <t>湖北方志库</t>
  </si>
  <si>
    <t>http://gjpt.library.hb.cn:8991/qt-zxsk.html</t>
  </si>
  <si>
    <t>湖北省图书馆</t>
  </si>
  <si>
    <t>湖北家谱库</t>
  </si>
  <si>
    <t>http://gjpt.library.hb.cn:8991/home/jp_index.html</t>
  </si>
  <si>
    <t>湖州数字图书馆</t>
  </si>
  <si>
    <t>http://www.hzetsg.com/interlibSSO/main/main.jsp</t>
  </si>
  <si>
    <t>湖州市图书馆</t>
  </si>
  <si>
    <t>数字古籍</t>
  </si>
  <si>
    <t>http://lzslib.lzslib.org.cn/class.asp?classid=3</t>
  </si>
  <si>
    <t>阆中市图书馆</t>
  </si>
  <si>
    <t>清人文集全文影像数据库</t>
  </si>
  <si>
    <t>http://www2.jslib.org.cn/was5/web/qrwj.htm</t>
  </si>
  <si>
    <t>南京图书馆藏清人文集全文影像数据库</t>
  </si>
  <si>
    <t>南京图书馆</t>
  </si>
  <si>
    <t>狮山学馆</t>
  </si>
  <si>
    <t>http://ancb.njtc.edu.cn/</t>
  </si>
  <si>
    <t>内江师范学院图书馆</t>
  </si>
  <si>
    <t>古典籍资料</t>
  </si>
  <si>
    <t>https://dl.ndl.go.jp/</t>
  </si>
  <si>
    <t>日本国会图书馆</t>
  </si>
  <si>
    <t>上海图书馆</t>
  </si>
  <si>
    <t>https://library.sh.cn/#/index</t>
  </si>
  <si>
    <t>上图家谱</t>
  </si>
  <si>
    <t>http://wrd2016.library.sh.cn/channel/stjp/</t>
  </si>
  <si>
    <t>古籍插图库</t>
  </si>
  <si>
    <t>http://query.clcn.net.cn/GJAndST/gjct1.htm</t>
  </si>
  <si>
    <t>首都图书馆</t>
  </si>
  <si>
    <t>古籍珍善本图像数据库</t>
  </si>
  <si>
    <t>http://gjzsb.clcn.net.cn/</t>
  </si>
  <si>
    <t>研究工具集</t>
  </si>
  <si>
    <t>http://thdl.ntu.edu.tw/tools/</t>
  </si>
  <si>
    <t>台湾大学台湾历史数位图书馆</t>
  </si>
  <si>
    <t>馆藏古籍资源库</t>
  </si>
  <si>
    <t>http://39.106.82.98:8066/index.html#page1</t>
  </si>
  <si>
    <t>唐河图书馆</t>
  </si>
  <si>
    <t>梵文写本</t>
  </si>
  <si>
    <t>http://cudl.lib.cam.ac.uk/collections/sanskrit/1</t>
  </si>
  <si>
    <t>英国剑桥大学图书馆</t>
  </si>
  <si>
    <t>古籍数字图书馆</t>
  </si>
  <si>
    <t>http://msq.ynlib.cn/</t>
  </si>
  <si>
    <t>云南省图书馆</t>
  </si>
  <si>
    <t>古籍文献</t>
  </si>
  <si>
    <t>http://www.zzlib.com/gjl</t>
  </si>
  <si>
    <t>枣庄市图书馆</t>
  </si>
  <si>
    <t>One Search</t>
  </si>
  <si>
    <t>https://search.nlb.gov.sg/</t>
  </si>
  <si>
    <t>新加坡国家图书馆</t>
  </si>
  <si>
    <t>电子资源</t>
  </si>
  <si>
    <t>https://eresources.nlb.gov.sg/</t>
  </si>
  <si>
    <t>数据库资源导航</t>
  </si>
  <si>
    <t>https://dwz.cn/04OMn1iC</t>
  </si>
  <si>
    <t>山东大学图书馆</t>
  </si>
  <si>
    <t>加拿大大汉公报</t>
  </si>
  <si>
    <t>http://chinesetimes.lib.sfu.ca/</t>
  </si>
  <si>
    <t>旧报纸</t>
  </si>
  <si>
    <t>美国国会图书馆旧报刊数据库</t>
  </si>
  <si>
    <t>https://chroniclingamerica.loc.gov</t>
  </si>
  <si>
    <t>可全文检索，免费在线阅览和下载。</t>
  </si>
  <si>
    <t>大英图书馆旧报刊数据库</t>
  </si>
  <si>
    <t>https://www.britishnewspaperarchive.co.uk</t>
  </si>
  <si>
    <t>可全文检索，收费，个人可注册缴费。</t>
  </si>
  <si>
    <t>天一阁博物馆</t>
  </si>
  <si>
    <t>http://www.tianyige.com.cn:8008/Default</t>
  </si>
  <si>
    <t>只要注册即可在线浏览</t>
  </si>
  <si>
    <t>古籍数字资源库</t>
  </si>
  <si>
    <t>http://www.tianyige.com.cn:8008/default</t>
  </si>
  <si>
    <t>书法字典</t>
  </si>
  <si>
    <t>http://www.shufazidian.com/</t>
  </si>
  <si>
    <t>http://www.shufazidian.com/favicon.ico</t>
  </si>
  <si>
    <t>異體字字典</t>
  </si>
  <si>
    <t>http://dict.variants.moe.edu.tw</t>
  </si>
  <si>
    <t>https://dict.variants.moe.edu.tw/favicon.ico?v=3</t>
  </si>
  <si>
    <t>引得市</t>
  </si>
  <si>
    <t>http://www.mebag.com/index/</t>
  </si>
  <si>
    <t>http://www.mebag.com/favicon.ico</t>
  </si>
  <si>
    <t>小学堂</t>
  </si>
  <si>
    <t>https://xiaoxue.iis.sinica.edu.tw/</t>
  </si>
  <si>
    <t>https://xiaoxue.iis.sinica.edu.tw/Content/Images/ICON.ico</t>
  </si>
  <si>
    <t>口语梵语字典</t>
  </si>
  <si>
    <t>https://www.learnsanskrit.cc/</t>
  </si>
  <si>
    <t>梵语字典</t>
  </si>
  <si>
    <t>http://www.sanskritdictionary.com/</t>
  </si>
  <si>
    <t>巴利文在线字典</t>
  </si>
  <si>
    <t>http://cpd.uni-koeln.de/search</t>
  </si>
  <si>
    <t>（A Critical Pāli Dictionary Online）A Critical Pāli Dictionary Online is maintained by the Data Center for the Humanities at the University of Cologne in cooperation with the Pali Text Society.</t>
  </si>
  <si>
    <t>有道词典</t>
  </si>
  <si>
    <t>http://dict.youdao.com/</t>
  </si>
  <si>
    <t>https://shared.ydstatic.com/images/favicon.ico</t>
  </si>
  <si>
    <t>小鸡词典</t>
  </si>
  <si>
    <t>https://jikipedia.com/</t>
  </si>
  <si>
    <t>呀啦嗦藏文在线词典</t>
  </si>
  <si>
    <t>http://www.yalasoo.com/Chinese/yalasoo_cn_online_dictionary_COM.php</t>
  </si>
  <si>
    <t>汉藏英三语</t>
  </si>
  <si>
    <t>中国古典文献资源导航系统</t>
  </si>
  <si>
    <t>https://www.kuizhangge.cn</t>
  </si>
  <si>
    <t>影印古籍资料</t>
  </si>
  <si>
    <t>https://sou-yun.cn/eBookIndex.aspx</t>
  </si>
  <si>
    <t>搜韵网</t>
  </si>
  <si>
    <t>Gale Scholar</t>
  </si>
  <si>
    <t>https://dwz.cn/0bz5szYB</t>
  </si>
  <si>
    <t>Gale Scholar-Archives Unbound珍稀原始典藏档案数据库中28个主题。Gale Scholar是Gale公司的大型数据库集成产品， 为用户呈现 1 亿 7000 万页、跨越全球 500 年历史的珍稀原始文献资源，最早的历史资料可追溯到十五世纪，资料类型包括图书、地图、照片、报纸、手稿、期刊、视频和音频等。文献全部来自于权威机构如大英图书馆、美国国家档案馆、英国国家档案馆、美国国务院档案馆、哈佛大学图书馆、耶鲁大学图书馆、哥伦比亚大学图书馆、牛津、剑桥等等。这些文献包含解密档案、政府文件、手稿、报刊、照片等，内容极为丰富，对社会科学、历史、哲学、教育、国际关系、国际政治、经济史、法律、文学、艺术等学科有独特价值。</t>
  </si>
  <si>
    <t>韩国历史文献相关网站大汇总</t>
  </si>
  <si>
    <t>https://www.haijiaoshi.com/archives/156</t>
  </si>
  <si>
    <t>提供《朝鲜王朝实录》、《承政院日记》、《备边司誊录》等数据库的导航。</t>
  </si>
  <si>
    <t>整理文章</t>
  </si>
  <si>
    <t>游民星空</t>
  </si>
  <si>
    <t>https://www.gamersky.com/</t>
  </si>
  <si>
    <t>https://www.gamersky.com/favicon.ico</t>
  </si>
  <si>
    <t>17173.com</t>
  </si>
  <si>
    <t>https://www.17173.com/</t>
  </si>
  <si>
    <t>https://ue.17173cdn.com/images/lib/v1/favicon-hd.ico</t>
  </si>
  <si>
    <t>未区分</t>
  </si>
  <si>
    <t>TGbus</t>
  </si>
  <si>
    <t>http://www.tgbus.com/</t>
  </si>
  <si>
    <t>http://www.tgbus.com/static/img/favicon.ico</t>
  </si>
  <si>
    <t>52PK</t>
  </si>
  <si>
    <t>https://www.52pk.com/</t>
  </si>
  <si>
    <t>https://www.52pk.com/favicon.ico</t>
  </si>
  <si>
    <t>178.com</t>
  </si>
  <si>
    <t>http://www.178.com/</t>
  </si>
  <si>
    <t>http://cimg.178.com/www/favicon.ico</t>
  </si>
  <si>
    <t>NGA玩家社区</t>
  </si>
  <si>
    <t>https://nga.cn/</t>
  </si>
  <si>
    <t>https://bbs.nga.cn/favicon.ico</t>
  </si>
  <si>
    <t>4399.com</t>
  </si>
  <si>
    <t>http://www.4399.com/</t>
  </si>
  <si>
    <t>4399小游戏</t>
  </si>
  <si>
    <t>http://www.4399.com/favicon.ico</t>
  </si>
  <si>
    <t>小游戏</t>
  </si>
  <si>
    <t>3DMGame</t>
  </si>
  <si>
    <t>https://www.3dmgame.com/</t>
  </si>
  <si>
    <t>https://www.3dmgame.com/favicon.ico</t>
  </si>
  <si>
    <t>单机游戏</t>
  </si>
  <si>
    <t>CC直播</t>
  </si>
  <si>
    <t>https://cc.163.com/</t>
  </si>
  <si>
    <t>https://cc.res.netease.com/act/webcc/favicon/favicon.ico</t>
  </si>
  <si>
    <t>民主党派</t>
  </si>
  <si>
    <t>中国致公党</t>
  </si>
  <si>
    <t>http://www.zg.org.cn/</t>
  </si>
  <si>
    <t>致公党</t>
  </si>
  <si>
    <t>台湾民主自治同盟</t>
  </si>
  <si>
    <t>https://www.taimeng.org.cn/</t>
  </si>
  <si>
    <t>台盟</t>
  </si>
  <si>
    <t>中国农工民主党</t>
  </si>
  <si>
    <t>http://www.ngd.org.cn/</t>
  </si>
  <si>
    <t>农工党</t>
  </si>
  <si>
    <t>中国民主同盟</t>
  </si>
  <si>
    <t>https://www.mmzy.org.cn/</t>
  </si>
  <si>
    <t>民盟</t>
  </si>
  <si>
    <t>中国民主促进会</t>
  </si>
  <si>
    <t>https://www.mj.org.cn/</t>
  </si>
  <si>
    <t>民进</t>
  </si>
  <si>
    <t>中国民主建国会</t>
  </si>
  <si>
    <t>https://www.cndca.org.cn/</t>
  </si>
  <si>
    <t>民建</t>
  </si>
  <si>
    <t>中国国民党革命委员会</t>
  </si>
  <si>
    <t>http://www.minge.gov.cn/</t>
  </si>
  <si>
    <t>民革</t>
  </si>
  <si>
    <t>九三学社</t>
  </si>
  <si>
    <t>http://www.93.gov.cn/</t>
  </si>
  <si>
    <t>微信网页版</t>
  </si>
  <si>
    <t>https://wx.qq.com/</t>
  </si>
  <si>
    <t>https://res.wx.qq.com/a/wx_fed/assets/res/NTI4MWU5.ico</t>
  </si>
  <si>
    <t>印象笔记</t>
  </si>
  <si>
    <t>https://www.yinxiang.com/</t>
  </si>
  <si>
    <t>https://www.yinxiang.com/favicon.ico</t>
  </si>
  <si>
    <t>汽车之家</t>
  </si>
  <si>
    <t>https://www.autohome.com.cn/</t>
  </si>
  <si>
    <t>https://www.autohome.com.cn/favicon.ico</t>
  </si>
  <si>
    <t>中国青年网</t>
  </si>
  <si>
    <t>http://www.youth.cn/</t>
  </si>
  <si>
    <t>维普期刊</t>
  </si>
  <si>
    <t>http://www.cqvip.com</t>
  </si>
  <si>
    <t>偏重科技类期刊论文。目前，举国上下抗战病毒，在疫情防控期间，该网站免费向读者开放学术论文的下载权限，学者们对此表示，怒赞。</t>
  </si>
  <si>
    <t>中文期刊杂志</t>
  </si>
  <si>
    <t>国家哲学社会科学文献中心</t>
  </si>
  <si>
    <t>http://www.ncpssd.org/index.aspx</t>
  </si>
  <si>
    <t>提供中文期刊、古籍及外文期刊全文，主打中文期刊。目前收录期刊数和篇数，不如中国知网CNKI、维普等多，但全网可免费阅览、下载。</t>
  </si>
  <si>
    <t>中国知网</t>
  </si>
  <si>
    <t>https://cnki.net</t>
  </si>
  <si>
    <t>全球最大的中文期刊网站，当然，估计也是最贵的，且年年涨价，颇凶猛。提供简单检索、高级检索、专业检索等检索方式。令人欣喜的是，国家图书馆注册账号后可以免费使用。</t>
  </si>
  <si>
    <t>晚清、民国期刊全文数据库</t>
  </si>
  <si>
    <t>http://www.cnbksy.com</t>
  </si>
  <si>
    <t>《晚清期刊全文数据库》收录了1833—1911年间302期刊，几乎囊括了当时出版的所有期刊，约28万余篇的文章。《民国时期期刊全文数据库》（1911—1949）收录民国时期出版的期刊两万五千余种，文献1000多万篇。两者均可全文检索、PDF下载。</t>
  </si>
  <si>
    <t>读秀/超星</t>
  </si>
  <si>
    <t>http://www.duxiu.com</t>
  </si>
  <si>
    <t>中文电子书</t>
  </si>
  <si>
    <t>爱如生古籍论坛</t>
  </si>
  <si>
    <t>http://forum.er07.com</t>
  </si>
  <si>
    <t>爱如生公司提供的中国古籍免费论坛，注册后可自由下载，包含常见的四库系列、方志舆图、金石考古、海外大型图书馆古籍等系列资源。</t>
  </si>
  <si>
    <t>国学数典论坛/学乐酷：</t>
  </si>
  <si>
    <t>http://bbs.gxsd.com.cn/forum.php</t>
  </si>
  <si>
    <t>民间最流行的文史类古籍交流论坛。</t>
  </si>
  <si>
    <t>爱如生</t>
  </si>
  <si>
    <t>http://er07.com</t>
  </si>
  <si>
    <t>不知道是不是全宇宙最大的中文古籍数据库公司。提供中国基本古籍库、四库系列数据库、方志库、明清档案库、各类报刊库等数据库。以上数据库，均需购买后方可使用。</t>
  </si>
  <si>
    <t>古代佛教文本</t>
  </si>
  <si>
    <t>https://www.ancient-buddhist-texts.net/</t>
  </si>
  <si>
    <t>在线书籍</t>
  </si>
  <si>
    <t>早期佛教文本</t>
  </si>
  <si>
    <t>https://suttacentral.net/</t>
  </si>
  <si>
    <t>挪威奥斯陆大学佛教文献多语对读</t>
  </si>
  <si>
    <t>https://www2.hf.uio.no/polyglotta/index.php?page=library&amp;bid=2</t>
  </si>
  <si>
    <t>（Thesaurus Literaturae Buddhicae）</t>
  </si>
  <si>
    <t>德国哥廷根大学印度古代文本</t>
  </si>
  <si>
    <t>http://gretil.sub.uni-goettingen.de/</t>
  </si>
  <si>
    <t>（Göttingen Register of Electronic Texts in Indian Languages and related Indological materials from Central and Southeast Asia）</t>
  </si>
  <si>
    <t>德国美茵河畔法兰克福歌德大学印欧语文本集成</t>
  </si>
  <si>
    <t>http://titus.uni-frankfurt.de/indexe.htm</t>
  </si>
  <si>
    <t>（Thesaurus Indogermanischer Text- und Sprachmaterialien）</t>
  </si>
  <si>
    <t>德国海德堡大学梵文数字语料库</t>
  </si>
  <si>
    <t>http://kjc-sv013.kjc.uni-heidelberg.de/dcs/index.php</t>
  </si>
  <si>
    <t>中华电子佛典协会</t>
  </si>
  <si>
    <t>http://www.cbeta.org/</t>
  </si>
  <si>
    <t>日本东京大学电子化大正藏</t>
  </si>
  <si>
    <t>http://21dzk.l.u-tokyo.ac.jp/SAT/index_en.html</t>
  </si>
  <si>
    <t>日本东京大学万历版大藏经（嘉兴藏/径山藏）</t>
  </si>
  <si>
    <t>https://dzkimgs.l.u-tokyo.ac.jp/kkz/</t>
  </si>
  <si>
    <t>韩国高丽大藏经在线检索</t>
  </si>
  <si>
    <t>http://kb.sutra.re.kr/ritk_eng/search/searchBranch.do</t>
  </si>
  <si>
    <t>佛教数字资源中心(BDRC)</t>
  </si>
  <si>
    <t>https://www.tbrc.org/</t>
  </si>
  <si>
    <t>美国西来大学数字梵文佛教典籍</t>
  </si>
  <si>
    <t>http://www.dsbcproject.org/</t>
  </si>
  <si>
    <t>（Digital Sanskrit Buddhist Canon）</t>
  </si>
  <si>
    <t>八万四千佛典传译网</t>
  </si>
  <si>
    <t>http://read.84000.co/</t>
  </si>
  <si>
    <t>日本东京大学藏南亚写本</t>
  </si>
  <si>
    <t>http://utlsktms.ioc.u-tokyo.ac.jp/list.php</t>
  </si>
  <si>
    <t>北京大学梵佛研原民族宫藏梵文写本</t>
  </si>
  <si>
    <t>http://fanfoyan.com/ms.htm</t>
  </si>
  <si>
    <t>在线古藏文写本（7-12世纪）</t>
  </si>
  <si>
    <t>http://otdo.aa-ken.jp/</t>
  </si>
  <si>
    <t>德国科隆大学电子化梵文字典</t>
  </si>
  <si>
    <t>http://www.sanskrit-lexicon.uni-koeln.de/</t>
  </si>
  <si>
    <t>（Cologne Digital Sanskrit Dictionaries）</t>
  </si>
  <si>
    <t>犍陀罗语网</t>
  </si>
  <si>
    <t>https://gandhari.org/n_dictionary.php</t>
  </si>
  <si>
    <t>（电子化的梵语、佛教混合梵语、巴利语、犍陀罗语字典）</t>
  </si>
  <si>
    <t>美国芝加哥大学电子化梵文字典</t>
  </si>
  <si>
    <t>https://dsalsrv04.uchicago.edu/dictionaries/apte/</t>
  </si>
  <si>
    <t>Nitartha藏文字典</t>
  </si>
  <si>
    <t>http://nitartha.pythonanywhere.com/search</t>
  </si>
  <si>
    <t>（用威利转写查英文释义）</t>
  </si>
  <si>
    <t>荻原云来《汉译对照梵和大辞典》</t>
  </si>
  <si>
    <t>http://www.manduuka.net/sanskrit/dic/ogdic.htm</t>
  </si>
  <si>
    <t>在线检索版（仅上册可查）</t>
  </si>
  <si>
    <t>佛教研究术语库</t>
  </si>
  <si>
    <t>http://glossaries.dila.edu.tw/</t>
  </si>
  <si>
    <t>（Glossaries for Buddhist Studies）</t>
  </si>
  <si>
    <t>电子佛教词典</t>
  </si>
  <si>
    <t>http://www.buddhism-dict.net/ddb/</t>
  </si>
  <si>
    <t>（Digital Dictionary of Buddhism）</t>
  </si>
  <si>
    <t>丁福保佛学大辞典</t>
  </si>
  <si>
    <t>https://zh.wikisource.org/wiki/%E4%BD%9B%E5%AD%B8%E5%A4%A7%E8%BE%AD%E5%85%B8</t>
  </si>
  <si>
    <t>佛典辞书数位检索系统</t>
  </si>
  <si>
    <t>http://140.112.26.229/cyj/index.py?term=</t>
  </si>
  <si>
    <t>佛光大辞典、佛光大藏经</t>
  </si>
  <si>
    <t>http://etext.fgs.org.tw/</t>
  </si>
  <si>
    <t>德国汉堡大学印藏词汇集</t>
  </si>
  <si>
    <t>https://www.itlr.net/testb.php?md=view</t>
  </si>
  <si>
    <t>（Indo-Tibetan Lexical Resource， ITLR）</t>
  </si>
  <si>
    <t>日本东京大学佛教用语用例集</t>
  </si>
  <si>
    <t>http://www.l.u-tokyo.ac.jp/~b_kosha/start_index.html</t>
  </si>
  <si>
    <t>（五位百法与五位七十五法对应词汇，在阿毗达磨文献和瑜伽行文献中，各自的定义和用例）</t>
  </si>
  <si>
    <t>北京大学梵佛词典</t>
  </si>
  <si>
    <t>http://fanfoyan.com:8080/FDict/#/dictionary</t>
  </si>
  <si>
    <t>中华佛典宝库网梵藏巴利文学习资料下载</t>
  </si>
  <si>
    <t>http://www.fodian.net/yuyan/index.htm</t>
  </si>
  <si>
    <t>台湾佛陀教育基金会藏文书籍下载</t>
  </si>
  <si>
    <t>http://www.budaedu.org/ebooks/6-TI.php</t>
  </si>
  <si>
    <t>佛教研究工具库</t>
  </si>
  <si>
    <t>http://mbingenheimer.net/tools/indexTools.html</t>
  </si>
  <si>
    <t>（Tools for Buddhist Studies）</t>
  </si>
  <si>
    <t>华梵网佛教研究资源导航</t>
  </si>
  <si>
    <t>http://huafan.org.cn/index.php?m=Page&amp;amp;amp;a=index&amp;id=50</t>
  </si>
  <si>
    <t>佛教藏经目录数位资料库</t>
  </si>
  <si>
    <t>http://t.cn/zOaEKAz</t>
  </si>
  <si>
    <t>中华佛学研究所，中国佛教寺庙志数位典藏</t>
  </si>
  <si>
    <t>http://t.cn/zOmolCZ</t>
  </si>
  <si>
    <t>法鼓佛教学院，佛教规范资料库</t>
  </si>
  <si>
    <t>http://t.cn/zOhOWV5</t>
  </si>
  <si>
    <t>中国佛教数字目录</t>
  </si>
  <si>
    <t>http://t.cn/8kdrF2K</t>
  </si>
  <si>
    <t>中华佛学研究所</t>
  </si>
  <si>
    <t>http://t.cn/zOAOa4U</t>
  </si>
  <si>
    <t>，宋元明清汉传佛教人物资料库</t>
  </si>
  <si>
    <t>佛教学术资源在线指南</t>
  </si>
  <si>
    <t>http://t.cn/8kBtMGt</t>
  </si>
  <si>
    <t>近代中国佛教检索，1850-1950年</t>
  </si>
  <si>
    <t>http://t.cn/8k10SmL</t>
  </si>
  <si>
    <t>创価大学国际佛教学高等研究所</t>
  </si>
  <si>
    <t>http://iriab.soka.ac.jp/orc/seika.html</t>
  </si>
  <si>
    <t>各版本藏经下载</t>
  </si>
  <si>
    <t>http://grandsutras.org/</t>
  </si>
  <si>
    <t>佛教大藏经、大清乾隆大藏经（龙藏）、永乐北藏、中华大藏经、大正藏、卍续藏经、佛梅电子大藏经、佛教巴利文大藏经、西藏佛教藏文大藏经</t>
  </si>
  <si>
    <t>藏经阁佛学辞典集成</t>
  </si>
  <si>
    <t>http://www.baus-ebs.org/sutra.html</t>
  </si>
  <si>
    <t>《中国金石总录》全拓全文数字版</t>
  </si>
  <si>
    <t>http://www.ch5000.com.cn</t>
  </si>
  <si>
    <t>中华寻根网</t>
  </si>
  <si>
    <t>http://ouroots.nlc.cn</t>
  </si>
  <si>
    <t>汉籍电子文献（含中华民国史事日志等）</t>
  </si>
  <si>
    <t>http://hanji.sinica.edu.tw/index.html</t>
  </si>
  <si>
    <t>中国历代墓志数据库</t>
  </si>
  <si>
    <t>http://csid.zju.edu.cn</t>
  </si>
  <si>
    <t>“中研院”史語所漢籍電子文獻數據庫</t>
  </si>
  <si>
    <t>http://t.cn/akuhEu</t>
  </si>
  <si>
    <t>东京大学东洋文化研究所汉籍善本全文影像资料库</t>
  </si>
  <si>
    <t>http://t.cn/aoxNuq</t>
  </si>
  <si>
    <t>東京大學東洋文化研究所雙紅堂文庫全文影像資料庫</t>
  </si>
  <si>
    <t>http://t.cn/zTyT450</t>
  </si>
  <si>
    <t>日本學習院大學東洋文化研究所所藏古典籍</t>
  </si>
  <si>
    <t>http://t.cn/8k3IHye</t>
  </si>
  <si>
    <t>京都大學人文科學研究所在線版四庫提要</t>
  </si>
  <si>
    <t>http://t.cn/aNmUFV</t>
  </si>
  <si>
    <t>京都大學人文科學研究所東方學デジタル圖書館</t>
  </si>
  <si>
    <t>http://t.cn/aoHBzA</t>
  </si>
  <si>
    <t>早稻田大学古典籍総合</t>
  </si>
  <si>
    <t>http://t.cn/hGhxOv</t>
  </si>
  <si>
    <t>京都大學電子圖書館貴重資料畫像數據庫</t>
  </si>
  <si>
    <t>http://t.cn/zjyfHfq</t>
  </si>
  <si>
    <t>中國哲學書電子化計劃</t>
  </si>
  <si>
    <t>http://t.cn/zRO0E0e</t>
  </si>
  <si>
    <t>“中央研究院”汉籍电子文献瀚典全文检索系统</t>
  </si>
  <si>
    <t>http://t.cn/ao1wf9</t>
  </si>
  <si>
    <t>台灣網上書上網─數位典藏與學習電子書庫</t>
  </si>
  <si>
    <t>http://t.cn/a9lJX9</t>
  </si>
  <si>
    <t>故宮博物院和東吳大學數位古今圖書集成</t>
  </si>
  <si>
    <t>http://t.cn/a3PqU3</t>
  </si>
  <si>
    <t>《工部局董事会会议录》28册</t>
  </si>
  <si>
    <t>http://t.cn/8kUQCOh</t>
  </si>
  <si>
    <t>康奈尔大学，华生中国收藏</t>
  </si>
  <si>
    <t>http://t.cn/8k136fl</t>
  </si>
  <si>
    <t>輔仁大學歷史學系等南京教區契約文書數位典藏計劃</t>
  </si>
  <si>
    <t>http://t.cn/8kyFO2y</t>
  </si>
  <si>
    <t>賴永祥長老史料庫</t>
  </si>
  <si>
    <t>http://t.cn/8FKtJAH</t>
  </si>
  <si>
    <t>劍橋大學圖書館館藏中國叢書綜合目錄檢索</t>
  </si>
  <si>
    <t>http://t.cn/8kZMTQk</t>
  </si>
  <si>
    <t>中國大陸各省地方志書目查詢系統</t>
  </si>
  <si>
    <t>http://t.cn/hcZpm1</t>
  </si>
  <si>
    <t>東洋学文献類目検索</t>
  </si>
  <si>
    <t>http://t.cn/zTX4c28</t>
  </si>
  <si>
    <t>日本全国汉籍检索系统</t>
  </si>
  <si>
    <t>http://t.cn/aCMEfI</t>
  </si>
  <si>
    <t>清代檔案人名權威資料查詢</t>
  </si>
  <si>
    <t>http://t.cn/zR6uYkd</t>
  </si>
  <si>
    <t>“中研院”國際電腦漢字及異體字知識庫</t>
  </si>
  <si>
    <t>http://t.cn/hgsrrH</t>
  </si>
  <si>
    <t>“中研院”語言學研究所等搜文解字</t>
  </si>
  <si>
    <t>http://t.cn/8kx2foj</t>
  </si>
  <si>
    <t>“中央研究院”語言學研究所漢字知識本體</t>
  </si>
  <si>
    <t>http://t.cn/8FA0ncX</t>
  </si>
  <si>
    <t>缺字系統</t>
  </si>
  <si>
    <t>http://t.cn/zThmsVi</t>
  </si>
  <si>
    <t>中國文化大學中華百科全書</t>
  </si>
  <si>
    <t>http://t.cn/akc9jE</t>
  </si>
  <si>
    <t>海德堡大学汉学文典</t>
  </si>
  <si>
    <t>http://t.cn/zRjMO6v</t>
  </si>
  <si>
    <t>海德堡大学早期《申报》索引</t>
  </si>
  <si>
    <t>http://t.cn/zRlkFch</t>
  </si>
  <si>
    <t>中文和合本聖經查詢系統</t>
  </si>
  <si>
    <t>http://t.cn/h0XGb</t>
  </si>
  <si>
    <t>澳門期刊論文索引</t>
  </si>
  <si>
    <t>http://t.cn/8FLGer7</t>
  </si>
  <si>
    <t>台湾NCL中国文化研究论文目录</t>
  </si>
  <si>
    <t>http://t.cn/8kJECgC</t>
  </si>
  <si>
    <t>台湾民间传说主题资料库</t>
  </si>
  <si>
    <t>http://t.cn/8F24jwG</t>
  </si>
  <si>
    <t>台湾人文及社会科学引文索引资料库</t>
  </si>
  <si>
    <t>http://t.cn/8F240WC</t>
  </si>
  <si>
    <t>台灣文史哲論文集篇目索引系統</t>
  </si>
  <si>
    <t>http://t.cn/8kixsvj</t>
  </si>
  <si>
    <t>台北学研究主题资料库</t>
  </si>
  <si>
    <t>http://t.cn/8F240Wo</t>
  </si>
  <si>
    <t>臺灣大學法律學院臺灣日治時期統計資料庫</t>
  </si>
  <si>
    <t>http://t.cn/zROOF7V</t>
  </si>
  <si>
    <t>中華佛學研究所中國佛教寺廟志數位典藏</t>
  </si>
  <si>
    <t>（台）“国家图书馆”汉学研究中心</t>
  </si>
  <si>
    <t>http://t.cn/z0e1YLv</t>
  </si>
  <si>
    <t>北京外国语大学中国海外汉学研究中心</t>
  </si>
  <si>
    <t>http://t.cn/8FC1rBK</t>
  </si>
  <si>
    <t>香港城市大學邵逸夫圖書館電子典藏</t>
  </si>
  <si>
    <t>http://t.cn/8kwNPNn</t>
  </si>
  <si>
    <t>香港科技大学图书馆特藏及档案数据库</t>
  </si>
  <si>
    <t>http://t.cn/zRC8rbD</t>
  </si>
  <si>
    <t>香港大學學術庫</t>
  </si>
  <si>
    <t>http://t.cn/h6L5p0</t>
  </si>
  <si>
    <t>“中央研究院”數位典藏資源網</t>
  </si>
  <si>
    <t>http://t.cn/ao1wfN</t>
  </si>
  <si>
    <t>典藏台湾，七百多个数据库一网打尽</t>
  </si>
  <si>
    <t>http://t.cn/hBrAbA</t>
  </si>
  <si>
    <t>臺大數位典藏中心，國家文化資料庫</t>
  </si>
  <si>
    <t>http://t.cn/8kpvFab</t>
  </si>
  <si>
    <t>臺灣大學圖書館臺灣機構典藏</t>
  </si>
  <si>
    <t>http://t.cn/hGVTOA</t>
  </si>
  <si>
    <t>新竹清華大學機構典藏</t>
  </si>
  <si>
    <t>http://t.cn/8kPTrIQ</t>
  </si>
  <si>
    <t>澳門大學澳門電子資源全文網</t>
  </si>
  <si>
    <t>http://t.cn/8FLGerh</t>
  </si>
  <si>
    <t>个人站点</t>
  </si>
  <si>
    <t>网页转换助手</t>
  </si>
  <si>
    <t>http://www.html22.com/zh/</t>
  </si>
  <si>
    <t>在线工具</t>
  </si>
  <si>
    <t>思谋学术</t>
  </si>
  <si>
    <t>https://ac.scmor.com/</t>
  </si>
  <si>
    <t>学术镜像</t>
  </si>
  <si>
    <t>少数派</t>
  </si>
  <si>
    <t>https://sspai.com/</t>
  </si>
  <si>
    <t>后续</t>
  </si>
  <si>
    <t>https://houxu.app/</t>
  </si>
  <si>
    <t>GitNavi</t>
  </si>
  <si>
    <t>http://www.gitnavi.com/</t>
  </si>
  <si>
    <t>http://www.gitnavi.com/favicon.ico</t>
  </si>
  <si>
    <t>网站导航</t>
  </si>
  <si>
    <t>龙喵网</t>
  </si>
  <si>
    <t>https://ailongmiao.com/</t>
  </si>
  <si>
    <t>https://media.ailongmiao.com/favicon.ico</t>
  </si>
  <si>
    <t>别闹</t>
  </si>
  <si>
    <t>https://bienao.com/</t>
  </si>
  <si>
    <t>https://static.bienao.com/favicon.ico</t>
  </si>
  <si>
    <t>快导航网</t>
  </si>
  <si>
    <t>https://www.hifast.cn/</t>
  </si>
  <si>
    <t>https://www.hifast.cn/wp-content/uploads/2021/02/hifast.png</t>
  </si>
  <si>
    <t>演示导航</t>
  </si>
  <si>
    <t>https://www.aboutppt.com/</t>
  </si>
  <si>
    <t>https://www.aboutppt.com/wp-content/uploads/2020/09/ico.ico</t>
  </si>
  <si>
    <t>黑点导航</t>
  </si>
  <si>
    <t>https://www.ihddh.com/</t>
  </si>
  <si>
    <t>https://www.ihddh.com/image/title.ico</t>
  </si>
  <si>
    <t>亿万导航</t>
  </si>
  <si>
    <t>https://www.yiw1.com/</t>
  </si>
  <si>
    <t>https://www.yiw1.com/wp-content/uploads/2020/06/cropped-QQ%E5%9B%BE%E7%89%8720200620110002-32x32.jpg</t>
  </si>
  <si>
    <t>咪起了导航</t>
  </si>
  <si>
    <t>https://www.miqile.cn/</t>
  </si>
  <si>
    <t>https://www.miqile.cn/wp-content/uploads/2020/09/cropped-20200922145127750476-4-32x32.png</t>
  </si>
  <si>
    <t>后期狗(GO)导航</t>
  </si>
  <si>
    <t>http://houqigo.com/</t>
  </si>
  <si>
    <t>http://res.houqigo.com/wp-content/uploads/2020/04/favicon.png</t>
  </si>
  <si>
    <t>思古搜</t>
  </si>
  <si>
    <t>https://siguso.com/</t>
  </si>
  <si>
    <t>https://siguso.com/favicon.ico</t>
  </si>
  <si>
    <t>学渣网</t>
  </si>
  <si>
    <t>https://www.xuezha.cn/</t>
  </si>
  <si>
    <t>https://www.xuezha.cn/wp-content/uploads/2021/02/favicon.ico</t>
  </si>
  <si>
    <t>404导航</t>
  </si>
  <si>
    <t>https://www.404dh.icu/</t>
  </si>
  <si>
    <t>https://www.404dh.icu/wp-content/uploads/2020/01/no404_favicon.ico</t>
  </si>
  <si>
    <t>搜奇导航</t>
  </si>
  <si>
    <t>https://www.souqidaohang.com/</t>
  </si>
  <si>
    <t>站长聚集地</t>
  </si>
  <si>
    <t>https://www.laolibab.cn/</t>
  </si>
  <si>
    <t>https://www.laolibab.cn/favicon.ico</t>
  </si>
  <si>
    <t>新秀导航</t>
  </si>
  <si>
    <t>http://www.xinxiudh.com/</t>
  </si>
  <si>
    <t>http://www.xinxiudh.com/favicon.ico</t>
  </si>
  <si>
    <t>洽初导航</t>
  </si>
  <si>
    <t>http://qiachu.com/</t>
  </si>
  <si>
    <t>http://www.qiachu.com/zb_users/theme/suiranx_nav/image/favicon.ico</t>
  </si>
  <si>
    <t>乐搜导航</t>
  </si>
  <si>
    <t>https://lerso.cn/</t>
  </si>
  <si>
    <t>懒松鼠</t>
  </si>
  <si>
    <t>https://lss.vip/</t>
  </si>
  <si>
    <t>https://lss.vip/wp-content/uploads/2021/02/favicon.ico</t>
  </si>
  <si>
    <t>搜图导航</t>
  </si>
  <si>
    <t>https://www.91sotu.com/</t>
  </si>
  <si>
    <t>https://www.91sotu.com/file/img/favicon.ico</t>
  </si>
  <si>
    <t>超级网站目录</t>
  </si>
  <si>
    <t>http://www.superdirectorycn.com/</t>
  </si>
  <si>
    <t>http://www.superdirectorycn.com/favicon.ico</t>
  </si>
  <si>
    <t>98导航</t>
  </si>
  <si>
    <t>http://98dh.cc/</t>
  </si>
  <si>
    <t>http://98dh.cc/images/favicon.ico</t>
  </si>
  <si>
    <t>比格张</t>
  </si>
  <si>
    <t>https://bigezhang.com/</t>
  </si>
  <si>
    <t>https://bigezhang.com/favicon.png</t>
  </si>
  <si>
    <t>果汁导航</t>
  </si>
  <si>
    <t>http://www.guozhivip.com/</t>
  </si>
  <si>
    <t>http://www.guozhivip.com/images/ic.ico</t>
  </si>
  <si>
    <t>沃客导航</t>
  </si>
  <si>
    <t>http://www.waysto.work/</t>
  </si>
  <si>
    <t>http://www.waysto.work/favicon.ico</t>
  </si>
  <si>
    <t>24k导航</t>
  </si>
  <si>
    <t>https://www.24kdh.com/</t>
  </si>
  <si>
    <t>https://www.24kdh.com/wp-content/uploads/2020/07/201910021570016173270585-3.ico</t>
  </si>
  <si>
    <t>笔点</t>
  </si>
  <si>
    <t>https://www.bidianer.com/</t>
  </si>
  <si>
    <t>https://www.bidianer.com/favicon.ico</t>
  </si>
  <si>
    <t>看国外</t>
  </si>
  <si>
    <t>https://www.kanguowai.com/</t>
  </si>
  <si>
    <t>中国网址大全</t>
  </si>
  <si>
    <t>http://memewang.com/</t>
  </si>
  <si>
    <t>百分百好站上网导航</t>
  </si>
  <si>
    <t>https://m.59178.com/</t>
  </si>
  <si>
    <t>https://www.5566.net</t>
  </si>
  <si>
    <t>http://7999.com/</t>
  </si>
  <si>
    <t>简约导航</t>
  </si>
  <si>
    <t>https://www.jianavi.com</t>
  </si>
  <si>
    <t>站搜搜</t>
  </si>
  <si>
    <t>https://www.zhansousou.com/</t>
  </si>
  <si>
    <t>小呆导航</t>
  </si>
  <si>
    <t>https://webjike.com/dutynav.html</t>
  </si>
  <si>
    <t>搜酷站</t>
  </si>
  <si>
    <t>https://www.soukuzhan.com/</t>
  </si>
  <si>
    <t>freepikcompany</t>
  </si>
  <si>
    <t>https://www.freepikcompany.com/</t>
  </si>
  <si>
    <t>freepik公司</t>
  </si>
  <si>
    <t>freepik</t>
  </si>
  <si>
    <t>https://www.freepik.com/</t>
  </si>
  <si>
    <t>Freepik是一个搜索引擎，可以帮助用户为自己的创意项目找到高质量的免费照片，矢量图像，插图和PSD文件。查找免费矢量图库，库存照片和PSD</t>
  </si>
  <si>
    <t>https://freepik.cdnpk.net/img/favicons/favicon.ico?v=2018082101</t>
  </si>
  <si>
    <t>图形搜索</t>
  </si>
  <si>
    <t>flaticon</t>
  </si>
  <si>
    <t>https://www.flaticon.com/</t>
  </si>
  <si>
    <t>世界上最大的免费可自定义图标数据库。Flaticon拥有数百万种各种格式的图标。</t>
  </si>
  <si>
    <t>https://media.flaticon.com/dist/min/img/favicon.ico</t>
  </si>
  <si>
    <t>slidesgo</t>
  </si>
  <si>
    <t>https://slidesgo.com/</t>
  </si>
  <si>
    <t>免费的Google幻灯片和PowerPoint模板</t>
  </si>
  <si>
    <t>https://slidesgo.com/favicon-32x32.png</t>
  </si>
  <si>
    <t>幻灯片</t>
  </si>
  <si>
    <t>列2</t>
  </si>
  <si>
    <t>次要关键词数量</t>
    <phoneticPr fontId="1" type="noConversion"/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</si>
  <si>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</si>
  <si>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</si>
  <si>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</si>
  <si>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</si>
  <si>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</si>
  <si>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</si>
  <si>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</si>
  <si>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</si>
  <si>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</si>
  <si>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</si>
  <si>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</si>
  <si>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</si>
  <si>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</si>
  <si>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</si>
  <si>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</si>
  <si>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</si>
  <si>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</si>
  <si>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</si>
  <si>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</si>
  <si>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</si>
  <si>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</si>
  <si>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</si>
  <si>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中央媒体</t>
    <phoneticPr fontId="1" type="noConversion"/>
  </si>
  <si>
    <t>其他</t>
    <phoneticPr fontId="1" type="noConversion"/>
  </si>
  <si>
    <t>101-11-10-101</t>
  </si>
  <si>
    <t>101-11-10-102</t>
  </si>
  <si>
    <t>初录未归挡</t>
    <phoneticPr fontId="1" type="noConversion"/>
  </si>
  <si>
    <t>初录未归挡1</t>
    <phoneticPr fontId="1" type="noConversion"/>
  </si>
  <si>
    <t>未区分</t>
    <phoneticPr fontId="1" type="noConversion"/>
  </si>
  <si>
    <t>民主党派</t>
    <phoneticPr fontId="1" type="noConversion"/>
  </si>
  <si>
    <t>古籍</t>
    <phoneticPr fontId="1" type="noConversion"/>
  </si>
  <si>
    <t>http://www.cmbchina.com/cmb.ico</t>
    <phoneticPr fontId="1" type="noConversion"/>
  </si>
  <si>
    <t>https://www.eggvod.cn/music/</t>
  </si>
  <si>
    <t>https://www.eggvod.cn/music/favicon.ico</t>
    <phoneticPr fontId="1" type="noConversion"/>
  </si>
  <si>
    <t>音乐</t>
    <phoneticPr fontId="1" type="noConversion"/>
  </si>
  <si>
    <t>懒人全网音乐下载</t>
    <phoneticPr fontId="1" type="noConversion"/>
  </si>
  <si>
    <t>https://www.ghpym.com/</t>
    <phoneticPr fontId="1" type="noConversion"/>
  </si>
  <si>
    <t>https://img.lguohe.com/uploads/2020/10/ghfavicon.png</t>
    <phoneticPr fontId="1" type="noConversion"/>
  </si>
  <si>
    <t>果核剥壳</t>
    <phoneticPr fontId="1" type="noConversion"/>
  </si>
  <si>
    <t>还原软件的本质</t>
    <phoneticPr fontId="1" type="noConversion"/>
  </si>
  <si>
    <t>https://vip.yeyulingfeng.com/</t>
    <phoneticPr fontId="1" type="noConversion"/>
  </si>
  <si>
    <t>夜雨聆风VIP视频解析</t>
    <phoneticPr fontId="1" type="noConversion"/>
  </si>
  <si>
    <t>https://vip.yeyulingfeng.com/favicon.ico</t>
    <phoneticPr fontId="1" type="noConversion"/>
  </si>
  <si>
    <t>https://www.cupfox.com/</t>
  </si>
  <si>
    <t>https://i.loli.net/2018/08/04/5b65b28a65aae.png</t>
  </si>
  <si>
    <t>茶杯狐</t>
    <phoneticPr fontId="1" type="noConversion"/>
  </si>
  <si>
    <t xml:space="preserve"> Cupfox - 努力让找电影变得简单</t>
    <phoneticPr fontId="1" type="noConversion"/>
  </si>
  <si>
    <t>https://www.dikotv.com/</t>
  </si>
  <si>
    <t>顶空影视</t>
    <phoneticPr fontId="1" type="noConversion"/>
  </si>
  <si>
    <t>https://cdn.jsdelivr.net/gh/vikinglzh/blackcdn/web/img/favicon.ico</t>
  </si>
  <si>
    <t>https://www.jjmj.tv/</t>
  </si>
  <si>
    <t>九九美剧</t>
    <phoneticPr fontId="1" type="noConversion"/>
  </si>
  <si>
    <t>VIP电影美剧无广告免费在线播放</t>
    <phoneticPr fontId="1" type="noConversion"/>
  </si>
  <si>
    <t>天天美剧在线观看_美剧迷真正的美剧天堂</t>
    <phoneticPr fontId="1" type="noConversion"/>
  </si>
  <si>
    <t>https://www.jjmj.tv/statics/img/favicon.ico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</si>
</sst>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u/>
      <sz val="11"/>
      <color theme="1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Fill="1"/>
    <xf numFmtId="0" fontId="0" fillId="2" borderId="1" xfId="0" applyFont="1" applyFill="1" applyBorder="1"/>
    <xf numFmtId="0" fontId="0" fillId="0" borderId="1" xfId="0" applyFont="1" applyBorder="1"/>
    <xf numFmtId="0" fontId="0" fillId="0" borderId="0" xfId="0" applyNumberFormat="1"/>
    <xf numFmtId="0" fontId="0" fillId="2" borderId="0" xfId="0" applyFont="1" applyFill="1" applyBorder="1"/>
    <xf numFmtId="0" fontId="4" fillId="0" borderId="0" xfId="1"/>
  </cellXfs>
  <cellStyles count="2">
    <cellStyle name="常规" xfId="0" builtinId="0"/>
    <cellStyle name="超链接" xfId="1" builtinId="8"/>
  </cellStyles>
  <dxfs count="5"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theme="3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A76258-EF60-466F-BBC5-7002C740C4B5}" name="表_网址" displayName="表_网址" ref="A1:R577" totalsRowShown="0">
  <autoFilter ref="A1:R577" xr:uid="{64B25547-2937-4C90-AD1C-AF58470E0B86}"/>
  <sortState xmlns:xlrd2="http://schemas.microsoft.com/office/spreadsheetml/2017/richdata2" ref="A2:R572">
    <sortCondition ref="A2:A572"/>
    <sortCondition ref="J2:J572"/>
    <sortCondition ref="K2:K572"/>
    <sortCondition ref="L2:L572"/>
  </sortState>
  <tableColumns count="18">
    <tableColumn id="1" xr3:uid="{F9BF4778-CC32-4640-8BA2-C72158EE5B25}" name="序号">
      <calculatedColumnFormula>表_网址[[#This Row],[1级]]&amp;"-"&amp;表_网址[[#This Row],[2级]]&amp;"-"&amp;表_网址[[#This Row],[3级]]&amp;"-"&amp;表_网址[[#This Row],[级内]]</calculatedColumnFormula>
    </tableColumn>
    <tableColumn id="2" xr3:uid="{69725823-9090-4379-95B8-BE14A449F02E}" name="1级">
      <calculatedColumnFormula>VLOOKUP(表_网址[[#This Row],[首要关键词]],表_首次要关键词[[首要关键词]:[排序]],2,0)</calculatedColumnFormula>
    </tableColumn>
    <tableColumn id="3" xr3:uid="{31F5937C-ECF1-43CE-9BA9-411763DECED3}" name="2级" dataDxfId="4">
      <calculatedColumnFormula>IF(表_网址[[#This Row],[次要关键词]]="",10,MATCH(表_网址[[#This Row],[次要关键词]],次要关键词,0)+10)</calculatedColumnFormula>
    </tableColumn>
    <tableColumn id="4" xr3:uid="{676EB066-6352-42DF-B869-AA73B8D04560}" name="3级" dataDxfId="3">
      <calculatedColumnFormula>IF(表_网址[[#This Row],[重点关键词]]="",10,MATCH(表_网址[[#This Row],[重点关键词]],OFFSET(重点关键词!$A$1,MATCH($J2,首要关键词,0)*50-48,MATCH($K2,次要关键词,0),重点关键词数量,1),0)+10)</calculatedColumnFormula>
    </tableColumn>
    <tableColumn id="5" xr3:uid="{DD159CE2-8A98-40F3-BCD9-B5FBEE3CF0FF}" name="级内">
      <calculatedColumnFormula>IF(AND(表_网址[[#This Row],[1级]]=B1,表_网址[[#This Row],[2级]]=C1,表_网址[[#This Row],[3级]]=D1),E1+1,101)</calculatedColumnFormula>
    </tableColumn>
    <tableColumn id="6" xr3:uid="{935A2416-990B-4836-8C7A-5707AEF7276E}" name="简称"/>
    <tableColumn id="7" xr3:uid="{B170176B-9EF1-4CA1-9C15-1F4704442210}" name="网址"/>
    <tableColumn id="8" xr3:uid="{25EFB796-AF13-4115-8E0F-CF9BD865EEC5}" name="描述title"/>
    <tableColumn id="9" xr3:uid="{263A4B86-1B07-48EC-9466-59910A1899AF}" name="图标地址"/>
    <tableColumn id="10" xr3:uid="{9C06C547-A351-4B7B-99ED-F116F778DEF8}" name="首要关键词"/>
    <tableColumn id="11" xr3:uid="{D533143B-7D09-4F59-B4F4-3071E9F45A3B}" name="次要关键词"/>
    <tableColumn id="12" xr3:uid="{19FD9FC4-E08D-45E4-9A3D-37BC98D0C83B}" name="重点关键词"/>
    <tableColumn id="14" xr3:uid="{5203BE38-D432-4951-A1B9-3170D376212A}" name="判断网址"/>
    <tableColumn id="15" xr3:uid="{6F3A451C-BB76-4529-986F-4E5883B515C8}" name="判断图片"/>
    <tableColumn id="16" xr3:uid="{424DDCAC-8129-4583-BF9D-90BC304CE692}" name="其他标签"/>
    <tableColumn id="17" xr3:uid="{34E4207F-363A-4D0B-AC85-B29A2D5E6DEB}" name="图标大小"/>
    <tableColumn id="18" xr3:uid="{2E398FAE-59DF-4B74-85E7-3F07E38E0813}" name="备案/未备案"/>
    <tableColumn id="19" xr3:uid="{BFA4C71F-074C-4154-969F-A95D8FEEFF40}" name="经营性/非经营性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8A4CB6-5180-4A25-A60F-A99E64961570}" name="表_首次要关键词" displayName="表_首次要关键词" ref="A1:AH33" totalsRowShown="0">
  <autoFilter ref="A1:AH33" xr:uid="{597D98E8-453C-4C02-8F2E-029589FE8237}"/>
  <tableColumns count="34">
    <tableColumn id="1" xr3:uid="{65077C56-FDE5-4F1D-8319-060023A613F1}" name="首要关键词"/>
    <tableColumn id="2" xr3:uid="{4365FD57-B7C6-4036-868B-FB9B482E194B}" name="排序"/>
    <tableColumn id="11" xr3:uid="{9D4B0CF6-EE8A-41AC-8CAE-20312D2F2A36}" name="次要关键词数量" dataDxfId="2">
      <calculatedColumnFormula>COUNTIF(表_首次要关键词[[#This Row],[1]:[列24]],"&lt;&gt;")</calculatedColumnFormula>
    </tableColumn>
    <tableColumn id="3" xr3:uid="{BF49E838-6FED-4A76-BF9B-A266A1763ED7}" name="1"/>
    <tableColumn id="4" xr3:uid="{0309587C-3480-4185-AD83-2319E91609D1}" name="2"/>
    <tableColumn id="5" xr3:uid="{CBC5C7F0-C0D2-469D-81CE-56CCCFFED624}" name="3"/>
    <tableColumn id="6" xr3:uid="{D9792B7B-EE04-4745-B3E0-B0FC2E845799}" name="4"/>
    <tableColumn id="7" xr3:uid="{0D565FFB-31BB-4063-977F-FCBA092D9D65}" name="5"/>
    <tableColumn id="8" xr3:uid="{90D6B20E-10C1-4BBA-9124-4174A441BBAB}" name="6"/>
    <tableColumn id="9" xr3:uid="{C4DD6E79-4A11-4566-AB6B-B62137C34471}" name="7"/>
    <tableColumn id="10" xr3:uid="{FA0BAA53-218A-4D03-A2CB-4CAB23991D15}" name="列1"/>
    <tableColumn id="12" xr3:uid="{C2B795F6-8B3D-4C22-BC02-0A2161653914}" name="列2"/>
    <tableColumn id="13" xr3:uid="{50BE4371-D257-4D7C-8D16-9C9DA72D3173}" name="列3"/>
    <tableColumn id="14" xr3:uid="{1E5CC132-E925-4E91-9072-90228E54E602}" name="列4"/>
    <tableColumn id="15" xr3:uid="{E1B3D9ED-BD3C-4743-BF77-8BFC12101D0D}" name="列5"/>
    <tableColumn id="16" xr3:uid="{16E69AD2-C702-44D4-8A3E-5DE158AFA9C3}" name="列6"/>
    <tableColumn id="17" xr3:uid="{37A658DF-2D65-48CA-B730-180116122EA0}" name="列7"/>
    <tableColumn id="18" xr3:uid="{2BF940A4-9D5A-4D21-9EB8-D9A39F3E34EA}" name="列8"/>
    <tableColumn id="19" xr3:uid="{B3B701D2-F1D5-4136-9E09-BCF3EE642A91}" name="列9"/>
    <tableColumn id="20" xr3:uid="{2C46D163-762C-4A45-9D1F-768B6B83E717}" name="列10"/>
    <tableColumn id="21" xr3:uid="{FDC2583E-2CAE-4A6B-87F5-81ED03A1C9BA}" name="列11"/>
    <tableColumn id="22" xr3:uid="{57467906-212F-427F-803D-B709BFC9FD12}" name="列12"/>
    <tableColumn id="23" xr3:uid="{186A0FFB-80BD-4404-BDB5-00468D26F584}" name="列13"/>
    <tableColumn id="24" xr3:uid="{81B90E00-917C-4035-8F63-1BF6841F55C8}" name="列14"/>
    <tableColumn id="25" xr3:uid="{54BB8C75-392D-4259-A048-F4296B059BC5}" name="列15"/>
    <tableColumn id="26" xr3:uid="{A3BF4C10-18A7-41C9-9E3C-3A29121D6EEB}" name="列16"/>
    <tableColumn id="27" xr3:uid="{4C56DAD0-09C8-4A81-96BE-D6617A90F0F9}" name="列17"/>
    <tableColumn id="28" xr3:uid="{8993CB18-AFF0-4B26-AA3F-40B70F529EEA}" name="列18"/>
    <tableColumn id="29" xr3:uid="{640B5F23-CEF0-4F2B-A22A-406FBBC09887}" name="列19"/>
    <tableColumn id="30" xr3:uid="{5614A89B-35B5-4856-BF8B-D3EC54E49236}" name="列20"/>
    <tableColumn id="31" xr3:uid="{4652DCEC-B9E2-43F9-82A0-68EBE5710B92}" name="列21"/>
    <tableColumn id="32" xr3:uid="{BD7060A8-F132-40E5-ACF5-6B976A57FE00}" name="列22"/>
    <tableColumn id="33" xr3:uid="{130950B4-E1B1-4FB7-B047-62AA37491C57}" name="列23"/>
    <tableColumn id="34" xr3:uid="{2AA62088-7BD0-47D0-8FBF-201F151E6A8C}" name="列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www.ghpym.com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eggvod.cn/music/favicon.ico" TargetMode="External"/><Relationship Id="rId1" Type="http://schemas.openxmlformats.org/officeDocument/2006/relationships/hyperlink" Target="http://www.cmbchina.com/cmb.ico" TargetMode="External"/><Relationship Id="rId6" Type="http://schemas.openxmlformats.org/officeDocument/2006/relationships/hyperlink" Target="https://vip.yeyulingfeng.com/favicon.ico" TargetMode="External"/><Relationship Id="rId5" Type="http://schemas.openxmlformats.org/officeDocument/2006/relationships/hyperlink" Target="https://vip.yeyulingfeng.com/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img.lguohe.com/uploads/2020/10/ghfavicon.png" TargetMode="External"/><Relationship Id="rId9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7"/>
  <sheetViews>
    <sheetView tabSelected="1" workbookViewId="0">
      <pane xSplit="6" ySplit="1" topLeftCell="G560" activePane="bottomRight" state="frozen"/>
      <selection pane="topRight" activeCell="G1" sqref="G1"/>
      <selection pane="bottomLeft" activeCell="A2" sqref="A2"/>
      <selection pane="bottomRight" activeCell="L581" sqref="L581"/>
    </sheetView>
  </sheetViews>
  <sheetFormatPr defaultColWidth="12.25" defaultRowHeight="14.25" x14ac:dyDescent="0.2"/>
  <cols>
    <col min="1" max="1" width="15" bestFit="1" customWidth="1"/>
    <col min="2" max="4" width="6.375" bestFit="1" customWidth="1"/>
    <col min="5" max="5" width="7.25" bestFit="1" customWidth="1"/>
    <col min="6" max="6" width="48.375" bestFit="1" customWidth="1"/>
  </cols>
  <sheetData>
    <row r="1" spans="1:18" x14ac:dyDescent="0.2">
      <c r="A1" t="s">
        <v>1</v>
      </c>
      <c r="B1" t="s">
        <v>3</v>
      </c>
      <c r="C1" t="s">
        <v>5</v>
      </c>
      <c r="D1" t="s">
        <v>7</v>
      </c>
      <c r="E1" t="s">
        <v>9</v>
      </c>
      <c r="F1" t="s">
        <v>10</v>
      </c>
      <c r="G1" t="s">
        <v>11</v>
      </c>
      <c r="H1" t="s">
        <v>12</v>
      </c>
      <c r="I1" s="1" t="s">
        <v>24</v>
      </c>
      <c r="J1" s="1" t="s">
        <v>28</v>
      </c>
      <c r="K1" t="s">
        <v>15</v>
      </c>
      <c r="L1" t="s">
        <v>26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</row>
    <row r="2" spans="1:18" x14ac:dyDescent="0.2">
      <c r="A2" t="str">
        <f ca="1">表_网址[[#This Row],[1级]]&amp;"-"&amp;表_网址[[#This Row],[2级]]&amp;"-"&amp;表_网址[[#This Row],[3级]]&amp;"-"&amp;表_网址[[#This Row],[级内]]</f>
        <v>101-10-10-101</v>
      </c>
      <c r="B2">
        <f>VLOOKUP(表_网址[[#This Row],[首要关键词]],表_首次要关键词[[首要关键词]:[排序]],2,0)</f>
        <v>101</v>
      </c>
      <c r="C2">
        <f>IF(表_网址[[#This Row],[次要关键词]]="",10,MATCH(表_网址[[#This Row],[次要关键词]],次要关键词,0)+10)</f>
        <v>10</v>
      </c>
      <c r="D2">
        <f ca="1">IF(表_网址[[#This Row],[重点关键词]]="",10,MATCH(表_网址[[#This Row],[重点关键词]],OFFSET(重点关键词!$A$1,MATCH($J2,首要关键词,0)*50-48,MATCH($K2,次要关键词,0),重点关键词数量,1),0)+10)</f>
        <v>10</v>
      </c>
      <c r="E2">
        <f ca="1">IF(AND(表_网址[[#This Row],[1级]]=B1,表_网址[[#This Row],[2级]]=C1,表_网址[[#This Row],[3级]]=D1),E1+1,101)</f>
        <v>101</v>
      </c>
      <c r="F2" t="s">
        <v>74</v>
      </c>
      <c r="G2" t="s">
        <v>75</v>
      </c>
      <c r="H2" t="s">
        <v>76</v>
      </c>
      <c r="I2" t="s">
        <v>77</v>
      </c>
      <c r="J2" t="s">
        <v>29</v>
      </c>
      <c r="M2">
        <v>999</v>
      </c>
      <c r="N2">
        <v>999</v>
      </c>
      <c r="P2">
        <v>16</v>
      </c>
    </row>
    <row r="3" spans="1:18" x14ac:dyDescent="0.2">
      <c r="A3" t="str">
        <f ca="1">表_网址[[#This Row],[1级]]&amp;"-"&amp;表_网址[[#This Row],[2级]]&amp;"-"&amp;表_网址[[#This Row],[3级]]&amp;"-"&amp;表_网址[[#This Row],[级内]]</f>
        <v>101-11-10-101</v>
      </c>
      <c r="B3">
        <f>VLOOKUP(表_网址[[#This Row],[首要关键词]],表_首次要关键词[[首要关键词]:[排序]],2,0)</f>
        <v>101</v>
      </c>
      <c r="C3">
        <f ca="1">IF(表_网址[[#This Row],[次要关键词]]="",10,MATCH(表_网址[[#This Row],[次要关键词]],次要关键词,0)+10)</f>
        <v>11</v>
      </c>
      <c r="D3">
        <f ca="1">IF(表_网址[[#This Row],[重点关键词]]="",10,MATCH(表_网址[[#This Row],[重点关键词]],OFFSET(重点关键词!$A$1,MATCH($J3,首要关键词,0)*50-48,MATCH($K3,次要关键词,0),重点关键词数量,1),0)+10)</f>
        <v>10</v>
      </c>
      <c r="E3">
        <f ca="1">IF(AND(表_网址[[#This Row],[1级]]=B2,表_网址[[#This Row],[2级]]=C2,表_网址[[#This Row],[3级]]=D2),E2+1,101)</f>
        <v>101</v>
      </c>
      <c r="F3" t="s">
        <v>78</v>
      </c>
      <c r="J3" t="s">
        <v>29</v>
      </c>
      <c r="K3" t="s">
        <v>79</v>
      </c>
    </row>
    <row r="4" spans="1:18" x14ac:dyDescent="0.2">
      <c r="A4" t="str">
        <f ca="1">表_网址[[#This Row],[1级]]&amp;"-"&amp;表_网址[[#This Row],[2级]]&amp;"-"&amp;表_网址[[#This Row],[3级]]&amp;"-"&amp;表_网址[[#This Row],[级内]]</f>
        <v>101-11-11-101</v>
      </c>
      <c r="B4">
        <f>VLOOKUP(表_网址[[#This Row],[首要关键词]],表_首次要关键词[[首要关键词]:[排序]],2,0)</f>
        <v>101</v>
      </c>
      <c r="C4" s="4">
        <f ca="1">IF(表_网址[[#This Row],[次要关键词]]="",10,MATCH(表_网址[[#This Row],[次要关键词]],次要关键词,0)+10)</f>
        <v>11</v>
      </c>
      <c r="D4">
        <f ca="1">IF(表_网址[[#This Row],[重点关键词]]="",10,MATCH(表_网址[[#This Row],[重点关键词]],OFFSET(重点关键词!$A$1,MATCH($J4,首要关键词,0)*50-48,MATCH($K4,次要关键词,0),重点关键词数量,1),0)+10)</f>
        <v>11</v>
      </c>
      <c r="E4">
        <f ca="1">IF(AND(表_网址[[#This Row],[1级]]=B3,表_网址[[#This Row],[2级]]=C3,表_网址[[#This Row],[3级]]=D3),E3+1,101)</f>
        <v>101</v>
      </c>
      <c r="F4" t="s">
        <v>80</v>
      </c>
      <c r="G4" t="s">
        <v>81</v>
      </c>
      <c r="H4" t="s">
        <v>82</v>
      </c>
      <c r="I4" t="s">
        <v>83</v>
      </c>
      <c r="J4" t="s">
        <v>29</v>
      </c>
      <c r="K4" t="s">
        <v>79</v>
      </c>
      <c r="L4" t="s">
        <v>84</v>
      </c>
      <c r="M4">
        <v>999</v>
      </c>
    </row>
    <row r="5" spans="1:18" x14ac:dyDescent="0.2">
      <c r="A5" t="str">
        <f ca="1">表_网址[[#This Row],[1级]]&amp;"-"&amp;表_网址[[#This Row],[2级]]&amp;"-"&amp;表_网址[[#This Row],[3级]]&amp;"-"&amp;表_网址[[#This Row],[级内]]</f>
        <v>101-11-11-102</v>
      </c>
      <c r="B5">
        <f>VLOOKUP(表_网址[[#This Row],[首要关键词]],表_首次要关键词[[首要关键词]:[排序]],2,0)</f>
        <v>101</v>
      </c>
      <c r="C5" s="4">
        <f ca="1">IF(表_网址[[#This Row],[次要关键词]]="",10,MATCH(表_网址[[#This Row],[次要关键词]],次要关键词,0)+10)</f>
        <v>11</v>
      </c>
      <c r="D5">
        <f ca="1">IF(表_网址[[#This Row],[重点关键词]]="",10,MATCH(表_网址[[#This Row],[重点关键词]],OFFSET(重点关键词!$A$1,MATCH($J5,首要关键词,0)*50-48,MATCH($K5,次要关键词,0),重点关键词数量,1),0)+10)</f>
        <v>11</v>
      </c>
      <c r="E5">
        <f ca="1">IF(AND(表_网址[[#This Row],[1级]]=B4,表_网址[[#This Row],[2级]]=C4,表_网址[[#This Row],[3级]]=D4),E4+1,101)</f>
        <v>102</v>
      </c>
      <c r="F5" t="s">
        <v>85</v>
      </c>
      <c r="G5" t="s">
        <v>86</v>
      </c>
      <c r="H5" t="s">
        <v>82</v>
      </c>
      <c r="I5" t="s">
        <v>87</v>
      </c>
      <c r="J5" t="s">
        <v>29</v>
      </c>
      <c r="K5" t="s">
        <v>79</v>
      </c>
      <c r="L5" t="s">
        <v>84</v>
      </c>
      <c r="M5">
        <v>999</v>
      </c>
      <c r="P5">
        <v>256</v>
      </c>
    </row>
    <row r="6" spans="1:18" x14ac:dyDescent="0.2">
      <c r="A6" t="str">
        <f ca="1">表_网址[[#This Row],[1级]]&amp;"-"&amp;表_网址[[#This Row],[2级]]&amp;"-"&amp;表_网址[[#This Row],[3级]]&amp;"-"&amp;表_网址[[#This Row],[级内]]</f>
        <v>101-11-11-103</v>
      </c>
      <c r="B6">
        <f>VLOOKUP(表_网址[[#This Row],[首要关键词]],表_首次要关键词[[首要关键词]:[排序]],2,0)</f>
        <v>101</v>
      </c>
      <c r="C6" s="4">
        <f ca="1">IF(表_网址[[#This Row],[次要关键词]]="",10,MATCH(表_网址[[#This Row],[次要关键词]],次要关键词,0)+10)</f>
        <v>11</v>
      </c>
      <c r="D6">
        <f ca="1">IF(表_网址[[#This Row],[重点关键词]]="",10,MATCH(表_网址[[#This Row],[重点关键词]],OFFSET(重点关键词!$A$1,MATCH($J6,首要关键词,0)*50-48,MATCH($K6,次要关键词,0),重点关键词数量,1),0)+10)</f>
        <v>11</v>
      </c>
      <c r="E6">
        <f ca="1">IF(AND(表_网址[[#This Row],[1级]]=B5,表_网址[[#This Row],[2级]]=C5,表_网址[[#This Row],[3级]]=D5),E5+1,101)</f>
        <v>103</v>
      </c>
      <c r="F6" t="s">
        <v>88</v>
      </c>
      <c r="G6" t="s">
        <v>89</v>
      </c>
      <c r="H6" t="s">
        <v>82</v>
      </c>
      <c r="I6" t="s">
        <v>90</v>
      </c>
      <c r="J6" t="s">
        <v>29</v>
      </c>
      <c r="K6" t="s">
        <v>79</v>
      </c>
      <c r="L6" t="s">
        <v>84</v>
      </c>
      <c r="M6">
        <v>999</v>
      </c>
    </row>
    <row r="7" spans="1:18" x14ac:dyDescent="0.2">
      <c r="A7" t="str">
        <f ca="1">表_网址[[#This Row],[1级]]&amp;"-"&amp;表_网址[[#This Row],[2级]]&amp;"-"&amp;表_网址[[#This Row],[3级]]&amp;"-"&amp;表_网址[[#This Row],[级内]]</f>
        <v>101-11-11-104</v>
      </c>
      <c r="B7">
        <f>VLOOKUP(表_网址[[#This Row],[首要关键词]],表_首次要关键词[[首要关键词]:[排序]],2,0)</f>
        <v>101</v>
      </c>
      <c r="C7" s="4">
        <f ca="1">IF(表_网址[[#This Row],[次要关键词]]="",10,MATCH(表_网址[[#This Row],[次要关键词]],次要关键词,0)+10)</f>
        <v>11</v>
      </c>
      <c r="D7">
        <f ca="1">IF(表_网址[[#This Row],[重点关键词]]="",10,MATCH(表_网址[[#This Row],[重点关键词]],OFFSET(重点关键词!$A$1,MATCH($J7,首要关键词,0)*50-48,MATCH($K7,次要关键词,0),重点关键词数量,1),0)+10)</f>
        <v>11</v>
      </c>
      <c r="E7">
        <f ca="1">IF(AND(表_网址[[#This Row],[1级]]=B6,表_网址[[#This Row],[2级]]=C6,表_网址[[#This Row],[3级]]=D6),E6+1,101)</f>
        <v>104</v>
      </c>
      <c r="F7" t="s">
        <v>91</v>
      </c>
      <c r="G7" t="s">
        <v>92</v>
      </c>
      <c r="H7" t="s">
        <v>82</v>
      </c>
      <c r="I7" t="s">
        <v>93</v>
      </c>
      <c r="J7" t="s">
        <v>29</v>
      </c>
      <c r="K7" t="s">
        <v>79</v>
      </c>
      <c r="L7" t="s">
        <v>84</v>
      </c>
      <c r="M7">
        <v>999</v>
      </c>
      <c r="P7">
        <v>16</v>
      </c>
    </row>
    <row r="8" spans="1:18" x14ac:dyDescent="0.2">
      <c r="A8" t="str">
        <f ca="1">表_网址[[#This Row],[1级]]&amp;"-"&amp;表_网址[[#This Row],[2级]]&amp;"-"&amp;表_网址[[#This Row],[3级]]&amp;"-"&amp;表_网址[[#This Row],[级内]]</f>
        <v>101-11-11-105</v>
      </c>
      <c r="B8">
        <f>VLOOKUP(表_网址[[#This Row],[首要关键词]],表_首次要关键词[[首要关键词]:[排序]],2,0)</f>
        <v>101</v>
      </c>
      <c r="C8" s="4">
        <f ca="1">IF(表_网址[[#This Row],[次要关键词]]="",10,MATCH(表_网址[[#This Row],[次要关键词]],次要关键词,0)+10)</f>
        <v>11</v>
      </c>
      <c r="D8">
        <f ca="1">IF(表_网址[[#This Row],[重点关键词]]="",10,MATCH(表_网址[[#This Row],[重点关键词]],OFFSET(重点关键词!$A$1,MATCH($J8,首要关键词,0)*50-48,MATCH($K8,次要关键词,0),重点关键词数量,1),0)+10)</f>
        <v>11</v>
      </c>
      <c r="E8">
        <f ca="1">IF(AND(表_网址[[#This Row],[1级]]=B7,表_网址[[#This Row],[2级]]=C7,表_网址[[#This Row],[3级]]=D7),E7+1,101)</f>
        <v>105</v>
      </c>
      <c r="F8" t="s">
        <v>94</v>
      </c>
      <c r="G8" t="s">
        <v>95</v>
      </c>
      <c r="H8" t="s">
        <v>82</v>
      </c>
      <c r="I8" t="s">
        <v>93</v>
      </c>
      <c r="J8" t="s">
        <v>29</v>
      </c>
      <c r="K8" t="s">
        <v>79</v>
      </c>
      <c r="L8" t="s">
        <v>84</v>
      </c>
      <c r="M8">
        <v>999</v>
      </c>
      <c r="P8">
        <v>16</v>
      </c>
    </row>
    <row r="9" spans="1:18" x14ac:dyDescent="0.2">
      <c r="A9" t="str">
        <f ca="1">表_网址[[#This Row],[1级]]&amp;"-"&amp;表_网址[[#This Row],[2级]]&amp;"-"&amp;表_网址[[#This Row],[3级]]&amp;"-"&amp;表_网址[[#This Row],[级内]]</f>
        <v>101-11-11-106</v>
      </c>
      <c r="B9">
        <f>VLOOKUP(表_网址[[#This Row],[首要关键词]],表_首次要关键词[[首要关键词]:[排序]],2,0)</f>
        <v>101</v>
      </c>
      <c r="C9" s="4">
        <f ca="1">IF(表_网址[[#This Row],[次要关键词]]="",10,MATCH(表_网址[[#This Row],[次要关键词]],次要关键词,0)+10)</f>
        <v>11</v>
      </c>
      <c r="D9">
        <f ca="1">IF(表_网址[[#This Row],[重点关键词]]="",10,MATCH(表_网址[[#This Row],[重点关键词]],OFFSET(重点关键词!$A$1,MATCH($J9,首要关键词,0)*50-48,MATCH($K9,次要关键词,0),重点关键词数量,1),0)+10)</f>
        <v>11</v>
      </c>
      <c r="E9">
        <f ca="1">IF(AND(表_网址[[#This Row],[1级]]=B8,表_网址[[#This Row],[2级]]=C8,表_网址[[#This Row],[3级]]=D8),E8+1,101)</f>
        <v>106</v>
      </c>
      <c r="F9" t="s">
        <v>96</v>
      </c>
      <c r="G9" t="s">
        <v>97</v>
      </c>
      <c r="H9" t="s">
        <v>82</v>
      </c>
      <c r="I9" t="s">
        <v>98</v>
      </c>
      <c r="J9" t="s">
        <v>29</v>
      </c>
      <c r="K9" t="s">
        <v>79</v>
      </c>
      <c r="L9" t="s">
        <v>84</v>
      </c>
      <c r="M9">
        <v>999</v>
      </c>
      <c r="P9">
        <v>16</v>
      </c>
    </row>
    <row r="10" spans="1:18" x14ac:dyDescent="0.2">
      <c r="A10" t="str">
        <f ca="1">表_网址[[#This Row],[1级]]&amp;"-"&amp;表_网址[[#This Row],[2级]]&amp;"-"&amp;表_网址[[#This Row],[3级]]&amp;"-"&amp;表_网址[[#This Row],[级内]]</f>
        <v>101-11-11-107</v>
      </c>
      <c r="B10">
        <f>VLOOKUP(表_网址[[#This Row],[首要关键词]],表_首次要关键词[[首要关键词]:[排序]],2,0)</f>
        <v>101</v>
      </c>
      <c r="C10" s="4">
        <f ca="1">IF(表_网址[[#This Row],[次要关键词]]="",10,MATCH(表_网址[[#This Row],[次要关键词]],次要关键词,0)+10)</f>
        <v>11</v>
      </c>
      <c r="D10">
        <f ca="1">IF(表_网址[[#This Row],[重点关键词]]="",10,MATCH(表_网址[[#This Row],[重点关键词]],OFFSET(重点关键词!$A$1,MATCH($J10,首要关键词,0)*50-48,MATCH($K10,次要关键词,0),重点关键词数量,1),0)+10)</f>
        <v>11</v>
      </c>
      <c r="E10">
        <f ca="1">IF(AND(表_网址[[#This Row],[1级]]=B9,表_网址[[#This Row],[2级]]=C9,表_网址[[#This Row],[3级]]=D9),E9+1,101)</f>
        <v>107</v>
      </c>
      <c r="F10" t="s">
        <v>99</v>
      </c>
      <c r="G10" t="s">
        <v>100</v>
      </c>
      <c r="H10" t="s">
        <v>82</v>
      </c>
      <c r="I10" t="s">
        <v>101</v>
      </c>
      <c r="J10" t="s">
        <v>29</v>
      </c>
      <c r="K10" t="s">
        <v>79</v>
      </c>
      <c r="L10" t="s">
        <v>84</v>
      </c>
      <c r="M10">
        <v>999</v>
      </c>
      <c r="N10">
        <v>999</v>
      </c>
      <c r="P10">
        <v>32</v>
      </c>
    </row>
    <row r="11" spans="1:18" x14ac:dyDescent="0.2">
      <c r="A11" t="str">
        <f ca="1">表_网址[[#This Row],[1级]]&amp;"-"&amp;表_网址[[#This Row],[2级]]&amp;"-"&amp;表_网址[[#This Row],[3级]]&amp;"-"&amp;表_网址[[#This Row],[级内]]</f>
        <v>101-11-11-108</v>
      </c>
      <c r="B11">
        <f>VLOOKUP(表_网址[[#This Row],[首要关键词]],表_首次要关键词[[首要关键词]:[排序]],2,0)</f>
        <v>101</v>
      </c>
      <c r="C11" s="4">
        <f ca="1">IF(表_网址[[#This Row],[次要关键词]]="",10,MATCH(表_网址[[#This Row],[次要关键词]],次要关键词,0)+10)</f>
        <v>11</v>
      </c>
      <c r="D11">
        <f ca="1">IF(表_网址[[#This Row],[重点关键词]]="",10,MATCH(表_网址[[#This Row],[重点关键词]],OFFSET(重点关键词!$A$1,MATCH($J11,首要关键词,0)*50-48,MATCH($K11,次要关键词,0),重点关键词数量,1),0)+10)</f>
        <v>11</v>
      </c>
      <c r="E11">
        <f ca="1">IF(AND(表_网址[[#This Row],[1级]]=B10,表_网址[[#This Row],[2级]]=C10,表_网址[[#This Row],[3级]]=D10),E10+1,101)</f>
        <v>108</v>
      </c>
      <c r="F11" t="s">
        <v>102</v>
      </c>
      <c r="G11" t="s">
        <v>103</v>
      </c>
      <c r="H11" t="s">
        <v>82</v>
      </c>
      <c r="I11" t="s">
        <v>104</v>
      </c>
      <c r="J11" t="s">
        <v>29</v>
      </c>
      <c r="K11" t="s">
        <v>79</v>
      </c>
      <c r="L11" t="s">
        <v>84</v>
      </c>
      <c r="M11">
        <v>999</v>
      </c>
    </row>
    <row r="12" spans="1:18" x14ac:dyDescent="0.2">
      <c r="A12" t="str">
        <f ca="1">表_网址[[#This Row],[1级]]&amp;"-"&amp;表_网址[[#This Row],[2级]]&amp;"-"&amp;表_网址[[#This Row],[3级]]&amp;"-"&amp;表_网址[[#This Row],[级内]]</f>
        <v>101-11-11-109</v>
      </c>
      <c r="B12">
        <f>VLOOKUP(表_网址[[#This Row],[首要关键词]],表_首次要关键词[[首要关键词]:[排序]],2,0)</f>
        <v>101</v>
      </c>
      <c r="C12" s="4">
        <f ca="1">IF(表_网址[[#This Row],[次要关键词]]="",10,MATCH(表_网址[[#This Row],[次要关键词]],次要关键词,0)+10)</f>
        <v>11</v>
      </c>
      <c r="D12">
        <f ca="1">IF(表_网址[[#This Row],[重点关键词]]="",10,MATCH(表_网址[[#This Row],[重点关键词]],OFFSET(重点关键词!$A$1,MATCH($J12,首要关键词,0)*50-48,MATCH($K12,次要关键词,0),重点关键词数量,1),0)+10)</f>
        <v>11</v>
      </c>
      <c r="E12">
        <f ca="1">IF(AND(表_网址[[#This Row],[1级]]=B11,表_网址[[#This Row],[2级]]=C11,表_网址[[#This Row],[3级]]=D11),E11+1,101)</f>
        <v>109</v>
      </c>
      <c r="F12" t="s">
        <v>105</v>
      </c>
      <c r="G12" t="s">
        <v>106</v>
      </c>
      <c r="H12" t="s">
        <v>82</v>
      </c>
      <c r="I12" t="s">
        <v>107</v>
      </c>
      <c r="J12" t="s">
        <v>29</v>
      </c>
      <c r="K12" t="s">
        <v>79</v>
      </c>
      <c r="L12" t="s">
        <v>84</v>
      </c>
      <c r="M12">
        <v>999</v>
      </c>
    </row>
    <row r="13" spans="1:18" x14ac:dyDescent="0.2">
      <c r="A13" t="str">
        <f ca="1">表_网址[[#This Row],[1级]]&amp;"-"&amp;表_网址[[#This Row],[2级]]&amp;"-"&amp;表_网址[[#This Row],[3级]]&amp;"-"&amp;表_网址[[#This Row],[级内]]</f>
        <v>101-11-11-110</v>
      </c>
      <c r="B13">
        <f>VLOOKUP(表_网址[[#This Row],[首要关键词]],表_首次要关键词[[首要关键词]:[排序]],2,0)</f>
        <v>101</v>
      </c>
      <c r="C13" s="4">
        <f ca="1">IF(表_网址[[#This Row],[次要关键词]]="",10,MATCH(表_网址[[#This Row],[次要关键词]],次要关键词,0)+10)</f>
        <v>11</v>
      </c>
      <c r="D13">
        <f ca="1">IF(表_网址[[#This Row],[重点关键词]]="",10,MATCH(表_网址[[#This Row],[重点关键词]],OFFSET(重点关键词!$A$1,MATCH($J13,首要关键词,0)*50-48,MATCH($K13,次要关键词,0),重点关键词数量,1),0)+10)</f>
        <v>11</v>
      </c>
      <c r="E13">
        <f ca="1">IF(AND(表_网址[[#This Row],[1级]]=B12,表_网址[[#This Row],[2级]]=C12,表_网址[[#This Row],[3级]]=D12),E12+1,101)</f>
        <v>110</v>
      </c>
      <c r="F13" t="s">
        <v>108</v>
      </c>
      <c r="G13" t="s">
        <v>109</v>
      </c>
      <c r="H13" t="s">
        <v>82</v>
      </c>
      <c r="I13" t="s">
        <v>110</v>
      </c>
      <c r="J13" t="s">
        <v>29</v>
      </c>
      <c r="K13" t="s">
        <v>79</v>
      </c>
      <c r="L13" t="s">
        <v>84</v>
      </c>
      <c r="M13">
        <v>999</v>
      </c>
      <c r="N13">
        <v>999</v>
      </c>
      <c r="P13">
        <v>32</v>
      </c>
    </row>
    <row r="14" spans="1:18" x14ac:dyDescent="0.2">
      <c r="A14" t="str">
        <f ca="1">表_网址[[#This Row],[1级]]&amp;"-"&amp;表_网址[[#This Row],[2级]]&amp;"-"&amp;表_网址[[#This Row],[3级]]&amp;"-"&amp;表_网址[[#This Row],[级内]]</f>
        <v>101-11-11-111</v>
      </c>
      <c r="B14">
        <f>VLOOKUP(表_网址[[#This Row],[首要关键词]],表_首次要关键词[[首要关键词]:[排序]],2,0)</f>
        <v>101</v>
      </c>
      <c r="C14" s="4">
        <f ca="1">IF(表_网址[[#This Row],[次要关键词]]="",10,MATCH(表_网址[[#This Row],[次要关键词]],次要关键词,0)+10)</f>
        <v>11</v>
      </c>
      <c r="D14">
        <f ca="1">IF(表_网址[[#This Row],[重点关键词]]="",10,MATCH(表_网址[[#This Row],[重点关键词]],OFFSET(重点关键词!$A$1,MATCH($J14,首要关键词,0)*50-48,MATCH($K14,次要关键词,0),重点关键词数量,1),0)+10)</f>
        <v>11</v>
      </c>
      <c r="E14">
        <f ca="1">IF(AND(表_网址[[#This Row],[1级]]=B13,表_网址[[#This Row],[2级]]=C13,表_网址[[#This Row],[3级]]=D13),E13+1,101)</f>
        <v>111</v>
      </c>
      <c r="F14" t="s">
        <v>111</v>
      </c>
      <c r="G14" t="s">
        <v>112</v>
      </c>
      <c r="H14" t="s">
        <v>82</v>
      </c>
      <c r="I14" t="s">
        <v>113</v>
      </c>
      <c r="J14" t="s">
        <v>29</v>
      </c>
      <c r="K14" t="s">
        <v>79</v>
      </c>
      <c r="L14" t="s">
        <v>84</v>
      </c>
      <c r="M14">
        <v>999</v>
      </c>
      <c r="N14">
        <v>999</v>
      </c>
      <c r="P14">
        <v>16</v>
      </c>
    </row>
    <row r="15" spans="1:18" x14ac:dyDescent="0.2">
      <c r="A15" t="str">
        <f ca="1">表_网址[[#This Row],[1级]]&amp;"-"&amp;表_网址[[#This Row],[2级]]&amp;"-"&amp;表_网址[[#This Row],[3级]]&amp;"-"&amp;表_网址[[#This Row],[级内]]</f>
        <v>101-11-11-112</v>
      </c>
      <c r="B15">
        <f>VLOOKUP(表_网址[[#This Row],[首要关键词]],表_首次要关键词[[首要关键词]:[排序]],2,0)</f>
        <v>101</v>
      </c>
      <c r="C15" s="4">
        <f ca="1">IF(表_网址[[#This Row],[次要关键词]]="",10,MATCH(表_网址[[#This Row],[次要关键词]],次要关键词,0)+10)</f>
        <v>11</v>
      </c>
      <c r="D15">
        <f ca="1">IF(表_网址[[#This Row],[重点关键词]]="",10,MATCH(表_网址[[#This Row],[重点关键词]],OFFSET(重点关键词!$A$1,MATCH($J15,首要关键词,0)*50-48,MATCH($K15,次要关键词,0),重点关键词数量,1),0)+10)</f>
        <v>11</v>
      </c>
      <c r="E15">
        <f ca="1">IF(AND(表_网址[[#This Row],[1级]]=B14,表_网址[[#This Row],[2级]]=C14,表_网址[[#This Row],[3级]]=D14),E14+1,101)</f>
        <v>112</v>
      </c>
      <c r="F15" t="s">
        <v>114</v>
      </c>
      <c r="H15" t="s">
        <v>82</v>
      </c>
      <c r="J15" t="s">
        <v>29</v>
      </c>
      <c r="K15" t="s">
        <v>79</v>
      </c>
      <c r="L15" t="s">
        <v>84</v>
      </c>
    </row>
    <row r="16" spans="1:18" x14ac:dyDescent="0.2">
      <c r="A16" t="str">
        <f ca="1">表_网址[[#This Row],[1级]]&amp;"-"&amp;表_网址[[#This Row],[2级]]&amp;"-"&amp;表_网址[[#This Row],[3级]]&amp;"-"&amp;表_网址[[#This Row],[级内]]</f>
        <v>101-11-11-113</v>
      </c>
      <c r="B16">
        <f>VLOOKUP(表_网址[[#This Row],[首要关键词]],表_首次要关键词[[首要关键词]:[排序]],2,0)</f>
        <v>101</v>
      </c>
      <c r="C16" s="4">
        <f ca="1">IF(表_网址[[#This Row],[次要关键词]]="",10,MATCH(表_网址[[#This Row],[次要关键词]],次要关键词,0)+10)</f>
        <v>11</v>
      </c>
      <c r="D16">
        <f ca="1">IF(表_网址[[#This Row],[重点关键词]]="",10,MATCH(表_网址[[#This Row],[重点关键词]],OFFSET(重点关键词!$A$1,MATCH($J16,首要关键词,0)*50-48,MATCH($K16,次要关键词,0),重点关键词数量,1),0)+10)</f>
        <v>11</v>
      </c>
      <c r="E16">
        <f ca="1">IF(AND(表_网址[[#This Row],[1级]]=B15,表_网址[[#This Row],[2级]]=C15,表_网址[[#This Row],[3级]]=D15),E15+1,101)</f>
        <v>113</v>
      </c>
      <c r="F16" t="s">
        <v>115</v>
      </c>
      <c r="G16" t="s">
        <v>116</v>
      </c>
      <c r="H16" t="s">
        <v>82</v>
      </c>
      <c r="I16" t="s">
        <v>117</v>
      </c>
      <c r="J16" t="s">
        <v>29</v>
      </c>
      <c r="K16" t="s">
        <v>79</v>
      </c>
      <c r="L16" t="s">
        <v>84</v>
      </c>
      <c r="M16">
        <v>999</v>
      </c>
      <c r="P16">
        <v>16</v>
      </c>
    </row>
    <row r="17" spans="1:16" x14ac:dyDescent="0.2">
      <c r="A17" t="str">
        <f ca="1">表_网址[[#This Row],[1级]]&amp;"-"&amp;表_网址[[#This Row],[2级]]&amp;"-"&amp;表_网址[[#This Row],[3级]]&amp;"-"&amp;表_网址[[#This Row],[级内]]</f>
        <v>101-11-11-114</v>
      </c>
      <c r="B17">
        <f>VLOOKUP(表_网址[[#This Row],[首要关键词]],表_首次要关键词[[首要关键词]:[排序]],2,0)</f>
        <v>101</v>
      </c>
      <c r="C17" s="4">
        <f ca="1">IF(表_网址[[#This Row],[次要关键词]]="",10,MATCH(表_网址[[#This Row],[次要关键词]],次要关键词,0)+10)</f>
        <v>11</v>
      </c>
      <c r="D17">
        <f ca="1">IF(表_网址[[#This Row],[重点关键词]]="",10,MATCH(表_网址[[#This Row],[重点关键词]],OFFSET(重点关键词!$A$1,MATCH($J17,首要关键词,0)*50-48,MATCH($K17,次要关键词,0),重点关键词数量,1),0)+10)</f>
        <v>11</v>
      </c>
      <c r="E17">
        <f ca="1">IF(AND(表_网址[[#This Row],[1级]]=B16,表_网址[[#This Row],[2级]]=C16,表_网址[[#This Row],[3级]]=D16),E16+1,101)</f>
        <v>114</v>
      </c>
      <c r="F17" t="s">
        <v>118</v>
      </c>
      <c r="G17" t="s">
        <v>119</v>
      </c>
      <c r="H17" t="s">
        <v>82</v>
      </c>
      <c r="I17" t="s">
        <v>120</v>
      </c>
      <c r="J17" t="s">
        <v>29</v>
      </c>
      <c r="K17" t="s">
        <v>79</v>
      </c>
      <c r="L17" t="s">
        <v>84</v>
      </c>
      <c r="M17">
        <v>999</v>
      </c>
      <c r="P17">
        <v>16</v>
      </c>
    </row>
    <row r="18" spans="1:16" x14ac:dyDescent="0.2">
      <c r="A18" t="str">
        <f ca="1">表_网址[[#This Row],[1级]]&amp;"-"&amp;表_网址[[#This Row],[2级]]&amp;"-"&amp;表_网址[[#This Row],[3级]]&amp;"-"&amp;表_网址[[#This Row],[级内]]</f>
        <v>101-11-11-115</v>
      </c>
      <c r="B18">
        <f>VLOOKUP(表_网址[[#This Row],[首要关键词]],表_首次要关键词[[首要关键词]:[排序]],2,0)</f>
        <v>101</v>
      </c>
      <c r="C18" s="4">
        <f ca="1">IF(表_网址[[#This Row],[次要关键词]]="",10,MATCH(表_网址[[#This Row],[次要关键词]],次要关键词,0)+10)</f>
        <v>11</v>
      </c>
      <c r="D18">
        <f ca="1">IF(表_网址[[#This Row],[重点关键词]]="",10,MATCH(表_网址[[#This Row],[重点关键词]],OFFSET(重点关键词!$A$1,MATCH($J18,首要关键词,0)*50-48,MATCH($K18,次要关键词,0),重点关键词数量,1),0)+10)</f>
        <v>11</v>
      </c>
      <c r="E18">
        <f ca="1">IF(AND(表_网址[[#This Row],[1级]]=B17,表_网址[[#This Row],[2级]]=C17,表_网址[[#This Row],[3级]]=D17),E17+1,101)</f>
        <v>115</v>
      </c>
      <c r="F18" t="s">
        <v>121</v>
      </c>
      <c r="G18" t="s">
        <v>122</v>
      </c>
      <c r="H18" t="s">
        <v>82</v>
      </c>
      <c r="I18" t="s">
        <v>123</v>
      </c>
      <c r="J18" t="s">
        <v>29</v>
      </c>
      <c r="K18" t="s">
        <v>79</v>
      </c>
      <c r="L18" t="s">
        <v>84</v>
      </c>
      <c r="M18">
        <v>999</v>
      </c>
      <c r="P18">
        <v>16</v>
      </c>
    </row>
    <row r="19" spans="1:16" x14ac:dyDescent="0.2">
      <c r="A19" t="str">
        <f ca="1">表_网址[[#This Row],[1级]]&amp;"-"&amp;表_网址[[#This Row],[2级]]&amp;"-"&amp;表_网址[[#This Row],[3级]]&amp;"-"&amp;表_网址[[#This Row],[级内]]</f>
        <v>101-11-11-116</v>
      </c>
      <c r="B19">
        <f>VLOOKUP(表_网址[[#This Row],[首要关键词]],表_首次要关键词[[首要关键词]:[排序]],2,0)</f>
        <v>101</v>
      </c>
      <c r="C19" s="4">
        <f ca="1">IF(表_网址[[#This Row],[次要关键词]]="",10,MATCH(表_网址[[#This Row],[次要关键词]],次要关键词,0)+10)</f>
        <v>11</v>
      </c>
      <c r="D19">
        <f ca="1">IF(表_网址[[#This Row],[重点关键词]]="",10,MATCH(表_网址[[#This Row],[重点关键词]],OFFSET(重点关键词!$A$1,MATCH($J19,首要关键词,0)*50-48,MATCH($K19,次要关键词,0),重点关键词数量,1),0)+10)</f>
        <v>11</v>
      </c>
      <c r="E19">
        <f ca="1">IF(AND(表_网址[[#This Row],[1级]]=B18,表_网址[[#This Row],[2级]]=C18,表_网址[[#This Row],[3级]]=D18),E18+1,101)</f>
        <v>116</v>
      </c>
      <c r="F19" t="s">
        <v>124</v>
      </c>
      <c r="G19" t="s">
        <v>125</v>
      </c>
      <c r="H19" t="s">
        <v>82</v>
      </c>
      <c r="I19" t="s">
        <v>126</v>
      </c>
      <c r="J19" t="s">
        <v>29</v>
      </c>
      <c r="K19" t="s">
        <v>79</v>
      </c>
      <c r="L19" t="s">
        <v>84</v>
      </c>
      <c r="M19">
        <v>999</v>
      </c>
    </row>
    <row r="20" spans="1:16" x14ac:dyDescent="0.2">
      <c r="A20" t="str">
        <f ca="1">表_网址[[#This Row],[1级]]&amp;"-"&amp;表_网址[[#This Row],[2级]]&amp;"-"&amp;表_网址[[#This Row],[3级]]&amp;"-"&amp;表_网址[[#This Row],[级内]]</f>
        <v>101-11-11-117</v>
      </c>
      <c r="B20">
        <f>VLOOKUP(表_网址[[#This Row],[首要关键词]],表_首次要关键词[[首要关键词]:[排序]],2,0)</f>
        <v>101</v>
      </c>
      <c r="C20" s="4">
        <f ca="1">IF(表_网址[[#This Row],[次要关键词]]="",10,MATCH(表_网址[[#This Row],[次要关键词]],次要关键词,0)+10)</f>
        <v>11</v>
      </c>
      <c r="D20">
        <f ca="1">IF(表_网址[[#This Row],[重点关键词]]="",10,MATCH(表_网址[[#This Row],[重点关键词]],OFFSET(重点关键词!$A$1,MATCH($J20,首要关键词,0)*50-48,MATCH($K20,次要关键词,0),重点关键词数量,1),0)+10)</f>
        <v>11</v>
      </c>
      <c r="E20">
        <f ca="1">IF(AND(表_网址[[#This Row],[1级]]=B19,表_网址[[#This Row],[2级]]=C19,表_网址[[#This Row],[3级]]=D19),E19+1,101)</f>
        <v>117</v>
      </c>
      <c r="F20" t="s">
        <v>127</v>
      </c>
      <c r="G20" t="s">
        <v>128</v>
      </c>
      <c r="H20" t="s">
        <v>82</v>
      </c>
      <c r="J20" t="s">
        <v>29</v>
      </c>
      <c r="K20" t="s">
        <v>79</v>
      </c>
      <c r="L20" t="s">
        <v>84</v>
      </c>
    </row>
    <row r="21" spans="1:16" x14ac:dyDescent="0.2">
      <c r="A21" t="str">
        <f ca="1">表_网址[[#This Row],[1级]]&amp;"-"&amp;表_网址[[#This Row],[2级]]&amp;"-"&amp;表_网址[[#This Row],[3级]]&amp;"-"&amp;表_网址[[#This Row],[级内]]</f>
        <v>101-11-11-118</v>
      </c>
      <c r="B21">
        <f>VLOOKUP(表_网址[[#This Row],[首要关键词]],表_首次要关键词[[首要关键词]:[排序]],2,0)</f>
        <v>101</v>
      </c>
      <c r="C21" s="4">
        <f ca="1">IF(表_网址[[#This Row],[次要关键词]]="",10,MATCH(表_网址[[#This Row],[次要关键词]],次要关键词,0)+10)</f>
        <v>11</v>
      </c>
      <c r="D21">
        <f ca="1">IF(表_网址[[#This Row],[重点关键词]]="",10,MATCH(表_网址[[#This Row],[重点关键词]],OFFSET(重点关键词!$A$1,MATCH($J21,首要关键词,0)*50-48,MATCH($K21,次要关键词,0),重点关键词数量,1),0)+10)</f>
        <v>11</v>
      </c>
      <c r="E21">
        <f ca="1">IF(AND(表_网址[[#This Row],[1级]]=B20,表_网址[[#This Row],[2级]]=C20,表_网址[[#This Row],[3级]]=D20),E20+1,101)</f>
        <v>118</v>
      </c>
      <c r="F21" t="s">
        <v>129</v>
      </c>
      <c r="G21" t="s">
        <v>130</v>
      </c>
      <c r="H21" t="s">
        <v>82</v>
      </c>
      <c r="I21" t="s">
        <v>131</v>
      </c>
      <c r="J21" t="s">
        <v>29</v>
      </c>
      <c r="K21" t="s">
        <v>79</v>
      </c>
      <c r="L21" t="s">
        <v>84</v>
      </c>
      <c r="M21">
        <v>999</v>
      </c>
      <c r="N21">
        <v>999</v>
      </c>
      <c r="P21">
        <v>16</v>
      </c>
    </row>
    <row r="22" spans="1:16" x14ac:dyDescent="0.2">
      <c r="A22" t="str">
        <f ca="1">表_网址[[#This Row],[1级]]&amp;"-"&amp;表_网址[[#This Row],[2级]]&amp;"-"&amp;表_网址[[#This Row],[3级]]&amp;"-"&amp;表_网址[[#This Row],[级内]]</f>
        <v>101-11-11-119</v>
      </c>
      <c r="B22">
        <f>VLOOKUP(表_网址[[#This Row],[首要关键词]],表_首次要关键词[[首要关键词]:[排序]],2,0)</f>
        <v>101</v>
      </c>
      <c r="C22" s="4">
        <f ca="1">IF(表_网址[[#This Row],[次要关键词]]="",10,MATCH(表_网址[[#This Row],[次要关键词]],次要关键词,0)+10)</f>
        <v>11</v>
      </c>
      <c r="D22">
        <f ca="1">IF(表_网址[[#This Row],[重点关键词]]="",10,MATCH(表_网址[[#This Row],[重点关键词]],OFFSET(重点关键词!$A$1,MATCH($J22,首要关键词,0)*50-48,MATCH($K22,次要关键词,0),重点关键词数量,1),0)+10)</f>
        <v>11</v>
      </c>
      <c r="E22">
        <f ca="1">IF(AND(表_网址[[#This Row],[1级]]=B21,表_网址[[#This Row],[2级]]=C21,表_网址[[#This Row],[3级]]=D21),E21+1,101)</f>
        <v>119</v>
      </c>
      <c r="F22" t="s">
        <v>132</v>
      </c>
      <c r="G22" t="s">
        <v>133</v>
      </c>
      <c r="H22" t="s">
        <v>82</v>
      </c>
      <c r="I22" t="s">
        <v>134</v>
      </c>
      <c r="J22" t="s">
        <v>29</v>
      </c>
      <c r="K22" t="s">
        <v>79</v>
      </c>
      <c r="L22" t="s">
        <v>84</v>
      </c>
      <c r="M22">
        <v>999</v>
      </c>
      <c r="N22">
        <v>999</v>
      </c>
      <c r="P22">
        <v>16</v>
      </c>
    </row>
    <row r="23" spans="1:16" x14ac:dyDescent="0.2">
      <c r="A23" t="str">
        <f ca="1">表_网址[[#This Row],[1级]]&amp;"-"&amp;表_网址[[#This Row],[2级]]&amp;"-"&amp;表_网址[[#This Row],[3级]]&amp;"-"&amp;表_网址[[#This Row],[级内]]</f>
        <v>101-11-11-120</v>
      </c>
      <c r="B23">
        <f>VLOOKUP(表_网址[[#This Row],[首要关键词]],表_首次要关键词[[首要关键词]:[排序]],2,0)</f>
        <v>101</v>
      </c>
      <c r="C23" s="4">
        <f ca="1">IF(表_网址[[#This Row],[次要关键词]]="",10,MATCH(表_网址[[#This Row],[次要关键词]],次要关键词,0)+10)</f>
        <v>11</v>
      </c>
      <c r="D23">
        <f ca="1">IF(表_网址[[#This Row],[重点关键词]]="",10,MATCH(表_网址[[#This Row],[重点关键词]],OFFSET(重点关键词!$A$1,MATCH($J23,首要关键词,0)*50-48,MATCH($K23,次要关键词,0),重点关键词数量,1),0)+10)</f>
        <v>11</v>
      </c>
      <c r="E23">
        <f ca="1">IF(AND(表_网址[[#This Row],[1级]]=B22,表_网址[[#This Row],[2级]]=C22,表_网址[[#This Row],[3级]]=D22),E22+1,101)</f>
        <v>120</v>
      </c>
      <c r="F23" t="s">
        <v>135</v>
      </c>
      <c r="G23" t="s">
        <v>136</v>
      </c>
      <c r="H23" t="s">
        <v>82</v>
      </c>
      <c r="I23" t="s">
        <v>137</v>
      </c>
      <c r="J23" t="s">
        <v>29</v>
      </c>
      <c r="K23" t="s">
        <v>79</v>
      </c>
      <c r="L23" t="s">
        <v>84</v>
      </c>
      <c r="M23">
        <v>999</v>
      </c>
    </row>
    <row r="24" spans="1:16" x14ac:dyDescent="0.2">
      <c r="A24" t="str">
        <f ca="1">表_网址[[#This Row],[1级]]&amp;"-"&amp;表_网址[[#This Row],[2级]]&amp;"-"&amp;表_网址[[#This Row],[3级]]&amp;"-"&amp;表_网址[[#This Row],[级内]]</f>
        <v>101-11-11-121</v>
      </c>
      <c r="B24">
        <f>VLOOKUP(表_网址[[#This Row],[首要关键词]],表_首次要关键词[[首要关键词]:[排序]],2,0)</f>
        <v>101</v>
      </c>
      <c r="C24" s="4">
        <f ca="1">IF(表_网址[[#This Row],[次要关键词]]="",10,MATCH(表_网址[[#This Row],[次要关键词]],次要关键词,0)+10)</f>
        <v>11</v>
      </c>
      <c r="D24">
        <f ca="1">IF(表_网址[[#This Row],[重点关键词]]="",10,MATCH(表_网址[[#This Row],[重点关键词]],OFFSET(重点关键词!$A$1,MATCH($J24,首要关键词,0)*50-48,MATCH($K24,次要关键词,0),重点关键词数量,1),0)+10)</f>
        <v>11</v>
      </c>
      <c r="E24">
        <f ca="1">IF(AND(表_网址[[#This Row],[1级]]=B23,表_网址[[#This Row],[2级]]=C23,表_网址[[#This Row],[3级]]=D23),E23+1,101)</f>
        <v>121</v>
      </c>
      <c r="F24" t="s">
        <v>138</v>
      </c>
      <c r="G24" t="s">
        <v>139</v>
      </c>
      <c r="H24" t="s">
        <v>82</v>
      </c>
      <c r="I24" t="s">
        <v>140</v>
      </c>
      <c r="J24" t="s">
        <v>29</v>
      </c>
      <c r="K24" t="s">
        <v>79</v>
      </c>
      <c r="L24" t="s">
        <v>84</v>
      </c>
      <c r="M24">
        <v>999</v>
      </c>
    </row>
    <row r="25" spans="1:16" x14ac:dyDescent="0.2">
      <c r="A25" t="str">
        <f ca="1">表_网址[[#This Row],[1级]]&amp;"-"&amp;表_网址[[#This Row],[2级]]&amp;"-"&amp;表_网址[[#This Row],[3级]]&amp;"-"&amp;表_网址[[#This Row],[级内]]</f>
        <v>101-11-11-122</v>
      </c>
      <c r="B25">
        <f>VLOOKUP(表_网址[[#This Row],[首要关键词]],表_首次要关键词[[首要关键词]:[排序]],2,0)</f>
        <v>101</v>
      </c>
      <c r="C25" s="4">
        <f ca="1">IF(表_网址[[#This Row],[次要关键词]]="",10,MATCH(表_网址[[#This Row],[次要关键词]],次要关键词,0)+10)</f>
        <v>11</v>
      </c>
      <c r="D25">
        <f ca="1">IF(表_网址[[#This Row],[重点关键词]]="",10,MATCH(表_网址[[#This Row],[重点关键词]],OFFSET(重点关键词!$A$1,MATCH($J25,首要关键词,0)*50-48,MATCH($K25,次要关键词,0),重点关键词数量,1),0)+10)</f>
        <v>11</v>
      </c>
      <c r="E25">
        <f ca="1">IF(AND(表_网址[[#This Row],[1级]]=B24,表_网址[[#This Row],[2级]]=C24,表_网址[[#This Row],[3级]]=D24),E24+1,101)</f>
        <v>122</v>
      </c>
      <c r="F25" t="s">
        <v>141</v>
      </c>
      <c r="G25" t="s">
        <v>142</v>
      </c>
      <c r="H25" t="s">
        <v>82</v>
      </c>
      <c r="I25" t="s">
        <v>143</v>
      </c>
      <c r="J25" t="s">
        <v>29</v>
      </c>
      <c r="K25" t="s">
        <v>79</v>
      </c>
      <c r="L25" t="s">
        <v>84</v>
      </c>
      <c r="M25">
        <v>999</v>
      </c>
      <c r="P25">
        <v>16</v>
      </c>
    </row>
    <row r="26" spans="1:16" x14ac:dyDescent="0.2">
      <c r="A26" t="str">
        <f ca="1">表_网址[[#This Row],[1级]]&amp;"-"&amp;表_网址[[#This Row],[2级]]&amp;"-"&amp;表_网址[[#This Row],[3级]]&amp;"-"&amp;表_网址[[#This Row],[级内]]</f>
        <v>101-11-11-123</v>
      </c>
      <c r="B26">
        <f>VLOOKUP(表_网址[[#This Row],[首要关键词]],表_首次要关键词[[首要关键词]:[排序]],2,0)</f>
        <v>101</v>
      </c>
      <c r="C26" s="4">
        <f ca="1">IF(表_网址[[#This Row],[次要关键词]]="",10,MATCH(表_网址[[#This Row],[次要关键词]],次要关键词,0)+10)</f>
        <v>11</v>
      </c>
      <c r="D26">
        <f ca="1">IF(表_网址[[#This Row],[重点关键词]]="",10,MATCH(表_网址[[#This Row],[重点关键词]],OFFSET(重点关键词!$A$1,MATCH($J26,首要关键词,0)*50-48,MATCH($K26,次要关键词,0),重点关键词数量,1),0)+10)</f>
        <v>11</v>
      </c>
      <c r="E26">
        <f ca="1">IF(AND(表_网址[[#This Row],[1级]]=B25,表_网址[[#This Row],[2级]]=C25,表_网址[[#This Row],[3级]]=D25),E25+1,101)</f>
        <v>123</v>
      </c>
      <c r="F26" t="s">
        <v>144</v>
      </c>
      <c r="G26" t="s">
        <v>145</v>
      </c>
      <c r="H26" t="s">
        <v>82</v>
      </c>
      <c r="I26" t="s">
        <v>146</v>
      </c>
      <c r="J26" t="s">
        <v>29</v>
      </c>
      <c r="K26" t="s">
        <v>79</v>
      </c>
      <c r="L26" t="s">
        <v>84</v>
      </c>
      <c r="M26">
        <v>999</v>
      </c>
      <c r="P26">
        <v>16</v>
      </c>
    </row>
    <row r="27" spans="1:16" x14ac:dyDescent="0.2">
      <c r="A27" t="str">
        <f ca="1">表_网址[[#This Row],[1级]]&amp;"-"&amp;表_网址[[#This Row],[2级]]&amp;"-"&amp;表_网址[[#This Row],[3级]]&amp;"-"&amp;表_网址[[#This Row],[级内]]</f>
        <v>101-11-11-124</v>
      </c>
      <c r="B27">
        <f>VLOOKUP(表_网址[[#This Row],[首要关键词]],表_首次要关键词[[首要关键词]:[排序]],2,0)</f>
        <v>101</v>
      </c>
      <c r="C27" s="4">
        <f ca="1">IF(表_网址[[#This Row],[次要关键词]]="",10,MATCH(表_网址[[#This Row],[次要关键词]],次要关键词,0)+10)</f>
        <v>11</v>
      </c>
      <c r="D27">
        <f ca="1">IF(表_网址[[#This Row],[重点关键词]]="",10,MATCH(表_网址[[#This Row],[重点关键词]],OFFSET(重点关键词!$A$1,MATCH($J27,首要关键词,0)*50-48,MATCH($K27,次要关键词,0),重点关键词数量,1),0)+10)</f>
        <v>11</v>
      </c>
      <c r="E27">
        <f ca="1">IF(AND(表_网址[[#This Row],[1级]]=B26,表_网址[[#This Row],[2级]]=C26,表_网址[[#This Row],[3级]]=D26),E26+1,101)</f>
        <v>124</v>
      </c>
      <c r="F27" t="s">
        <v>147</v>
      </c>
      <c r="G27" t="s">
        <v>148</v>
      </c>
      <c r="H27" t="s">
        <v>82</v>
      </c>
      <c r="I27" t="s">
        <v>149</v>
      </c>
      <c r="J27" t="s">
        <v>29</v>
      </c>
      <c r="K27" t="s">
        <v>79</v>
      </c>
      <c r="L27" t="s">
        <v>84</v>
      </c>
      <c r="M27">
        <v>999</v>
      </c>
      <c r="P27">
        <v>32</v>
      </c>
    </row>
    <row r="28" spans="1:16" x14ac:dyDescent="0.2">
      <c r="A28" t="str">
        <f ca="1">表_网址[[#This Row],[1级]]&amp;"-"&amp;表_网址[[#This Row],[2级]]&amp;"-"&amp;表_网址[[#This Row],[3级]]&amp;"-"&amp;表_网址[[#This Row],[级内]]</f>
        <v>101-11-11-125</v>
      </c>
      <c r="B28">
        <f>VLOOKUP(表_网址[[#This Row],[首要关键词]],表_首次要关键词[[首要关键词]:[排序]],2,0)</f>
        <v>101</v>
      </c>
      <c r="C28" s="4">
        <f ca="1">IF(表_网址[[#This Row],[次要关键词]]="",10,MATCH(表_网址[[#This Row],[次要关键词]],次要关键词,0)+10)</f>
        <v>11</v>
      </c>
      <c r="D28">
        <f ca="1">IF(表_网址[[#This Row],[重点关键词]]="",10,MATCH(表_网址[[#This Row],[重点关键词]],OFFSET(重点关键词!$A$1,MATCH($J28,首要关键词,0)*50-48,MATCH($K28,次要关键词,0),重点关键词数量,1),0)+10)</f>
        <v>11</v>
      </c>
      <c r="E28">
        <f ca="1">IF(AND(表_网址[[#This Row],[1级]]=B27,表_网址[[#This Row],[2级]]=C27,表_网址[[#This Row],[3级]]=D27),E27+1,101)</f>
        <v>125</v>
      </c>
      <c r="F28" t="s">
        <v>150</v>
      </c>
      <c r="G28" t="s">
        <v>151</v>
      </c>
      <c r="H28" t="s">
        <v>82</v>
      </c>
      <c r="I28" t="s">
        <v>152</v>
      </c>
      <c r="J28" t="s">
        <v>29</v>
      </c>
      <c r="K28" t="s">
        <v>79</v>
      </c>
      <c r="L28" t="s">
        <v>84</v>
      </c>
      <c r="M28">
        <v>999</v>
      </c>
      <c r="N28">
        <v>999</v>
      </c>
      <c r="P28">
        <v>32</v>
      </c>
    </row>
    <row r="29" spans="1:16" x14ac:dyDescent="0.2">
      <c r="A29" t="str">
        <f ca="1">表_网址[[#This Row],[1级]]&amp;"-"&amp;表_网址[[#This Row],[2级]]&amp;"-"&amp;表_网址[[#This Row],[3级]]&amp;"-"&amp;表_网址[[#This Row],[级内]]</f>
        <v>101-11-11-126</v>
      </c>
      <c r="B29">
        <f>VLOOKUP(表_网址[[#This Row],[首要关键词]],表_首次要关键词[[首要关键词]:[排序]],2,0)</f>
        <v>101</v>
      </c>
      <c r="C29" s="4">
        <f ca="1">IF(表_网址[[#This Row],[次要关键词]]="",10,MATCH(表_网址[[#This Row],[次要关键词]],次要关键词,0)+10)</f>
        <v>11</v>
      </c>
      <c r="D29">
        <f ca="1">IF(表_网址[[#This Row],[重点关键词]]="",10,MATCH(表_网址[[#This Row],[重点关键词]],OFFSET(重点关键词!$A$1,MATCH($J29,首要关键词,0)*50-48,MATCH($K29,次要关键词,0),重点关键词数量,1),0)+10)</f>
        <v>11</v>
      </c>
      <c r="E29">
        <f ca="1">IF(AND(表_网址[[#This Row],[1级]]=B28,表_网址[[#This Row],[2级]]=C28,表_网址[[#This Row],[3级]]=D28),E28+1,101)</f>
        <v>126</v>
      </c>
      <c r="F29" t="s">
        <v>153</v>
      </c>
      <c r="G29" t="s">
        <v>154</v>
      </c>
      <c r="H29" t="s">
        <v>82</v>
      </c>
      <c r="I29" t="s">
        <v>155</v>
      </c>
      <c r="J29" t="s">
        <v>29</v>
      </c>
      <c r="K29" t="s">
        <v>79</v>
      </c>
      <c r="L29" t="s">
        <v>84</v>
      </c>
      <c r="M29">
        <v>999</v>
      </c>
    </row>
    <row r="30" spans="1:16" x14ac:dyDescent="0.2">
      <c r="A30" t="str">
        <f ca="1">表_网址[[#This Row],[1级]]&amp;"-"&amp;表_网址[[#This Row],[2级]]&amp;"-"&amp;表_网址[[#This Row],[3级]]&amp;"-"&amp;表_网址[[#This Row],[级内]]</f>
        <v>101-11-11-127</v>
      </c>
      <c r="B30">
        <f>VLOOKUP(表_网址[[#This Row],[首要关键词]],表_首次要关键词[[首要关键词]:[排序]],2,0)</f>
        <v>101</v>
      </c>
      <c r="C30" s="4">
        <f ca="1">IF(表_网址[[#This Row],[次要关键词]]="",10,MATCH(表_网址[[#This Row],[次要关键词]],次要关键词,0)+10)</f>
        <v>11</v>
      </c>
      <c r="D30">
        <f ca="1">IF(表_网址[[#This Row],[重点关键词]]="",10,MATCH(表_网址[[#This Row],[重点关键词]],OFFSET(重点关键词!$A$1,MATCH($J30,首要关键词,0)*50-48,MATCH($K30,次要关键词,0),重点关键词数量,1),0)+10)</f>
        <v>11</v>
      </c>
      <c r="E30">
        <f ca="1">IF(AND(表_网址[[#This Row],[1级]]=B29,表_网址[[#This Row],[2级]]=C29,表_网址[[#This Row],[3级]]=D29),E29+1,101)</f>
        <v>127</v>
      </c>
      <c r="F30" t="s">
        <v>156</v>
      </c>
      <c r="G30" t="s">
        <v>151</v>
      </c>
      <c r="H30" t="s">
        <v>82</v>
      </c>
      <c r="I30" t="s">
        <v>157</v>
      </c>
      <c r="J30" t="s">
        <v>29</v>
      </c>
      <c r="K30" t="s">
        <v>79</v>
      </c>
      <c r="L30" t="s">
        <v>84</v>
      </c>
      <c r="M30">
        <v>999</v>
      </c>
      <c r="P30">
        <v>16</v>
      </c>
    </row>
    <row r="31" spans="1:16" x14ac:dyDescent="0.2">
      <c r="A31" t="str">
        <f ca="1">表_网址[[#This Row],[1级]]&amp;"-"&amp;表_网址[[#This Row],[2级]]&amp;"-"&amp;表_网址[[#This Row],[3级]]&amp;"-"&amp;表_网址[[#This Row],[级内]]</f>
        <v>101-11-11-128</v>
      </c>
      <c r="B31">
        <f>VLOOKUP(表_网址[[#This Row],[首要关键词]],表_首次要关键词[[首要关键词]:[排序]],2,0)</f>
        <v>101</v>
      </c>
      <c r="C31" s="4">
        <f ca="1">IF(表_网址[[#This Row],[次要关键词]]="",10,MATCH(表_网址[[#This Row],[次要关键词]],次要关键词,0)+10)</f>
        <v>11</v>
      </c>
      <c r="D31">
        <f ca="1">IF(表_网址[[#This Row],[重点关键词]]="",10,MATCH(表_网址[[#This Row],[重点关键词]],OFFSET(重点关键词!$A$1,MATCH($J31,首要关键词,0)*50-48,MATCH($K31,次要关键词,0),重点关键词数量,1),0)+10)</f>
        <v>11</v>
      </c>
      <c r="E31">
        <f ca="1">IF(AND(表_网址[[#This Row],[1级]]=B30,表_网址[[#This Row],[2级]]=C30,表_网址[[#This Row],[3级]]=D30),E30+1,101)</f>
        <v>128</v>
      </c>
      <c r="F31" t="s">
        <v>158</v>
      </c>
      <c r="G31" t="s">
        <v>159</v>
      </c>
      <c r="H31" t="s">
        <v>82</v>
      </c>
      <c r="I31" t="s">
        <v>160</v>
      </c>
      <c r="J31" t="s">
        <v>29</v>
      </c>
      <c r="K31" t="s">
        <v>79</v>
      </c>
      <c r="L31" t="s">
        <v>84</v>
      </c>
      <c r="M31">
        <v>999</v>
      </c>
      <c r="N31">
        <v>999</v>
      </c>
      <c r="P31">
        <v>64</v>
      </c>
    </row>
    <row r="32" spans="1:16" x14ac:dyDescent="0.2">
      <c r="A32" t="str">
        <f ca="1">表_网址[[#This Row],[1级]]&amp;"-"&amp;表_网址[[#This Row],[2级]]&amp;"-"&amp;表_网址[[#This Row],[3级]]&amp;"-"&amp;表_网址[[#This Row],[级内]]</f>
        <v>101-11-11-129</v>
      </c>
      <c r="B32">
        <f>VLOOKUP(表_网址[[#This Row],[首要关键词]],表_首次要关键词[[首要关键词]:[排序]],2,0)</f>
        <v>101</v>
      </c>
      <c r="C32" s="4">
        <f ca="1">IF(表_网址[[#This Row],[次要关键词]]="",10,MATCH(表_网址[[#This Row],[次要关键词]],次要关键词,0)+10)</f>
        <v>11</v>
      </c>
      <c r="D32">
        <f ca="1">IF(表_网址[[#This Row],[重点关键词]]="",10,MATCH(表_网址[[#This Row],[重点关键词]],OFFSET(重点关键词!$A$1,MATCH($J32,首要关键词,0)*50-48,MATCH($K32,次要关键词,0),重点关键词数量,1),0)+10)</f>
        <v>11</v>
      </c>
      <c r="E32">
        <f ca="1">IF(AND(表_网址[[#This Row],[1级]]=B31,表_网址[[#This Row],[2级]]=C31,表_网址[[#This Row],[3级]]=D31),E31+1,101)</f>
        <v>129</v>
      </c>
      <c r="F32" t="s">
        <v>161</v>
      </c>
      <c r="G32" t="s">
        <v>162</v>
      </c>
      <c r="H32" t="s">
        <v>82</v>
      </c>
      <c r="I32" t="s">
        <v>163</v>
      </c>
      <c r="J32" t="s">
        <v>29</v>
      </c>
      <c r="K32" t="s">
        <v>79</v>
      </c>
      <c r="L32" t="s">
        <v>84</v>
      </c>
      <c r="M32">
        <v>999</v>
      </c>
      <c r="P32">
        <v>16</v>
      </c>
    </row>
    <row r="33" spans="1:16" x14ac:dyDescent="0.2">
      <c r="A33" t="str">
        <f ca="1">表_网址[[#This Row],[1级]]&amp;"-"&amp;表_网址[[#This Row],[2级]]&amp;"-"&amp;表_网址[[#This Row],[3级]]&amp;"-"&amp;表_网址[[#This Row],[级内]]</f>
        <v>101-11-11-130</v>
      </c>
      <c r="B33">
        <f>VLOOKUP(表_网址[[#This Row],[首要关键词]],表_首次要关键词[[首要关键词]:[排序]],2,0)</f>
        <v>101</v>
      </c>
      <c r="C33" s="4">
        <f ca="1">IF(表_网址[[#This Row],[次要关键词]]="",10,MATCH(表_网址[[#This Row],[次要关键词]],次要关键词,0)+10)</f>
        <v>11</v>
      </c>
      <c r="D33">
        <f ca="1">IF(表_网址[[#This Row],[重点关键词]]="",10,MATCH(表_网址[[#This Row],[重点关键词]],OFFSET(重点关键词!$A$1,MATCH($J33,首要关键词,0)*50-48,MATCH($K33,次要关键词,0),重点关键词数量,1),0)+10)</f>
        <v>11</v>
      </c>
      <c r="E33">
        <f ca="1">IF(AND(表_网址[[#This Row],[1级]]=B32,表_网址[[#This Row],[2级]]=C32,表_网址[[#This Row],[3级]]=D32),E32+1,101)</f>
        <v>130</v>
      </c>
      <c r="F33" t="s">
        <v>164</v>
      </c>
      <c r="G33" t="s">
        <v>165</v>
      </c>
      <c r="H33" t="s">
        <v>82</v>
      </c>
      <c r="I33" t="s">
        <v>166</v>
      </c>
      <c r="J33" t="s">
        <v>29</v>
      </c>
      <c r="K33" t="s">
        <v>79</v>
      </c>
      <c r="L33" t="s">
        <v>84</v>
      </c>
      <c r="M33">
        <v>999</v>
      </c>
    </row>
    <row r="34" spans="1:16" x14ac:dyDescent="0.2">
      <c r="A34" t="str">
        <f ca="1">表_网址[[#This Row],[1级]]&amp;"-"&amp;表_网址[[#This Row],[2级]]&amp;"-"&amp;表_网址[[#This Row],[3级]]&amp;"-"&amp;表_网址[[#This Row],[级内]]</f>
        <v>101-11-12-101</v>
      </c>
      <c r="B34">
        <f>VLOOKUP(表_网址[[#This Row],[首要关键词]],表_首次要关键词[[首要关键词]:[排序]],2,0)</f>
        <v>101</v>
      </c>
      <c r="C34" s="4">
        <f ca="1">IF(表_网址[[#This Row],[次要关键词]]="",10,MATCH(表_网址[[#This Row],[次要关键词]],次要关键词,0)+10)</f>
        <v>11</v>
      </c>
      <c r="D34">
        <f ca="1">IF(表_网址[[#This Row],[重点关键词]]="",10,MATCH(表_网址[[#This Row],[重点关键词]],OFFSET(重点关键词!$A$1,MATCH($J34,首要关键词,0)*50-48,MATCH($K34,次要关键词,0),重点关键词数量,1),0)+10)</f>
        <v>12</v>
      </c>
      <c r="E34">
        <f ca="1">IF(AND(表_网址[[#This Row],[1级]]=B33,表_网址[[#This Row],[2级]]=C33,表_网址[[#This Row],[3级]]=D33),E33+1,101)</f>
        <v>101</v>
      </c>
      <c r="F34" t="s">
        <v>167</v>
      </c>
      <c r="G34" t="s">
        <v>168</v>
      </c>
      <c r="H34" t="s">
        <v>169</v>
      </c>
      <c r="I34" t="s">
        <v>170</v>
      </c>
      <c r="J34" t="s">
        <v>29</v>
      </c>
      <c r="K34" t="s">
        <v>79</v>
      </c>
      <c r="L34" t="s">
        <v>171</v>
      </c>
      <c r="M34">
        <v>999</v>
      </c>
      <c r="P34">
        <v>30</v>
      </c>
    </row>
    <row r="35" spans="1:16" x14ac:dyDescent="0.2">
      <c r="A35" t="str">
        <f ca="1">表_网址[[#This Row],[1级]]&amp;"-"&amp;表_网址[[#This Row],[2级]]&amp;"-"&amp;表_网址[[#This Row],[3级]]&amp;"-"&amp;表_网址[[#This Row],[级内]]</f>
        <v>101-11-13-101</v>
      </c>
      <c r="B35">
        <f>VLOOKUP(表_网址[[#This Row],[首要关键词]],表_首次要关键词[[首要关键词]:[排序]],2,0)</f>
        <v>101</v>
      </c>
      <c r="C35" s="4">
        <f ca="1">IF(表_网址[[#This Row],[次要关键词]]="",10,MATCH(表_网址[[#This Row],[次要关键词]],次要关键词,0)+10)</f>
        <v>11</v>
      </c>
      <c r="D35">
        <f ca="1">IF(表_网址[[#This Row],[重点关键词]]="",10,MATCH(表_网址[[#This Row],[重点关键词]],OFFSET(重点关键词!$A$1,MATCH($J35,首要关键词,0)*50-48,MATCH($K35,次要关键词,0),重点关键词数量,1),0)+10)</f>
        <v>13</v>
      </c>
      <c r="E35">
        <f ca="1">IF(AND(表_网址[[#This Row],[1级]]=B34,表_网址[[#This Row],[2级]]=C34,表_网址[[#This Row],[3级]]=D34),E34+1,101)</f>
        <v>101</v>
      </c>
      <c r="F35" t="s">
        <v>172</v>
      </c>
      <c r="G35" t="s">
        <v>173</v>
      </c>
      <c r="H35" t="s">
        <v>82</v>
      </c>
      <c r="I35" t="s">
        <v>174</v>
      </c>
      <c r="J35" t="s">
        <v>29</v>
      </c>
      <c r="K35" t="s">
        <v>79</v>
      </c>
      <c r="L35" t="s">
        <v>175</v>
      </c>
      <c r="M35">
        <v>999</v>
      </c>
      <c r="N35">
        <v>999</v>
      </c>
    </row>
    <row r="36" spans="1:16" x14ac:dyDescent="0.2">
      <c r="A36" t="str">
        <f ca="1">表_网址[[#This Row],[1级]]&amp;"-"&amp;表_网址[[#This Row],[2级]]&amp;"-"&amp;表_网址[[#This Row],[3级]]&amp;"-"&amp;表_网址[[#This Row],[级内]]</f>
        <v>101-11-13-102</v>
      </c>
      <c r="B36">
        <f>VLOOKUP(表_网址[[#This Row],[首要关键词]],表_首次要关键词[[首要关键词]:[排序]],2,0)</f>
        <v>101</v>
      </c>
      <c r="C36" s="4">
        <f ca="1">IF(表_网址[[#This Row],[次要关键词]]="",10,MATCH(表_网址[[#This Row],[次要关键词]],次要关键词,0)+10)</f>
        <v>11</v>
      </c>
      <c r="D36">
        <f ca="1">IF(表_网址[[#This Row],[重点关键词]]="",10,MATCH(表_网址[[#This Row],[重点关键词]],OFFSET(重点关键词!$A$1,MATCH($J36,首要关键词,0)*50-48,MATCH($K36,次要关键词,0),重点关键词数量,1),0)+10)</f>
        <v>13</v>
      </c>
      <c r="E36">
        <f ca="1">IF(AND(表_网址[[#This Row],[1级]]=B35,表_网址[[#This Row],[2级]]=C35,表_网址[[#This Row],[3级]]=D35),E35+1,101)</f>
        <v>102</v>
      </c>
      <c r="F36" t="s">
        <v>176</v>
      </c>
      <c r="G36" t="s">
        <v>177</v>
      </c>
      <c r="H36" t="s">
        <v>82</v>
      </c>
      <c r="I36" t="s">
        <v>178</v>
      </c>
      <c r="J36" t="s">
        <v>29</v>
      </c>
      <c r="K36" t="s">
        <v>79</v>
      </c>
      <c r="L36" t="s">
        <v>175</v>
      </c>
      <c r="M36">
        <v>999</v>
      </c>
    </row>
    <row r="37" spans="1:16" x14ac:dyDescent="0.2">
      <c r="A37" t="str">
        <f ca="1">表_网址[[#This Row],[1级]]&amp;"-"&amp;表_网址[[#This Row],[2级]]&amp;"-"&amp;表_网址[[#This Row],[3级]]&amp;"-"&amp;表_网址[[#This Row],[级内]]</f>
        <v>101-11-13-103</v>
      </c>
      <c r="B37">
        <f>VLOOKUP(表_网址[[#This Row],[首要关键词]],表_首次要关键词[[首要关键词]:[排序]],2,0)</f>
        <v>101</v>
      </c>
      <c r="C37" s="4">
        <f ca="1">IF(表_网址[[#This Row],[次要关键词]]="",10,MATCH(表_网址[[#This Row],[次要关键词]],次要关键词,0)+10)</f>
        <v>11</v>
      </c>
      <c r="D37">
        <f ca="1">IF(表_网址[[#This Row],[重点关键词]]="",10,MATCH(表_网址[[#This Row],[重点关键词]],OFFSET(重点关键词!$A$1,MATCH($J37,首要关键词,0)*50-48,MATCH($K37,次要关键词,0),重点关键词数量,1),0)+10)</f>
        <v>13</v>
      </c>
      <c r="E37">
        <f ca="1">IF(AND(表_网址[[#This Row],[1级]]=B36,表_网址[[#This Row],[2级]]=C36,表_网址[[#This Row],[3级]]=D36),E36+1,101)</f>
        <v>103</v>
      </c>
      <c r="F37" t="s">
        <v>179</v>
      </c>
      <c r="G37" t="s">
        <v>180</v>
      </c>
      <c r="H37" t="s">
        <v>82</v>
      </c>
      <c r="I37" t="s">
        <v>181</v>
      </c>
      <c r="J37" t="s">
        <v>29</v>
      </c>
      <c r="K37" t="s">
        <v>79</v>
      </c>
      <c r="L37" t="s">
        <v>175</v>
      </c>
      <c r="M37">
        <v>999</v>
      </c>
      <c r="P37">
        <v>16</v>
      </c>
    </row>
    <row r="38" spans="1:16" x14ac:dyDescent="0.2">
      <c r="A38" t="str">
        <f ca="1">表_网址[[#This Row],[1级]]&amp;"-"&amp;表_网址[[#This Row],[2级]]&amp;"-"&amp;表_网址[[#This Row],[3级]]&amp;"-"&amp;表_网址[[#This Row],[级内]]</f>
        <v>101-11-13-104</v>
      </c>
      <c r="B38">
        <f>VLOOKUP(表_网址[[#This Row],[首要关键词]],表_首次要关键词[[首要关键词]:[排序]],2,0)</f>
        <v>101</v>
      </c>
      <c r="C38" s="4">
        <f ca="1">IF(表_网址[[#This Row],[次要关键词]]="",10,MATCH(表_网址[[#This Row],[次要关键词]],次要关键词,0)+10)</f>
        <v>11</v>
      </c>
      <c r="D38">
        <f ca="1">IF(表_网址[[#This Row],[重点关键词]]="",10,MATCH(表_网址[[#This Row],[重点关键词]],OFFSET(重点关键词!$A$1,MATCH($J38,首要关键词,0)*50-48,MATCH($K38,次要关键词,0),重点关键词数量,1),0)+10)</f>
        <v>13</v>
      </c>
      <c r="E38">
        <f ca="1">IF(AND(表_网址[[#This Row],[1级]]=B37,表_网址[[#This Row],[2级]]=C37,表_网址[[#This Row],[3级]]=D37),E37+1,101)</f>
        <v>104</v>
      </c>
      <c r="F38" t="s">
        <v>182</v>
      </c>
      <c r="G38" t="s">
        <v>183</v>
      </c>
      <c r="H38" t="s">
        <v>82</v>
      </c>
      <c r="I38" t="s">
        <v>184</v>
      </c>
      <c r="J38" t="s">
        <v>29</v>
      </c>
      <c r="K38" t="s">
        <v>79</v>
      </c>
      <c r="L38" t="s">
        <v>175</v>
      </c>
      <c r="M38">
        <v>999</v>
      </c>
      <c r="P38">
        <v>16</v>
      </c>
    </row>
    <row r="39" spans="1:16" x14ac:dyDescent="0.2">
      <c r="A39" t="str">
        <f ca="1">表_网址[[#This Row],[1级]]&amp;"-"&amp;表_网址[[#This Row],[2级]]&amp;"-"&amp;表_网址[[#This Row],[3级]]&amp;"-"&amp;表_网址[[#This Row],[级内]]</f>
        <v>101-11-13-105</v>
      </c>
      <c r="B39">
        <f>VLOOKUP(表_网址[[#This Row],[首要关键词]],表_首次要关键词[[首要关键词]:[排序]],2,0)</f>
        <v>101</v>
      </c>
      <c r="C39" s="4">
        <f ca="1">IF(表_网址[[#This Row],[次要关键词]]="",10,MATCH(表_网址[[#This Row],[次要关键词]],次要关键词,0)+10)</f>
        <v>11</v>
      </c>
      <c r="D39">
        <f ca="1">IF(表_网址[[#This Row],[重点关键词]]="",10,MATCH(表_网址[[#This Row],[重点关键词]],OFFSET(重点关键词!$A$1,MATCH($J39,首要关键词,0)*50-48,MATCH($K39,次要关键词,0),重点关键词数量,1),0)+10)</f>
        <v>13</v>
      </c>
      <c r="E39">
        <f ca="1">IF(AND(表_网址[[#This Row],[1级]]=B38,表_网址[[#This Row],[2级]]=C38,表_网址[[#This Row],[3级]]=D38),E38+1,101)</f>
        <v>105</v>
      </c>
      <c r="F39" t="s">
        <v>185</v>
      </c>
      <c r="G39" t="s">
        <v>186</v>
      </c>
      <c r="H39" t="s">
        <v>82</v>
      </c>
      <c r="I39" t="s">
        <v>187</v>
      </c>
      <c r="J39" t="s">
        <v>29</v>
      </c>
      <c r="K39" t="s">
        <v>79</v>
      </c>
      <c r="L39" t="s">
        <v>175</v>
      </c>
      <c r="M39">
        <v>999</v>
      </c>
      <c r="P39">
        <v>16</v>
      </c>
    </row>
    <row r="40" spans="1:16" x14ac:dyDescent="0.2">
      <c r="A40" t="str">
        <f ca="1">表_网址[[#This Row],[1级]]&amp;"-"&amp;表_网址[[#This Row],[2级]]&amp;"-"&amp;表_网址[[#This Row],[3级]]&amp;"-"&amp;表_网址[[#This Row],[级内]]</f>
        <v>101-11-13-106</v>
      </c>
      <c r="B40">
        <f>VLOOKUP(表_网址[[#This Row],[首要关键词]],表_首次要关键词[[首要关键词]:[排序]],2,0)</f>
        <v>101</v>
      </c>
      <c r="C40" s="4">
        <f ca="1">IF(表_网址[[#This Row],[次要关键词]]="",10,MATCH(表_网址[[#This Row],[次要关键词]],次要关键词,0)+10)</f>
        <v>11</v>
      </c>
      <c r="D40">
        <f ca="1">IF(表_网址[[#This Row],[重点关键词]]="",10,MATCH(表_网址[[#This Row],[重点关键词]],OFFSET(重点关键词!$A$1,MATCH($J40,首要关键词,0)*50-48,MATCH($K40,次要关键词,0),重点关键词数量,1),0)+10)</f>
        <v>13</v>
      </c>
      <c r="E40">
        <f ca="1">IF(AND(表_网址[[#This Row],[1级]]=B39,表_网址[[#This Row],[2级]]=C39,表_网址[[#This Row],[3级]]=D39),E39+1,101)</f>
        <v>106</v>
      </c>
      <c r="F40" t="s">
        <v>188</v>
      </c>
      <c r="G40" t="s">
        <v>189</v>
      </c>
      <c r="H40" t="s">
        <v>82</v>
      </c>
      <c r="I40" t="s">
        <v>190</v>
      </c>
      <c r="J40" t="s">
        <v>29</v>
      </c>
      <c r="K40" t="s">
        <v>79</v>
      </c>
      <c r="L40" t="s">
        <v>175</v>
      </c>
      <c r="M40">
        <v>999</v>
      </c>
      <c r="P40">
        <v>32</v>
      </c>
    </row>
    <row r="41" spans="1:16" x14ac:dyDescent="0.2">
      <c r="A41" t="str">
        <f ca="1">表_网址[[#This Row],[1级]]&amp;"-"&amp;表_网址[[#This Row],[2级]]&amp;"-"&amp;表_网址[[#This Row],[3级]]&amp;"-"&amp;表_网址[[#This Row],[级内]]</f>
        <v>101-11-13-107</v>
      </c>
      <c r="B41">
        <f>VLOOKUP(表_网址[[#This Row],[首要关键词]],表_首次要关键词[[首要关键词]:[排序]],2,0)</f>
        <v>101</v>
      </c>
      <c r="C41" s="4">
        <f ca="1">IF(表_网址[[#This Row],[次要关键词]]="",10,MATCH(表_网址[[#This Row],[次要关键词]],次要关键词,0)+10)</f>
        <v>11</v>
      </c>
      <c r="D41">
        <f ca="1">IF(表_网址[[#This Row],[重点关键词]]="",10,MATCH(表_网址[[#This Row],[重点关键词]],OFFSET(重点关键词!$A$1,MATCH($J41,首要关键词,0)*50-48,MATCH($K41,次要关键词,0),重点关键词数量,1),0)+10)</f>
        <v>13</v>
      </c>
      <c r="E41">
        <f ca="1">IF(AND(表_网址[[#This Row],[1级]]=B40,表_网址[[#This Row],[2级]]=C40,表_网址[[#This Row],[3级]]=D40),E40+1,101)</f>
        <v>107</v>
      </c>
      <c r="F41" t="s">
        <v>191</v>
      </c>
      <c r="G41" t="s">
        <v>192</v>
      </c>
      <c r="H41" t="s">
        <v>82</v>
      </c>
      <c r="I41" t="s">
        <v>193</v>
      </c>
      <c r="J41" t="s">
        <v>29</v>
      </c>
      <c r="K41" t="s">
        <v>79</v>
      </c>
      <c r="L41" t="s">
        <v>175</v>
      </c>
      <c r="M41">
        <v>999</v>
      </c>
    </row>
    <row r="42" spans="1:16" x14ac:dyDescent="0.2">
      <c r="A42" t="str">
        <f ca="1">表_网址[[#This Row],[1级]]&amp;"-"&amp;表_网址[[#This Row],[2级]]&amp;"-"&amp;表_网址[[#This Row],[3级]]&amp;"-"&amp;表_网址[[#This Row],[级内]]</f>
        <v>101-11-13-108</v>
      </c>
      <c r="B42">
        <f>VLOOKUP(表_网址[[#This Row],[首要关键词]],表_首次要关键词[[首要关键词]:[排序]],2,0)</f>
        <v>101</v>
      </c>
      <c r="C42" s="4">
        <f ca="1">IF(表_网址[[#This Row],[次要关键词]]="",10,MATCH(表_网址[[#This Row],[次要关键词]],次要关键词,0)+10)</f>
        <v>11</v>
      </c>
      <c r="D42">
        <f ca="1">IF(表_网址[[#This Row],[重点关键词]]="",10,MATCH(表_网址[[#This Row],[重点关键词]],OFFSET(重点关键词!$A$1,MATCH($J42,首要关键词,0)*50-48,MATCH($K42,次要关键词,0),重点关键词数量,1),0)+10)</f>
        <v>13</v>
      </c>
      <c r="E42">
        <f ca="1">IF(AND(表_网址[[#This Row],[1级]]=B41,表_网址[[#This Row],[2级]]=C41,表_网址[[#This Row],[3级]]=D41),E41+1,101)</f>
        <v>108</v>
      </c>
      <c r="F42" t="s">
        <v>194</v>
      </c>
      <c r="G42" t="s">
        <v>195</v>
      </c>
      <c r="H42" t="s">
        <v>82</v>
      </c>
      <c r="I42" t="s">
        <v>196</v>
      </c>
      <c r="J42" t="s">
        <v>29</v>
      </c>
      <c r="K42" t="s">
        <v>79</v>
      </c>
      <c r="L42" t="s">
        <v>175</v>
      </c>
      <c r="M42">
        <v>999</v>
      </c>
      <c r="P42">
        <v>16</v>
      </c>
    </row>
    <row r="43" spans="1:16" x14ac:dyDescent="0.2">
      <c r="A43" t="str">
        <f ca="1">表_网址[[#This Row],[1级]]&amp;"-"&amp;表_网址[[#This Row],[2级]]&amp;"-"&amp;表_网址[[#This Row],[3级]]&amp;"-"&amp;表_网址[[#This Row],[级内]]</f>
        <v>101-11-13-109</v>
      </c>
      <c r="B43">
        <f>VLOOKUP(表_网址[[#This Row],[首要关键词]],表_首次要关键词[[首要关键词]:[排序]],2,0)</f>
        <v>101</v>
      </c>
      <c r="C43" s="4">
        <f ca="1">IF(表_网址[[#This Row],[次要关键词]]="",10,MATCH(表_网址[[#This Row],[次要关键词]],次要关键词,0)+10)</f>
        <v>11</v>
      </c>
      <c r="D43">
        <f ca="1">IF(表_网址[[#This Row],[重点关键词]]="",10,MATCH(表_网址[[#This Row],[重点关键词]],OFFSET(重点关键词!$A$1,MATCH($J43,首要关键词,0)*50-48,MATCH($K43,次要关键词,0),重点关键词数量,1),0)+10)</f>
        <v>13</v>
      </c>
      <c r="E43">
        <f ca="1">IF(AND(表_网址[[#This Row],[1级]]=B42,表_网址[[#This Row],[2级]]=C42,表_网址[[#This Row],[3级]]=D42),E42+1,101)</f>
        <v>109</v>
      </c>
      <c r="F43" t="s">
        <v>197</v>
      </c>
      <c r="G43" t="s">
        <v>198</v>
      </c>
      <c r="H43" t="s">
        <v>82</v>
      </c>
      <c r="I43" t="s">
        <v>199</v>
      </c>
      <c r="J43" t="s">
        <v>29</v>
      </c>
      <c r="K43" t="s">
        <v>79</v>
      </c>
      <c r="L43" t="s">
        <v>175</v>
      </c>
      <c r="M43">
        <v>999</v>
      </c>
      <c r="P43">
        <v>16</v>
      </c>
    </row>
    <row r="44" spans="1:16" x14ac:dyDescent="0.2">
      <c r="A44" t="str">
        <f ca="1">表_网址[[#This Row],[1级]]&amp;"-"&amp;表_网址[[#This Row],[2级]]&amp;"-"&amp;表_网址[[#This Row],[3级]]&amp;"-"&amp;表_网址[[#This Row],[级内]]</f>
        <v>101-11-13-110</v>
      </c>
      <c r="B44">
        <f>VLOOKUP(表_网址[[#This Row],[首要关键词]],表_首次要关键词[[首要关键词]:[排序]],2,0)</f>
        <v>101</v>
      </c>
      <c r="C44" s="4">
        <f ca="1">IF(表_网址[[#This Row],[次要关键词]]="",10,MATCH(表_网址[[#This Row],[次要关键词]],次要关键词,0)+10)</f>
        <v>11</v>
      </c>
      <c r="D44">
        <f ca="1">IF(表_网址[[#This Row],[重点关键词]]="",10,MATCH(表_网址[[#This Row],[重点关键词]],OFFSET(重点关键词!$A$1,MATCH($J44,首要关键词,0)*50-48,MATCH($K44,次要关键词,0),重点关键词数量,1),0)+10)</f>
        <v>13</v>
      </c>
      <c r="E44">
        <f ca="1">IF(AND(表_网址[[#This Row],[1级]]=B43,表_网址[[#This Row],[2级]]=C43,表_网址[[#This Row],[3级]]=D43),E43+1,101)</f>
        <v>110</v>
      </c>
      <c r="F44" t="s">
        <v>200</v>
      </c>
      <c r="G44" t="s">
        <v>201</v>
      </c>
      <c r="H44" t="s">
        <v>82</v>
      </c>
      <c r="I44" t="s">
        <v>202</v>
      </c>
      <c r="J44" t="s">
        <v>29</v>
      </c>
      <c r="K44" t="s">
        <v>79</v>
      </c>
      <c r="L44" t="s">
        <v>175</v>
      </c>
      <c r="M44">
        <v>999</v>
      </c>
      <c r="P44">
        <v>19</v>
      </c>
    </row>
    <row r="45" spans="1:16" x14ac:dyDescent="0.2">
      <c r="A45" t="str">
        <f ca="1">表_网址[[#This Row],[1级]]&amp;"-"&amp;表_网址[[#This Row],[2级]]&amp;"-"&amp;表_网址[[#This Row],[3级]]&amp;"-"&amp;表_网址[[#This Row],[级内]]</f>
        <v>101-11-13-111</v>
      </c>
      <c r="B45">
        <f>VLOOKUP(表_网址[[#This Row],[首要关键词]],表_首次要关键词[[首要关键词]:[排序]],2,0)</f>
        <v>101</v>
      </c>
      <c r="C45" s="4">
        <f ca="1">IF(表_网址[[#This Row],[次要关键词]]="",10,MATCH(表_网址[[#This Row],[次要关键词]],次要关键词,0)+10)</f>
        <v>11</v>
      </c>
      <c r="D45">
        <f ca="1">IF(表_网址[[#This Row],[重点关键词]]="",10,MATCH(表_网址[[#This Row],[重点关键词]],OFFSET(重点关键词!$A$1,MATCH($J45,首要关键词,0)*50-48,MATCH($K45,次要关键词,0),重点关键词数量,1),0)+10)</f>
        <v>13</v>
      </c>
      <c r="E45">
        <f ca="1">IF(AND(表_网址[[#This Row],[1级]]=B44,表_网址[[#This Row],[2级]]=C44,表_网址[[#This Row],[3级]]=D44),E44+1,101)</f>
        <v>111</v>
      </c>
      <c r="F45" t="s">
        <v>203</v>
      </c>
      <c r="G45" t="s">
        <v>204</v>
      </c>
      <c r="H45" t="s">
        <v>82</v>
      </c>
      <c r="I45" t="s">
        <v>205</v>
      </c>
      <c r="J45" t="s">
        <v>29</v>
      </c>
      <c r="K45" t="s">
        <v>79</v>
      </c>
      <c r="L45" t="s">
        <v>175</v>
      </c>
      <c r="M45">
        <v>999</v>
      </c>
    </row>
    <row r="46" spans="1:16" x14ac:dyDescent="0.2">
      <c r="A46" t="str">
        <f ca="1">表_网址[[#This Row],[1级]]&amp;"-"&amp;表_网址[[#This Row],[2级]]&amp;"-"&amp;表_网址[[#This Row],[3级]]&amp;"-"&amp;表_网址[[#This Row],[级内]]</f>
        <v>101-11-13-112</v>
      </c>
      <c r="B46">
        <f>VLOOKUP(表_网址[[#This Row],[首要关键词]],表_首次要关键词[[首要关键词]:[排序]],2,0)</f>
        <v>101</v>
      </c>
      <c r="C46" s="4">
        <f ca="1">IF(表_网址[[#This Row],[次要关键词]]="",10,MATCH(表_网址[[#This Row],[次要关键词]],次要关键词,0)+10)</f>
        <v>11</v>
      </c>
      <c r="D46">
        <f ca="1">IF(表_网址[[#This Row],[重点关键词]]="",10,MATCH(表_网址[[#This Row],[重点关键词]],OFFSET(重点关键词!$A$1,MATCH($J46,首要关键词,0)*50-48,MATCH($K46,次要关键词,0),重点关键词数量,1),0)+10)</f>
        <v>13</v>
      </c>
      <c r="E46">
        <f ca="1">IF(AND(表_网址[[#This Row],[1级]]=B45,表_网址[[#This Row],[2级]]=C45,表_网址[[#This Row],[3级]]=D45),E45+1,101)</f>
        <v>112</v>
      </c>
      <c r="F46" t="s">
        <v>206</v>
      </c>
      <c r="G46" t="s">
        <v>207</v>
      </c>
      <c r="H46" t="s">
        <v>82</v>
      </c>
      <c r="I46" t="s">
        <v>208</v>
      </c>
      <c r="J46" t="s">
        <v>29</v>
      </c>
      <c r="K46" t="s">
        <v>79</v>
      </c>
      <c r="L46" t="s">
        <v>175</v>
      </c>
      <c r="M46">
        <v>999</v>
      </c>
    </row>
    <row r="47" spans="1:16" x14ac:dyDescent="0.2">
      <c r="A47" t="str">
        <f ca="1">表_网址[[#This Row],[1级]]&amp;"-"&amp;表_网址[[#This Row],[2级]]&amp;"-"&amp;表_网址[[#This Row],[3级]]&amp;"-"&amp;表_网址[[#This Row],[级内]]</f>
        <v>101-11-13-113</v>
      </c>
      <c r="B47">
        <f>VLOOKUP(表_网址[[#This Row],[首要关键词]],表_首次要关键词[[首要关键词]:[排序]],2,0)</f>
        <v>101</v>
      </c>
      <c r="C47" s="4">
        <f ca="1">IF(表_网址[[#This Row],[次要关键词]]="",10,MATCH(表_网址[[#This Row],[次要关键词]],次要关键词,0)+10)</f>
        <v>11</v>
      </c>
      <c r="D47">
        <f ca="1">IF(表_网址[[#This Row],[重点关键词]]="",10,MATCH(表_网址[[#This Row],[重点关键词]],OFFSET(重点关键词!$A$1,MATCH($J47,首要关键词,0)*50-48,MATCH($K47,次要关键词,0),重点关键词数量,1),0)+10)</f>
        <v>13</v>
      </c>
      <c r="E47">
        <f ca="1">IF(AND(表_网址[[#This Row],[1级]]=B46,表_网址[[#This Row],[2级]]=C46,表_网址[[#This Row],[3级]]=D46),E46+1,101)</f>
        <v>113</v>
      </c>
      <c r="F47" t="s">
        <v>209</v>
      </c>
      <c r="G47" t="s">
        <v>210</v>
      </c>
      <c r="H47" t="s">
        <v>82</v>
      </c>
      <c r="I47" t="s">
        <v>211</v>
      </c>
      <c r="J47" t="s">
        <v>29</v>
      </c>
      <c r="K47" t="s">
        <v>79</v>
      </c>
      <c r="L47" t="s">
        <v>175</v>
      </c>
      <c r="M47">
        <v>999</v>
      </c>
      <c r="P47">
        <v>32</v>
      </c>
    </row>
    <row r="48" spans="1:16" x14ac:dyDescent="0.2">
      <c r="A48" t="str">
        <f ca="1">表_网址[[#This Row],[1级]]&amp;"-"&amp;表_网址[[#This Row],[2级]]&amp;"-"&amp;表_网址[[#This Row],[3级]]&amp;"-"&amp;表_网址[[#This Row],[级内]]</f>
        <v>101-11-13-114</v>
      </c>
      <c r="B48">
        <f>VLOOKUP(表_网址[[#This Row],[首要关键词]],表_首次要关键词[[首要关键词]:[排序]],2,0)</f>
        <v>101</v>
      </c>
      <c r="C48" s="4">
        <f ca="1">IF(表_网址[[#This Row],[次要关键词]]="",10,MATCH(表_网址[[#This Row],[次要关键词]],次要关键词,0)+10)</f>
        <v>11</v>
      </c>
      <c r="D48">
        <f ca="1">IF(表_网址[[#This Row],[重点关键词]]="",10,MATCH(表_网址[[#This Row],[重点关键词]],OFFSET(重点关键词!$A$1,MATCH($J48,首要关键词,0)*50-48,MATCH($K48,次要关键词,0),重点关键词数量,1),0)+10)</f>
        <v>13</v>
      </c>
      <c r="E48">
        <f ca="1">IF(AND(表_网址[[#This Row],[1级]]=B47,表_网址[[#This Row],[2级]]=C47,表_网址[[#This Row],[3级]]=D47),E47+1,101)</f>
        <v>114</v>
      </c>
      <c r="F48" t="s">
        <v>212</v>
      </c>
      <c r="G48" t="s">
        <v>213</v>
      </c>
      <c r="H48" t="s">
        <v>82</v>
      </c>
      <c r="I48" t="s">
        <v>214</v>
      </c>
      <c r="J48" t="s">
        <v>29</v>
      </c>
      <c r="K48" t="s">
        <v>79</v>
      </c>
      <c r="L48" t="s">
        <v>175</v>
      </c>
      <c r="M48">
        <v>999</v>
      </c>
    </row>
    <row r="49" spans="1:16" x14ac:dyDescent="0.2">
      <c r="A49" t="str">
        <f ca="1">表_网址[[#This Row],[1级]]&amp;"-"&amp;表_网址[[#This Row],[2级]]&amp;"-"&amp;表_网址[[#This Row],[3级]]&amp;"-"&amp;表_网址[[#This Row],[级内]]</f>
        <v>101-11-14-101</v>
      </c>
      <c r="B49">
        <f>VLOOKUP(表_网址[[#This Row],[首要关键词]],表_首次要关键词[[首要关键词]:[排序]],2,0)</f>
        <v>101</v>
      </c>
      <c r="C49" s="4">
        <f ca="1">IF(表_网址[[#This Row],[次要关键词]]="",10,MATCH(表_网址[[#This Row],[次要关键词]],次要关键词,0)+10)</f>
        <v>11</v>
      </c>
      <c r="D49">
        <f ca="1">IF(表_网址[[#This Row],[重点关键词]]="",10,MATCH(表_网址[[#This Row],[重点关键词]],OFFSET(重点关键词!$A$1,MATCH($J49,首要关键词,0)*50-48,MATCH($K49,次要关键词,0),重点关键词数量,1),0)+10)</f>
        <v>14</v>
      </c>
      <c r="E49">
        <f ca="1">IF(AND(表_网址[[#This Row],[1级]]=B48,表_网址[[#This Row],[2级]]=C48,表_网址[[#This Row],[3级]]=D48),E48+1,101)</f>
        <v>101</v>
      </c>
      <c r="F49" t="s">
        <v>215</v>
      </c>
      <c r="G49" t="s">
        <v>216</v>
      </c>
      <c r="H49" t="s">
        <v>82</v>
      </c>
      <c r="I49" t="s">
        <v>217</v>
      </c>
      <c r="J49" t="s">
        <v>29</v>
      </c>
      <c r="K49" t="s">
        <v>79</v>
      </c>
      <c r="L49" t="s">
        <v>218</v>
      </c>
      <c r="M49">
        <v>999</v>
      </c>
    </row>
    <row r="50" spans="1:16" x14ac:dyDescent="0.2">
      <c r="A50" t="str">
        <f ca="1">表_网址[[#This Row],[1级]]&amp;"-"&amp;表_网址[[#This Row],[2级]]&amp;"-"&amp;表_网址[[#This Row],[3级]]&amp;"-"&amp;表_网址[[#This Row],[级内]]</f>
        <v>101-11-14-102</v>
      </c>
      <c r="B50">
        <f>VLOOKUP(表_网址[[#This Row],[首要关键词]],表_首次要关键词[[首要关键词]:[排序]],2,0)</f>
        <v>101</v>
      </c>
      <c r="C50" s="4">
        <f ca="1">IF(表_网址[[#This Row],[次要关键词]]="",10,MATCH(表_网址[[#This Row],[次要关键词]],次要关键词,0)+10)</f>
        <v>11</v>
      </c>
      <c r="D50">
        <f ca="1">IF(表_网址[[#This Row],[重点关键词]]="",10,MATCH(表_网址[[#This Row],[重点关键词]],OFFSET(重点关键词!$A$1,MATCH($J50,首要关键词,0)*50-48,MATCH($K50,次要关键词,0),重点关键词数量,1),0)+10)</f>
        <v>14</v>
      </c>
      <c r="E50">
        <f ca="1">IF(AND(表_网址[[#This Row],[1级]]=B49,表_网址[[#This Row],[2级]]=C49,表_网址[[#This Row],[3级]]=D49),E49+1,101)</f>
        <v>102</v>
      </c>
      <c r="F50" t="s">
        <v>219</v>
      </c>
      <c r="G50" t="s">
        <v>220</v>
      </c>
      <c r="H50" t="s">
        <v>82</v>
      </c>
      <c r="I50" t="s">
        <v>77</v>
      </c>
      <c r="J50" t="s">
        <v>29</v>
      </c>
      <c r="K50" t="s">
        <v>79</v>
      </c>
      <c r="L50" t="s">
        <v>218</v>
      </c>
      <c r="M50">
        <v>999</v>
      </c>
      <c r="N50">
        <v>999</v>
      </c>
      <c r="P50">
        <v>16</v>
      </c>
    </row>
    <row r="51" spans="1:16" x14ac:dyDescent="0.2">
      <c r="A51" t="str">
        <f ca="1">表_网址[[#This Row],[1级]]&amp;"-"&amp;表_网址[[#This Row],[2级]]&amp;"-"&amp;表_网址[[#This Row],[3级]]&amp;"-"&amp;表_网址[[#This Row],[级内]]</f>
        <v>101-11-14-103</v>
      </c>
      <c r="B51">
        <f>VLOOKUP(表_网址[[#This Row],[首要关键词]],表_首次要关键词[[首要关键词]:[排序]],2,0)</f>
        <v>101</v>
      </c>
      <c r="C51" s="4">
        <f ca="1">IF(表_网址[[#This Row],[次要关键词]]="",10,MATCH(表_网址[[#This Row],[次要关键词]],次要关键词,0)+10)</f>
        <v>11</v>
      </c>
      <c r="D51">
        <f ca="1">IF(表_网址[[#This Row],[重点关键词]]="",10,MATCH(表_网址[[#This Row],[重点关键词]],OFFSET(重点关键词!$A$1,MATCH($J51,首要关键词,0)*50-48,MATCH($K51,次要关键词,0),重点关键词数量,1),0)+10)</f>
        <v>14</v>
      </c>
      <c r="E51">
        <f ca="1">IF(AND(表_网址[[#This Row],[1级]]=B50,表_网址[[#This Row],[2级]]=C50,表_网址[[#This Row],[3级]]=D50),E50+1,101)</f>
        <v>103</v>
      </c>
      <c r="F51" t="s">
        <v>221</v>
      </c>
      <c r="G51" t="s">
        <v>222</v>
      </c>
      <c r="H51" t="s">
        <v>82</v>
      </c>
      <c r="I51" t="s">
        <v>223</v>
      </c>
      <c r="J51" t="s">
        <v>29</v>
      </c>
      <c r="K51" t="s">
        <v>79</v>
      </c>
      <c r="L51" t="s">
        <v>218</v>
      </c>
      <c r="M51">
        <v>999</v>
      </c>
    </row>
    <row r="52" spans="1:16" x14ac:dyDescent="0.2">
      <c r="A52" t="str">
        <f ca="1">表_网址[[#This Row],[1级]]&amp;"-"&amp;表_网址[[#This Row],[2级]]&amp;"-"&amp;表_网址[[#This Row],[3级]]&amp;"-"&amp;表_网址[[#This Row],[级内]]</f>
        <v>101-11-14-104</v>
      </c>
      <c r="B52">
        <f>VLOOKUP(表_网址[[#This Row],[首要关键词]],表_首次要关键词[[首要关键词]:[排序]],2,0)</f>
        <v>101</v>
      </c>
      <c r="C52" s="4">
        <f ca="1">IF(表_网址[[#This Row],[次要关键词]]="",10,MATCH(表_网址[[#This Row],[次要关键词]],次要关键词,0)+10)</f>
        <v>11</v>
      </c>
      <c r="D52">
        <f ca="1">IF(表_网址[[#This Row],[重点关键词]]="",10,MATCH(表_网址[[#This Row],[重点关键词]],OFFSET(重点关键词!$A$1,MATCH($J52,首要关键词,0)*50-48,MATCH($K52,次要关键词,0),重点关键词数量,1),0)+10)</f>
        <v>14</v>
      </c>
      <c r="E52">
        <f ca="1">IF(AND(表_网址[[#This Row],[1级]]=B51,表_网址[[#This Row],[2级]]=C51,表_网址[[#This Row],[3级]]=D51),E51+1,101)</f>
        <v>104</v>
      </c>
      <c r="F52" t="s">
        <v>224</v>
      </c>
      <c r="G52" t="s">
        <v>225</v>
      </c>
      <c r="H52" t="s">
        <v>82</v>
      </c>
      <c r="I52" t="s">
        <v>226</v>
      </c>
      <c r="J52" t="s">
        <v>29</v>
      </c>
      <c r="K52" t="s">
        <v>79</v>
      </c>
      <c r="L52" t="s">
        <v>218</v>
      </c>
      <c r="M52">
        <v>999</v>
      </c>
    </row>
    <row r="53" spans="1:16" x14ac:dyDescent="0.2">
      <c r="A53" t="str">
        <f ca="1">表_网址[[#This Row],[1级]]&amp;"-"&amp;表_网址[[#This Row],[2级]]&amp;"-"&amp;表_网址[[#This Row],[3级]]&amp;"-"&amp;表_网址[[#This Row],[级内]]</f>
        <v>101-11-14-105</v>
      </c>
      <c r="B53">
        <f>VLOOKUP(表_网址[[#This Row],[首要关键词]],表_首次要关键词[[首要关键词]:[排序]],2,0)</f>
        <v>101</v>
      </c>
      <c r="C53" s="4">
        <f ca="1">IF(表_网址[[#This Row],[次要关键词]]="",10,MATCH(表_网址[[#This Row],[次要关键词]],次要关键词,0)+10)</f>
        <v>11</v>
      </c>
      <c r="D53">
        <f ca="1">IF(表_网址[[#This Row],[重点关键词]]="",10,MATCH(表_网址[[#This Row],[重点关键词]],OFFSET(重点关键词!$A$1,MATCH($J53,首要关键词,0)*50-48,MATCH($K53,次要关键词,0),重点关键词数量,1),0)+10)</f>
        <v>14</v>
      </c>
      <c r="E53">
        <f ca="1">IF(AND(表_网址[[#This Row],[1级]]=B52,表_网址[[#This Row],[2级]]=C52,表_网址[[#This Row],[3级]]=D52),E52+1,101)</f>
        <v>105</v>
      </c>
      <c r="F53" t="s">
        <v>227</v>
      </c>
      <c r="G53" t="s">
        <v>228</v>
      </c>
      <c r="H53" t="s">
        <v>82</v>
      </c>
      <c r="I53" t="s">
        <v>229</v>
      </c>
      <c r="J53" t="s">
        <v>29</v>
      </c>
      <c r="K53" t="s">
        <v>79</v>
      </c>
      <c r="L53" t="s">
        <v>218</v>
      </c>
      <c r="M53">
        <v>999</v>
      </c>
      <c r="P53">
        <v>16</v>
      </c>
    </row>
    <row r="54" spans="1:16" x14ac:dyDescent="0.2">
      <c r="A54" t="str">
        <f ca="1">表_网址[[#This Row],[1级]]&amp;"-"&amp;表_网址[[#This Row],[2级]]&amp;"-"&amp;表_网址[[#This Row],[3级]]&amp;"-"&amp;表_网址[[#This Row],[级内]]</f>
        <v>101-11-14-106</v>
      </c>
      <c r="B54">
        <f>VLOOKUP(表_网址[[#This Row],[首要关键词]],表_首次要关键词[[首要关键词]:[排序]],2,0)</f>
        <v>101</v>
      </c>
      <c r="C54" s="4">
        <f ca="1">IF(表_网址[[#This Row],[次要关键词]]="",10,MATCH(表_网址[[#This Row],[次要关键词]],次要关键词,0)+10)</f>
        <v>11</v>
      </c>
      <c r="D54">
        <f ca="1">IF(表_网址[[#This Row],[重点关键词]]="",10,MATCH(表_网址[[#This Row],[重点关键词]],OFFSET(重点关键词!$A$1,MATCH($J54,首要关键词,0)*50-48,MATCH($K54,次要关键词,0),重点关键词数量,1),0)+10)</f>
        <v>14</v>
      </c>
      <c r="E54">
        <f ca="1">IF(AND(表_网址[[#This Row],[1级]]=B53,表_网址[[#This Row],[2级]]=C53,表_网址[[#This Row],[3级]]=D53),E53+1,101)</f>
        <v>106</v>
      </c>
      <c r="F54" t="s">
        <v>230</v>
      </c>
      <c r="G54" t="s">
        <v>231</v>
      </c>
      <c r="H54" t="s">
        <v>82</v>
      </c>
      <c r="I54" t="s">
        <v>232</v>
      </c>
      <c r="J54" t="s">
        <v>29</v>
      </c>
      <c r="K54" t="s">
        <v>79</v>
      </c>
      <c r="L54" t="s">
        <v>218</v>
      </c>
      <c r="M54">
        <v>999</v>
      </c>
      <c r="P54">
        <v>256</v>
      </c>
    </row>
    <row r="55" spans="1:16" x14ac:dyDescent="0.2">
      <c r="A55" t="str">
        <f ca="1">表_网址[[#This Row],[1级]]&amp;"-"&amp;表_网址[[#This Row],[2级]]&amp;"-"&amp;表_网址[[#This Row],[3级]]&amp;"-"&amp;表_网址[[#This Row],[级内]]</f>
        <v>101-11-15-101</v>
      </c>
      <c r="B55">
        <f>VLOOKUP(表_网址[[#This Row],[首要关键词]],表_首次要关键词[[首要关键词]:[排序]],2,0)</f>
        <v>101</v>
      </c>
      <c r="C55" s="4">
        <f ca="1">IF(表_网址[[#This Row],[次要关键词]]="",10,MATCH(表_网址[[#This Row],[次要关键词]],次要关键词,0)+10)</f>
        <v>11</v>
      </c>
      <c r="D55">
        <f ca="1">IF(表_网址[[#This Row],[重点关键词]]="",10,MATCH(表_网址[[#This Row],[重点关键词]],OFFSET(重点关键词!$A$1,MATCH($J55,首要关键词,0)*50-48,MATCH($K55,次要关键词,0),重点关键词数量,1),0)+10)</f>
        <v>15</v>
      </c>
      <c r="E55">
        <f ca="1">IF(AND(表_网址[[#This Row],[1级]]=B54,表_网址[[#This Row],[2级]]=C54,表_网址[[#This Row],[3级]]=D54),E54+1,101)</f>
        <v>101</v>
      </c>
      <c r="F55" t="s">
        <v>233</v>
      </c>
      <c r="G55" t="s">
        <v>234</v>
      </c>
      <c r="H55" t="s">
        <v>82</v>
      </c>
      <c r="I55" t="s">
        <v>235</v>
      </c>
      <c r="J55" t="s">
        <v>29</v>
      </c>
      <c r="K55" t="s">
        <v>79</v>
      </c>
      <c r="L55" t="s">
        <v>236</v>
      </c>
      <c r="M55">
        <v>999</v>
      </c>
    </row>
    <row r="56" spans="1:16" x14ac:dyDescent="0.2">
      <c r="A56" t="str">
        <f ca="1">表_网址[[#This Row],[1级]]&amp;"-"&amp;表_网址[[#This Row],[2级]]&amp;"-"&amp;表_网址[[#This Row],[3级]]&amp;"-"&amp;表_网址[[#This Row],[级内]]</f>
        <v>101-11-15-102</v>
      </c>
      <c r="B56">
        <f>VLOOKUP(表_网址[[#This Row],[首要关键词]],表_首次要关键词[[首要关键词]:[排序]],2,0)</f>
        <v>101</v>
      </c>
      <c r="C56" s="4">
        <f ca="1">IF(表_网址[[#This Row],[次要关键词]]="",10,MATCH(表_网址[[#This Row],[次要关键词]],次要关键词,0)+10)</f>
        <v>11</v>
      </c>
      <c r="D56">
        <f ca="1">IF(表_网址[[#This Row],[重点关键词]]="",10,MATCH(表_网址[[#This Row],[重点关键词]],OFFSET(重点关键词!$A$1,MATCH($J56,首要关键词,0)*50-48,MATCH($K56,次要关键词,0),重点关键词数量,1),0)+10)</f>
        <v>15</v>
      </c>
      <c r="E56">
        <f ca="1">IF(AND(表_网址[[#This Row],[1级]]=B55,表_网址[[#This Row],[2级]]=C55,表_网址[[#This Row],[3级]]=D55),E55+1,101)</f>
        <v>102</v>
      </c>
      <c r="F56" t="s">
        <v>237</v>
      </c>
      <c r="G56" t="s">
        <v>238</v>
      </c>
      <c r="H56" t="s">
        <v>82</v>
      </c>
      <c r="I56" t="s">
        <v>239</v>
      </c>
      <c r="J56" t="s">
        <v>29</v>
      </c>
      <c r="K56" t="s">
        <v>79</v>
      </c>
      <c r="L56" t="s">
        <v>236</v>
      </c>
      <c r="M56">
        <v>999</v>
      </c>
      <c r="N56">
        <v>999</v>
      </c>
      <c r="P56">
        <v>64</v>
      </c>
    </row>
    <row r="57" spans="1:16" x14ac:dyDescent="0.2">
      <c r="A57" t="str">
        <f ca="1">表_网址[[#This Row],[1级]]&amp;"-"&amp;表_网址[[#This Row],[2级]]&amp;"-"&amp;表_网址[[#This Row],[3级]]&amp;"-"&amp;表_网址[[#This Row],[级内]]</f>
        <v>101-11-15-103</v>
      </c>
      <c r="B57">
        <f>VLOOKUP(表_网址[[#This Row],[首要关键词]],表_首次要关键词[[首要关键词]:[排序]],2,0)</f>
        <v>101</v>
      </c>
      <c r="C57" s="4">
        <f ca="1">IF(表_网址[[#This Row],[次要关键词]]="",10,MATCH(表_网址[[#This Row],[次要关键词]],次要关键词,0)+10)</f>
        <v>11</v>
      </c>
      <c r="D57">
        <f ca="1">IF(表_网址[[#This Row],[重点关键词]]="",10,MATCH(表_网址[[#This Row],[重点关键词]],OFFSET(重点关键词!$A$1,MATCH($J57,首要关键词,0)*50-48,MATCH($K57,次要关键词,0),重点关键词数量,1),0)+10)</f>
        <v>15</v>
      </c>
      <c r="E57">
        <f ca="1">IF(AND(表_网址[[#This Row],[1级]]=B56,表_网址[[#This Row],[2级]]=C56,表_网址[[#This Row],[3级]]=D56),E56+1,101)</f>
        <v>103</v>
      </c>
      <c r="F57" t="s">
        <v>240</v>
      </c>
      <c r="G57" t="s">
        <v>241</v>
      </c>
      <c r="H57" t="s">
        <v>82</v>
      </c>
      <c r="I57" t="s">
        <v>242</v>
      </c>
      <c r="J57" t="s">
        <v>29</v>
      </c>
      <c r="K57" t="s">
        <v>79</v>
      </c>
      <c r="L57" t="s">
        <v>236</v>
      </c>
      <c r="M57">
        <v>999</v>
      </c>
      <c r="P57">
        <v>16</v>
      </c>
    </row>
    <row r="58" spans="1:16" x14ac:dyDescent="0.2">
      <c r="A58" t="str">
        <f ca="1">表_网址[[#This Row],[1级]]&amp;"-"&amp;表_网址[[#This Row],[2级]]&amp;"-"&amp;表_网址[[#This Row],[3级]]&amp;"-"&amp;表_网址[[#This Row],[级内]]</f>
        <v>101-11-15-104</v>
      </c>
      <c r="B58">
        <f>VLOOKUP(表_网址[[#This Row],[首要关键词]],表_首次要关键词[[首要关键词]:[排序]],2,0)</f>
        <v>101</v>
      </c>
      <c r="C58" s="4">
        <f ca="1">IF(表_网址[[#This Row],[次要关键词]]="",10,MATCH(表_网址[[#This Row],[次要关键词]],次要关键词,0)+10)</f>
        <v>11</v>
      </c>
      <c r="D58">
        <f ca="1">IF(表_网址[[#This Row],[重点关键词]]="",10,MATCH(表_网址[[#This Row],[重点关键词]],OFFSET(重点关键词!$A$1,MATCH($J58,首要关键词,0)*50-48,MATCH($K58,次要关键词,0),重点关键词数量,1),0)+10)</f>
        <v>15</v>
      </c>
      <c r="E58">
        <f ca="1">IF(AND(表_网址[[#This Row],[1级]]=B57,表_网址[[#This Row],[2级]]=C57,表_网址[[#This Row],[3级]]=D57),E57+1,101)</f>
        <v>104</v>
      </c>
      <c r="F58" t="s">
        <v>243</v>
      </c>
      <c r="G58" t="s">
        <v>244</v>
      </c>
      <c r="H58" t="s">
        <v>82</v>
      </c>
      <c r="I58" t="s">
        <v>245</v>
      </c>
      <c r="J58" t="s">
        <v>29</v>
      </c>
      <c r="K58" t="s">
        <v>79</v>
      </c>
      <c r="L58" t="s">
        <v>236</v>
      </c>
      <c r="M58">
        <v>999</v>
      </c>
      <c r="N58">
        <v>999</v>
      </c>
      <c r="P58">
        <v>32</v>
      </c>
    </row>
    <row r="59" spans="1:16" x14ac:dyDescent="0.2">
      <c r="A59" t="str">
        <f ca="1">表_网址[[#This Row],[1级]]&amp;"-"&amp;表_网址[[#This Row],[2级]]&amp;"-"&amp;表_网址[[#This Row],[3级]]&amp;"-"&amp;表_网址[[#This Row],[级内]]</f>
        <v>101-11-15-105</v>
      </c>
      <c r="B59">
        <f>VLOOKUP(表_网址[[#This Row],[首要关键词]],表_首次要关键词[[首要关键词]:[排序]],2,0)</f>
        <v>101</v>
      </c>
      <c r="C59" s="4">
        <f ca="1">IF(表_网址[[#This Row],[次要关键词]]="",10,MATCH(表_网址[[#This Row],[次要关键词]],次要关键词,0)+10)</f>
        <v>11</v>
      </c>
      <c r="D59">
        <f ca="1">IF(表_网址[[#This Row],[重点关键词]]="",10,MATCH(表_网址[[#This Row],[重点关键词]],OFFSET(重点关键词!$A$1,MATCH($J59,首要关键词,0)*50-48,MATCH($K59,次要关键词,0),重点关键词数量,1),0)+10)</f>
        <v>15</v>
      </c>
      <c r="E59">
        <f ca="1">IF(AND(表_网址[[#This Row],[1级]]=B58,表_网址[[#This Row],[2级]]=C58,表_网址[[#This Row],[3级]]=D58),E58+1,101)</f>
        <v>105</v>
      </c>
      <c r="F59" t="s">
        <v>246</v>
      </c>
      <c r="G59" t="s">
        <v>247</v>
      </c>
      <c r="H59" t="s">
        <v>82</v>
      </c>
      <c r="I59" t="s">
        <v>248</v>
      </c>
      <c r="J59" t="s">
        <v>29</v>
      </c>
      <c r="K59" t="s">
        <v>79</v>
      </c>
      <c r="L59" t="s">
        <v>236</v>
      </c>
      <c r="M59">
        <v>999</v>
      </c>
    </row>
    <row r="60" spans="1:16" x14ac:dyDescent="0.2">
      <c r="A60" t="str">
        <f ca="1">表_网址[[#This Row],[1级]]&amp;"-"&amp;表_网址[[#This Row],[2级]]&amp;"-"&amp;表_网址[[#This Row],[3级]]&amp;"-"&amp;表_网址[[#This Row],[级内]]</f>
        <v>101-11-15-106</v>
      </c>
      <c r="B60">
        <f>VLOOKUP(表_网址[[#This Row],[首要关键词]],表_首次要关键词[[首要关键词]:[排序]],2,0)</f>
        <v>101</v>
      </c>
      <c r="C60" s="4">
        <f ca="1">IF(表_网址[[#This Row],[次要关键词]]="",10,MATCH(表_网址[[#This Row],[次要关键词]],次要关键词,0)+10)</f>
        <v>11</v>
      </c>
      <c r="D60">
        <f ca="1">IF(表_网址[[#This Row],[重点关键词]]="",10,MATCH(表_网址[[#This Row],[重点关键词]],OFFSET(重点关键词!$A$1,MATCH($J60,首要关键词,0)*50-48,MATCH($K60,次要关键词,0),重点关键词数量,1),0)+10)</f>
        <v>15</v>
      </c>
      <c r="E60">
        <f ca="1">IF(AND(表_网址[[#This Row],[1级]]=B59,表_网址[[#This Row],[2级]]=C59,表_网址[[#This Row],[3级]]=D59),E59+1,101)</f>
        <v>106</v>
      </c>
      <c r="F60" t="s">
        <v>249</v>
      </c>
      <c r="G60" t="s">
        <v>250</v>
      </c>
      <c r="H60" t="s">
        <v>82</v>
      </c>
      <c r="I60" t="s">
        <v>251</v>
      </c>
      <c r="J60" t="s">
        <v>29</v>
      </c>
      <c r="K60" t="s">
        <v>79</v>
      </c>
      <c r="L60" t="s">
        <v>236</v>
      </c>
      <c r="M60">
        <v>999</v>
      </c>
      <c r="N60">
        <v>999</v>
      </c>
      <c r="P60">
        <v>16</v>
      </c>
    </row>
    <row r="61" spans="1:16" x14ac:dyDescent="0.2">
      <c r="A61" t="str">
        <f ca="1">表_网址[[#This Row],[1级]]&amp;"-"&amp;表_网址[[#This Row],[2级]]&amp;"-"&amp;表_网址[[#This Row],[3级]]&amp;"-"&amp;表_网址[[#This Row],[级内]]</f>
        <v>101-11-15-107</v>
      </c>
      <c r="B61">
        <f>VLOOKUP(表_网址[[#This Row],[首要关键词]],表_首次要关键词[[首要关键词]:[排序]],2,0)</f>
        <v>101</v>
      </c>
      <c r="C61" s="4">
        <f ca="1">IF(表_网址[[#This Row],[次要关键词]]="",10,MATCH(表_网址[[#This Row],[次要关键词]],次要关键词,0)+10)</f>
        <v>11</v>
      </c>
      <c r="D61">
        <f ca="1">IF(表_网址[[#This Row],[重点关键词]]="",10,MATCH(表_网址[[#This Row],[重点关键词]],OFFSET(重点关键词!$A$1,MATCH($J61,首要关键词,0)*50-48,MATCH($K61,次要关键词,0),重点关键词数量,1),0)+10)</f>
        <v>15</v>
      </c>
      <c r="E61">
        <f ca="1">IF(AND(表_网址[[#This Row],[1级]]=B60,表_网址[[#This Row],[2级]]=C60,表_网址[[#This Row],[3级]]=D60),E60+1,101)</f>
        <v>107</v>
      </c>
      <c r="F61" t="s">
        <v>252</v>
      </c>
      <c r="G61" t="s">
        <v>253</v>
      </c>
      <c r="H61" t="s">
        <v>82</v>
      </c>
      <c r="I61" t="s">
        <v>254</v>
      </c>
      <c r="J61" t="s">
        <v>29</v>
      </c>
      <c r="K61" t="s">
        <v>79</v>
      </c>
      <c r="L61" t="s">
        <v>236</v>
      </c>
      <c r="M61">
        <v>999</v>
      </c>
      <c r="P61">
        <v>16</v>
      </c>
    </row>
    <row r="62" spans="1:16" x14ac:dyDescent="0.2">
      <c r="A62" t="str">
        <f ca="1">表_网址[[#This Row],[1级]]&amp;"-"&amp;表_网址[[#This Row],[2级]]&amp;"-"&amp;表_网址[[#This Row],[3级]]&amp;"-"&amp;表_网址[[#This Row],[级内]]</f>
        <v>101-11-15-108</v>
      </c>
      <c r="B62">
        <f>VLOOKUP(表_网址[[#This Row],[首要关键词]],表_首次要关键词[[首要关键词]:[排序]],2,0)</f>
        <v>101</v>
      </c>
      <c r="C62" s="4">
        <f ca="1">IF(表_网址[[#This Row],[次要关键词]]="",10,MATCH(表_网址[[#This Row],[次要关键词]],次要关键词,0)+10)</f>
        <v>11</v>
      </c>
      <c r="D62">
        <f ca="1">IF(表_网址[[#This Row],[重点关键词]]="",10,MATCH(表_网址[[#This Row],[重点关键词]],OFFSET(重点关键词!$A$1,MATCH($J62,首要关键词,0)*50-48,MATCH($K62,次要关键词,0),重点关键词数量,1),0)+10)</f>
        <v>15</v>
      </c>
      <c r="E62">
        <f ca="1">IF(AND(表_网址[[#This Row],[1级]]=B61,表_网址[[#This Row],[2级]]=C61,表_网址[[#This Row],[3级]]=D61),E61+1,101)</f>
        <v>108</v>
      </c>
      <c r="F62" t="s">
        <v>255</v>
      </c>
      <c r="G62" t="s">
        <v>256</v>
      </c>
      <c r="H62" t="s">
        <v>82</v>
      </c>
      <c r="I62" t="s">
        <v>257</v>
      </c>
      <c r="J62" t="s">
        <v>29</v>
      </c>
      <c r="K62" t="s">
        <v>79</v>
      </c>
      <c r="L62" t="s">
        <v>236</v>
      </c>
      <c r="M62">
        <v>999</v>
      </c>
      <c r="N62">
        <v>999</v>
      </c>
      <c r="P62">
        <v>128</v>
      </c>
    </row>
    <row r="63" spans="1:16" x14ac:dyDescent="0.2">
      <c r="A63" t="str">
        <f ca="1">表_网址[[#This Row],[1级]]&amp;"-"&amp;表_网址[[#This Row],[2级]]&amp;"-"&amp;表_网址[[#This Row],[3级]]&amp;"-"&amp;表_网址[[#This Row],[级内]]</f>
        <v>101-11-15-109</v>
      </c>
      <c r="B63">
        <f>VLOOKUP(表_网址[[#This Row],[首要关键词]],表_首次要关键词[[首要关键词]:[排序]],2,0)</f>
        <v>101</v>
      </c>
      <c r="C63" s="4">
        <f ca="1">IF(表_网址[[#This Row],[次要关键词]]="",10,MATCH(表_网址[[#This Row],[次要关键词]],次要关键词,0)+10)</f>
        <v>11</v>
      </c>
      <c r="D63">
        <f ca="1">IF(表_网址[[#This Row],[重点关键词]]="",10,MATCH(表_网址[[#This Row],[重点关键词]],OFFSET(重点关键词!$A$1,MATCH($J63,首要关键词,0)*50-48,MATCH($K63,次要关键词,0),重点关键词数量,1),0)+10)</f>
        <v>15</v>
      </c>
      <c r="E63">
        <f ca="1">IF(AND(表_网址[[#This Row],[1级]]=B62,表_网址[[#This Row],[2级]]=C62,表_网址[[#This Row],[3级]]=D62),E62+1,101)</f>
        <v>109</v>
      </c>
      <c r="F63" t="s">
        <v>258</v>
      </c>
      <c r="G63" t="s">
        <v>259</v>
      </c>
      <c r="H63" t="s">
        <v>82</v>
      </c>
      <c r="I63" t="s">
        <v>260</v>
      </c>
      <c r="J63" t="s">
        <v>29</v>
      </c>
      <c r="K63" t="s">
        <v>79</v>
      </c>
      <c r="L63" t="s">
        <v>236</v>
      </c>
      <c r="M63">
        <v>999</v>
      </c>
    </row>
    <row r="64" spans="1:16" x14ac:dyDescent="0.2">
      <c r="A64" t="str">
        <f ca="1">表_网址[[#This Row],[1级]]&amp;"-"&amp;表_网址[[#This Row],[2级]]&amp;"-"&amp;表_网址[[#This Row],[3级]]&amp;"-"&amp;表_网址[[#This Row],[级内]]</f>
        <v>101-11-16-101</v>
      </c>
      <c r="B64">
        <f>VLOOKUP(表_网址[[#This Row],[首要关键词]],表_首次要关键词[[首要关键词]:[排序]],2,0)</f>
        <v>101</v>
      </c>
      <c r="C64" s="4">
        <f ca="1">IF(表_网址[[#This Row],[次要关键词]]="",10,MATCH(表_网址[[#This Row],[次要关键词]],次要关键词,0)+10)</f>
        <v>11</v>
      </c>
      <c r="D64">
        <f ca="1">IF(表_网址[[#This Row],[重点关键词]]="",10,MATCH(表_网址[[#This Row],[重点关键词]],OFFSET(重点关键词!$A$1,MATCH($J64,首要关键词,0)*50-48,MATCH($K64,次要关键词,0),重点关键词数量,1),0)+10)</f>
        <v>16</v>
      </c>
      <c r="E64">
        <f ca="1">IF(AND(表_网址[[#This Row],[1级]]=B63,表_网址[[#This Row],[2级]]=C63,表_网址[[#This Row],[3级]]=D63),E63+1,101)</f>
        <v>101</v>
      </c>
      <c r="F64" t="s">
        <v>261</v>
      </c>
      <c r="G64" t="s">
        <v>262</v>
      </c>
      <c r="H64" t="s">
        <v>82</v>
      </c>
      <c r="I64" t="s">
        <v>263</v>
      </c>
      <c r="J64" t="s">
        <v>29</v>
      </c>
      <c r="K64" t="s">
        <v>79</v>
      </c>
      <c r="L64" t="s">
        <v>264</v>
      </c>
      <c r="M64">
        <v>999</v>
      </c>
      <c r="N64">
        <v>999</v>
      </c>
      <c r="P64">
        <v>32</v>
      </c>
    </row>
    <row r="65" spans="1:16" x14ac:dyDescent="0.2">
      <c r="A65" t="str">
        <f ca="1">表_网址[[#This Row],[1级]]&amp;"-"&amp;表_网址[[#This Row],[2级]]&amp;"-"&amp;表_网址[[#This Row],[3级]]&amp;"-"&amp;表_网址[[#This Row],[级内]]</f>
        <v>101-11-16-102</v>
      </c>
      <c r="B65">
        <f>VLOOKUP(表_网址[[#This Row],[首要关键词]],表_首次要关键词[[首要关键词]:[排序]],2,0)</f>
        <v>101</v>
      </c>
      <c r="C65" s="4">
        <f ca="1">IF(表_网址[[#This Row],[次要关键词]]="",10,MATCH(表_网址[[#This Row],[次要关键词]],次要关键词,0)+10)</f>
        <v>11</v>
      </c>
      <c r="D65">
        <f ca="1">IF(表_网址[[#This Row],[重点关键词]]="",10,MATCH(表_网址[[#This Row],[重点关键词]],OFFSET(重点关键词!$A$1,MATCH($J65,首要关键词,0)*50-48,MATCH($K65,次要关键词,0),重点关键词数量,1),0)+10)</f>
        <v>16</v>
      </c>
      <c r="E65">
        <f ca="1">IF(AND(表_网址[[#This Row],[1级]]=B64,表_网址[[#This Row],[2级]]=C64,表_网址[[#This Row],[3级]]=D64),E64+1,101)</f>
        <v>102</v>
      </c>
      <c r="F65" t="s">
        <v>265</v>
      </c>
      <c r="G65" t="s">
        <v>266</v>
      </c>
      <c r="H65" t="s">
        <v>82</v>
      </c>
      <c r="I65" t="s">
        <v>267</v>
      </c>
      <c r="J65" t="s">
        <v>29</v>
      </c>
      <c r="K65" t="s">
        <v>79</v>
      </c>
      <c r="L65" t="s">
        <v>264</v>
      </c>
      <c r="M65">
        <v>999</v>
      </c>
      <c r="P65">
        <v>16</v>
      </c>
    </row>
    <row r="66" spans="1:16" x14ac:dyDescent="0.2">
      <c r="A66" t="str">
        <f ca="1">表_网址[[#This Row],[1级]]&amp;"-"&amp;表_网址[[#This Row],[2级]]&amp;"-"&amp;表_网址[[#This Row],[3级]]&amp;"-"&amp;表_网址[[#This Row],[级内]]</f>
        <v>101-11-16-103</v>
      </c>
      <c r="B66">
        <f>VLOOKUP(表_网址[[#This Row],[首要关键词]],表_首次要关键词[[首要关键词]:[排序]],2,0)</f>
        <v>101</v>
      </c>
      <c r="C66" s="4">
        <f ca="1">IF(表_网址[[#This Row],[次要关键词]]="",10,MATCH(表_网址[[#This Row],[次要关键词]],次要关键词,0)+10)</f>
        <v>11</v>
      </c>
      <c r="D66">
        <f ca="1">IF(表_网址[[#This Row],[重点关键词]]="",10,MATCH(表_网址[[#This Row],[重点关键词]],OFFSET(重点关键词!$A$1,MATCH($J66,首要关键词,0)*50-48,MATCH($K66,次要关键词,0),重点关键词数量,1),0)+10)</f>
        <v>16</v>
      </c>
      <c r="E66">
        <f ca="1">IF(AND(表_网址[[#This Row],[1级]]=B65,表_网址[[#This Row],[2级]]=C65,表_网址[[#This Row],[3级]]=D65),E65+1,101)</f>
        <v>103</v>
      </c>
      <c r="F66" t="s">
        <v>268</v>
      </c>
      <c r="G66" t="s">
        <v>269</v>
      </c>
      <c r="H66" t="s">
        <v>82</v>
      </c>
      <c r="I66" t="s">
        <v>270</v>
      </c>
      <c r="J66" t="s">
        <v>29</v>
      </c>
      <c r="K66" t="s">
        <v>79</v>
      </c>
      <c r="L66" t="s">
        <v>264</v>
      </c>
      <c r="M66">
        <v>999</v>
      </c>
    </row>
    <row r="67" spans="1:16" x14ac:dyDescent="0.2">
      <c r="A67" t="str">
        <f ca="1">表_网址[[#This Row],[1级]]&amp;"-"&amp;表_网址[[#This Row],[2级]]&amp;"-"&amp;表_网址[[#This Row],[3级]]&amp;"-"&amp;表_网址[[#This Row],[级内]]</f>
        <v>101-11-16-104</v>
      </c>
      <c r="B67">
        <f>VLOOKUP(表_网址[[#This Row],[首要关键词]],表_首次要关键词[[首要关键词]:[排序]],2,0)</f>
        <v>101</v>
      </c>
      <c r="C67" s="4">
        <f ca="1">IF(表_网址[[#This Row],[次要关键词]]="",10,MATCH(表_网址[[#This Row],[次要关键词]],次要关键词,0)+10)</f>
        <v>11</v>
      </c>
      <c r="D67">
        <f ca="1">IF(表_网址[[#This Row],[重点关键词]]="",10,MATCH(表_网址[[#This Row],[重点关键词]],OFFSET(重点关键词!$A$1,MATCH($J67,首要关键词,0)*50-48,MATCH($K67,次要关键词,0),重点关键词数量,1),0)+10)</f>
        <v>16</v>
      </c>
      <c r="E67">
        <f ca="1">IF(AND(表_网址[[#This Row],[1级]]=B66,表_网址[[#This Row],[2级]]=C66,表_网址[[#This Row],[3级]]=D66),E66+1,101)</f>
        <v>104</v>
      </c>
      <c r="F67" t="s">
        <v>271</v>
      </c>
      <c r="G67" t="s">
        <v>272</v>
      </c>
      <c r="H67" t="s">
        <v>82</v>
      </c>
      <c r="I67" t="s">
        <v>273</v>
      </c>
      <c r="J67" t="s">
        <v>29</v>
      </c>
      <c r="K67" t="s">
        <v>79</v>
      </c>
      <c r="L67" t="s">
        <v>264</v>
      </c>
      <c r="M67">
        <v>999</v>
      </c>
    </row>
    <row r="68" spans="1:16" x14ac:dyDescent="0.2">
      <c r="A68" t="str">
        <f ca="1">表_网址[[#This Row],[1级]]&amp;"-"&amp;表_网址[[#This Row],[2级]]&amp;"-"&amp;表_网址[[#This Row],[3级]]&amp;"-"&amp;表_网址[[#This Row],[级内]]</f>
        <v>101-11-16-105</v>
      </c>
      <c r="B68">
        <f>VLOOKUP(表_网址[[#This Row],[首要关键词]],表_首次要关键词[[首要关键词]:[排序]],2,0)</f>
        <v>101</v>
      </c>
      <c r="C68" s="4">
        <f ca="1">IF(表_网址[[#This Row],[次要关键词]]="",10,MATCH(表_网址[[#This Row],[次要关键词]],次要关键词,0)+10)</f>
        <v>11</v>
      </c>
      <c r="D68">
        <f ca="1">IF(表_网址[[#This Row],[重点关键词]]="",10,MATCH(表_网址[[#This Row],[重点关键词]],OFFSET(重点关键词!$A$1,MATCH($J68,首要关键词,0)*50-48,MATCH($K68,次要关键词,0),重点关键词数量,1),0)+10)</f>
        <v>16</v>
      </c>
      <c r="E68">
        <f ca="1">IF(AND(表_网址[[#This Row],[1级]]=B67,表_网址[[#This Row],[2级]]=C67,表_网址[[#This Row],[3级]]=D67),E67+1,101)</f>
        <v>105</v>
      </c>
      <c r="F68" t="s">
        <v>274</v>
      </c>
      <c r="G68" t="s">
        <v>275</v>
      </c>
      <c r="H68" t="s">
        <v>82</v>
      </c>
      <c r="I68" t="s">
        <v>276</v>
      </c>
      <c r="J68" t="s">
        <v>29</v>
      </c>
      <c r="K68" t="s">
        <v>79</v>
      </c>
      <c r="L68" t="s">
        <v>264</v>
      </c>
      <c r="M68">
        <v>999</v>
      </c>
    </row>
    <row r="69" spans="1:16" x14ac:dyDescent="0.2">
      <c r="A69" t="str">
        <f ca="1">表_网址[[#This Row],[1级]]&amp;"-"&amp;表_网址[[#This Row],[2级]]&amp;"-"&amp;表_网址[[#This Row],[3级]]&amp;"-"&amp;表_网址[[#This Row],[级内]]</f>
        <v>101-11-16-106</v>
      </c>
      <c r="B69">
        <f>VLOOKUP(表_网址[[#This Row],[首要关键词]],表_首次要关键词[[首要关键词]:[排序]],2,0)</f>
        <v>101</v>
      </c>
      <c r="C69" s="4">
        <f ca="1">IF(表_网址[[#This Row],[次要关键词]]="",10,MATCH(表_网址[[#This Row],[次要关键词]],次要关键词,0)+10)</f>
        <v>11</v>
      </c>
      <c r="D69">
        <f ca="1">IF(表_网址[[#This Row],[重点关键词]]="",10,MATCH(表_网址[[#This Row],[重点关键词]],OFFSET(重点关键词!$A$1,MATCH($J69,首要关键词,0)*50-48,MATCH($K69,次要关键词,0),重点关键词数量,1),0)+10)</f>
        <v>16</v>
      </c>
      <c r="E69">
        <f ca="1">IF(AND(表_网址[[#This Row],[1级]]=B68,表_网址[[#This Row],[2级]]=C68,表_网址[[#This Row],[3级]]=D68),E68+1,101)</f>
        <v>106</v>
      </c>
      <c r="F69" t="s">
        <v>277</v>
      </c>
      <c r="G69" t="s">
        <v>278</v>
      </c>
      <c r="H69" t="s">
        <v>82</v>
      </c>
      <c r="I69" t="s">
        <v>279</v>
      </c>
      <c r="J69" t="s">
        <v>29</v>
      </c>
      <c r="K69" t="s">
        <v>79</v>
      </c>
      <c r="L69" t="s">
        <v>264</v>
      </c>
      <c r="M69">
        <v>999</v>
      </c>
      <c r="N69">
        <v>999</v>
      </c>
      <c r="P69">
        <v>1024</v>
      </c>
    </row>
    <row r="70" spans="1:16" x14ac:dyDescent="0.2">
      <c r="A70" t="str">
        <f ca="1">表_网址[[#This Row],[1级]]&amp;"-"&amp;表_网址[[#This Row],[2级]]&amp;"-"&amp;表_网址[[#This Row],[3级]]&amp;"-"&amp;表_网址[[#This Row],[级内]]</f>
        <v>101-11-16-107</v>
      </c>
      <c r="B70">
        <f>VLOOKUP(表_网址[[#This Row],[首要关键词]],表_首次要关键词[[首要关键词]:[排序]],2,0)</f>
        <v>101</v>
      </c>
      <c r="C70" s="4">
        <f ca="1">IF(表_网址[[#This Row],[次要关键词]]="",10,MATCH(表_网址[[#This Row],[次要关键词]],次要关键词,0)+10)</f>
        <v>11</v>
      </c>
      <c r="D70">
        <f ca="1">IF(表_网址[[#This Row],[重点关键词]]="",10,MATCH(表_网址[[#This Row],[重点关键词]],OFFSET(重点关键词!$A$1,MATCH($J70,首要关键词,0)*50-48,MATCH($K70,次要关键词,0),重点关键词数量,1),0)+10)</f>
        <v>16</v>
      </c>
      <c r="E70">
        <f ca="1">IF(AND(表_网址[[#This Row],[1级]]=B69,表_网址[[#This Row],[2级]]=C69,表_网址[[#This Row],[3级]]=D69),E69+1,101)</f>
        <v>107</v>
      </c>
      <c r="F70" t="s">
        <v>280</v>
      </c>
      <c r="G70" t="s">
        <v>281</v>
      </c>
      <c r="H70" t="s">
        <v>82</v>
      </c>
      <c r="I70" t="s">
        <v>282</v>
      </c>
      <c r="J70" t="s">
        <v>29</v>
      </c>
      <c r="K70" t="s">
        <v>79</v>
      </c>
      <c r="L70" t="s">
        <v>264</v>
      </c>
      <c r="M70">
        <v>999</v>
      </c>
      <c r="P70">
        <v>53</v>
      </c>
    </row>
    <row r="71" spans="1:16" x14ac:dyDescent="0.2">
      <c r="A71" t="str">
        <f ca="1">表_网址[[#This Row],[1级]]&amp;"-"&amp;表_网址[[#This Row],[2级]]&amp;"-"&amp;表_网址[[#This Row],[3级]]&amp;"-"&amp;表_网址[[#This Row],[级内]]</f>
        <v>101-11-16-108</v>
      </c>
      <c r="B71">
        <f>VLOOKUP(表_网址[[#This Row],[首要关键词]],表_首次要关键词[[首要关键词]:[排序]],2,0)</f>
        <v>101</v>
      </c>
      <c r="C71" s="4">
        <f ca="1">IF(表_网址[[#This Row],[次要关键词]]="",10,MATCH(表_网址[[#This Row],[次要关键词]],次要关键词,0)+10)</f>
        <v>11</v>
      </c>
      <c r="D71">
        <f ca="1">IF(表_网址[[#This Row],[重点关键词]]="",10,MATCH(表_网址[[#This Row],[重点关键词]],OFFSET(重点关键词!$A$1,MATCH($J71,首要关键词,0)*50-48,MATCH($K71,次要关键词,0),重点关键词数量,1),0)+10)</f>
        <v>16</v>
      </c>
      <c r="E71">
        <f ca="1">IF(AND(表_网址[[#This Row],[1级]]=B70,表_网址[[#This Row],[2级]]=C70,表_网址[[#This Row],[3级]]=D70),E70+1,101)</f>
        <v>108</v>
      </c>
      <c r="F71" t="s">
        <v>283</v>
      </c>
      <c r="G71" t="s">
        <v>281</v>
      </c>
      <c r="H71" t="s">
        <v>82</v>
      </c>
      <c r="I71" t="s">
        <v>282</v>
      </c>
      <c r="J71" t="s">
        <v>29</v>
      </c>
      <c r="K71" t="s">
        <v>79</v>
      </c>
      <c r="L71" t="s">
        <v>264</v>
      </c>
      <c r="M71">
        <v>999</v>
      </c>
      <c r="P71">
        <v>53</v>
      </c>
    </row>
    <row r="72" spans="1:16" x14ac:dyDescent="0.2">
      <c r="A72" t="str">
        <f ca="1">表_网址[[#This Row],[1级]]&amp;"-"&amp;表_网址[[#This Row],[2级]]&amp;"-"&amp;表_网址[[#This Row],[3级]]&amp;"-"&amp;表_网址[[#This Row],[级内]]</f>
        <v>101-11-16-109</v>
      </c>
      <c r="B72">
        <f>VLOOKUP(表_网址[[#This Row],[首要关键词]],表_首次要关键词[[首要关键词]:[排序]],2,0)</f>
        <v>101</v>
      </c>
      <c r="C72" s="4">
        <f ca="1">IF(表_网址[[#This Row],[次要关键词]]="",10,MATCH(表_网址[[#This Row],[次要关键词]],次要关键词,0)+10)</f>
        <v>11</v>
      </c>
      <c r="D72">
        <f ca="1">IF(表_网址[[#This Row],[重点关键词]]="",10,MATCH(表_网址[[#This Row],[重点关键词]],OFFSET(重点关键词!$A$1,MATCH($J72,首要关键词,0)*50-48,MATCH($K72,次要关键词,0),重点关键词数量,1),0)+10)</f>
        <v>16</v>
      </c>
      <c r="E72">
        <f ca="1">IF(AND(表_网址[[#This Row],[1级]]=B71,表_网址[[#This Row],[2级]]=C71,表_网址[[#This Row],[3级]]=D71),E71+1,101)</f>
        <v>109</v>
      </c>
      <c r="F72" t="s">
        <v>284</v>
      </c>
      <c r="G72" t="s">
        <v>285</v>
      </c>
      <c r="H72" t="s">
        <v>82</v>
      </c>
      <c r="I72" t="s">
        <v>286</v>
      </c>
      <c r="J72" t="s">
        <v>29</v>
      </c>
      <c r="K72" t="s">
        <v>79</v>
      </c>
      <c r="L72" t="s">
        <v>264</v>
      </c>
      <c r="M72">
        <v>999</v>
      </c>
    </row>
    <row r="73" spans="1:16" x14ac:dyDescent="0.2">
      <c r="A73" t="str">
        <f ca="1">表_网址[[#This Row],[1级]]&amp;"-"&amp;表_网址[[#This Row],[2级]]&amp;"-"&amp;表_网址[[#This Row],[3级]]&amp;"-"&amp;表_网址[[#This Row],[级内]]</f>
        <v>101-11-16-110</v>
      </c>
      <c r="B73">
        <f>VLOOKUP(表_网址[[#This Row],[首要关键词]],表_首次要关键词[[首要关键词]:[排序]],2,0)</f>
        <v>101</v>
      </c>
      <c r="C73" s="4">
        <f ca="1">IF(表_网址[[#This Row],[次要关键词]]="",10,MATCH(表_网址[[#This Row],[次要关键词]],次要关键词,0)+10)</f>
        <v>11</v>
      </c>
      <c r="D73">
        <f ca="1">IF(表_网址[[#This Row],[重点关键词]]="",10,MATCH(表_网址[[#This Row],[重点关键词]],OFFSET(重点关键词!$A$1,MATCH($J73,首要关键词,0)*50-48,MATCH($K73,次要关键词,0),重点关键词数量,1),0)+10)</f>
        <v>16</v>
      </c>
      <c r="E73">
        <f ca="1">IF(AND(表_网址[[#This Row],[1级]]=B72,表_网址[[#This Row],[2级]]=C72,表_网址[[#This Row],[3级]]=D72),E72+1,101)</f>
        <v>110</v>
      </c>
      <c r="F73" t="s">
        <v>287</v>
      </c>
      <c r="G73" t="s">
        <v>288</v>
      </c>
      <c r="H73" t="s">
        <v>82</v>
      </c>
      <c r="I73" t="s">
        <v>289</v>
      </c>
      <c r="J73" t="s">
        <v>29</v>
      </c>
      <c r="K73" t="s">
        <v>79</v>
      </c>
      <c r="L73" t="s">
        <v>264</v>
      </c>
      <c r="M73">
        <v>999</v>
      </c>
      <c r="P73">
        <v>197</v>
      </c>
    </row>
    <row r="74" spans="1:16" x14ac:dyDescent="0.2">
      <c r="A74" t="str">
        <f ca="1">表_网址[[#This Row],[1级]]&amp;"-"&amp;表_网址[[#This Row],[2级]]&amp;"-"&amp;表_网址[[#This Row],[3级]]&amp;"-"&amp;表_网址[[#This Row],[级内]]</f>
        <v>101-11-16-111</v>
      </c>
      <c r="B74">
        <f>VLOOKUP(表_网址[[#This Row],[首要关键词]],表_首次要关键词[[首要关键词]:[排序]],2,0)</f>
        <v>101</v>
      </c>
      <c r="C74" s="4">
        <f ca="1">IF(表_网址[[#This Row],[次要关键词]]="",10,MATCH(表_网址[[#This Row],[次要关键词]],次要关键词,0)+10)</f>
        <v>11</v>
      </c>
      <c r="D74">
        <f ca="1">IF(表_网址[[#This Row],[重点关键词]]="",10,MATCH(表_网址[[#This Row],[重点关键词]],OFFSET(重点关键词!$A$1,MATCH($J74,首要关键词,0)*50-48,MATCH($K74,次要关键词,0),重点关键词数量,1),0)+10)</f>
        <v>16</v>
      </c>
      <c r="E74">
        <f ca="1">IF(AND(表_网址[[#This Row],[1级]]=B73,表_网址[[#This Row],[2级]]=C73,表_网址[[#This Row],[3级]]=D73),E73+1,101)</f>
        <v>111</v>
      </c>
      <c r="F74" t="s">
        <v>290</v>
      </c>
      <c r="G74" t="s">
        <v>291</v>
      </c>
      <c r="H74" t="s">
        <v>82</v>
      </c>
      <c r="I74" t="s">
        <v>292</v>
      </c>
      <c r="J74" t="s">
        <v>29</v>
      </c>
      <c r="K74" t="s">
        <v>79</v>
      </c>
      <c r="L74" t="s">
        <v>264</v>
      </c>
      <c r="M74">
        <v>999</v>
      </c>
    </row>
    <row r="75" spans="1:16" x14ac:dyDescent="0.2">
      <c r="A75" t="str">
        <f ca="1">表_网址[[#This Row],[1级]]&amp;"-"&amp;表_网址[[#This Row],[2级]]&amp;"-"&amp;表_网址[[#This Row],[3级]]&amp;"-"&amp;表_网址[[#This Row],[级内]]</f>
        <v>101-11-16-112</v>
      </c>
      <c r="B75">
        <f>VLOOKUP(表_网址[[#This Row],[首要关键词]],表_首次要关键词[[首要关键词]:[排序]],2,0)</f>
        <v>101</v>
      </c>
      <c r="C75" s="4">
        <f ca="1">IF(表_网址[[#This Row],[次要关键词]]="",10,MATCH(表_网址[[#This Row],[次要关键词]],次要关键词,0)+10)</f>
        <v>11</v>
      </c>
      <c r="D75">
        <f ca="1">IF(表_网址[[#This Row],[重点关键词]]="",10,MATCH(表_网址[[#This Row],[重点关键词]],OFFSET(重点关键词!$A$1,MATCH($J75,首要关键词,0)*50-48,MATCH($K75,次要关键词,0),重点关键词数量,1),0)+10)</f>
        <v>16</v>
      </c>
      <c r="E75">
        <f ca="1">IF(AND(表_网址[[#This Row],[1级]]=B74,表_网址[[#This Row],[2级]]=C74,表_网址[[#This Row],[3级]]=D74),E74+1,101)</f>
        <v>112</v>
      </c>
      <c r="F75" t="s">
        <v>293</v>
      </c>
      <c r="G75" t="s">
        <v>294</v>
      </c>
      <c r="H75" t="s">
        <v>82</v>
      </c>
      <c r="I75" t="s">
        <v>295</v>
      </c>
      <c r="J75" t="s">
        <v>29</v>
      </c>
      <c r="K75" t="s">
        <v>79</v>
      </c>
      <c r="L75" t="s">
        <v>264</v>
      </c>
      <c r="M75">
        <v>999</v>
      </c>
    </row>
    <row r="76" spans="1:16" x14ac:dyDescent="0.2">
      <c r="A76" t="str">
        <f ca="1">表_网址[[#This Row],[1级]]&amp;"-"&amp;表_网址[[#This Row],[2级]]&amp;"-"&amp;表_网址[[#This Row],[3级]]&amp;"-"&amp;表_网址[[#This Row],[级内]]</f>
        <v>101-11-16-113</v>
      </c>
      <c r="B76">
        <f>VLOOKUP(表_网址[[#This Row],[首要关键词]],表_首次要关键词[[首要关键词]:[排序]],2,0)</f>
        <v>101</v>
      </c>
      <c r="C76" s="4">
        <f ca="1">IF(表_网址[[#This Row],[次要关键词]]="",10,MATCH(表_网址[[#This Row],[次要关键词]],次要关键词,0)+10)</f>
        <v>11</v>
      </c>
      <c r="D76">
        <f ca="1">IF(表_网址[[#This Row],[重点关键词]]="",10,MATCH(表_网址[[#This Row],[重点关键词]],OFFSET(重点关键词!$A$1,MATCH($J76,首要关键词,0)*50-48,MATCH($K76,次要关键词,0),重点关键词数量,1),0)+10)</f>
        <v>16</v>
      </c>
      <c r="E76">
        <f ca="1">IF(AND(表_网址[[#This Row],[1级]]=B75,表_网址[[#This Row],[2级]]=C75,表_网址[[#This Row],[3级]]=D75),E75+1,101)</f>
        <v>113</v>
      </c>
      <c r="F76" t="s">
        <v>296</v>
      </c>
      <c r="G76" t="s">
        <v>297</v>
      </c>
      <c r="H76" t="s">
        <v>82</v>
      </c>
      <c r="I76" t="s">
        <v>298</v>
      </c>
      <c r="J76" t="s">
        <v>29</v>
      </c>
      <c r="K76" t="s">
        <v>79</v>
      </c>
      <c r="L76" t="s">
        <v>264</v>
      </c>
      <c r="M76">
        <v>999</v>
      </c>
      <c r="P76">
        <v>256</v>
      </c>
    </row>
    <row r="77" spans="1:16" x14ac:dyDescent="0.2">
      <c r="A77" t="str">
        <f ca="1">表_网址[[#This Row],[1级]]&amp;"-"&amp;表_网址[[#This Row],[2级]]&amp;"-"&amp;表_网址[[#This Row],[3级]]&amp;"-"&amp;表_网址[[#This Row],[级内]]</f>
        <v>101-11-16-114</v>
      </c>
      <c r="B77">
        <f>VLOOKUP(表_网址[[#This Row],[首要关键词]],表_首次要关键词[[首要关键词]:[排序]],2,0)</f>
        <v>101</v>
      </c>
      <c r="C77" s="4">
        <f ca="1">IF(表_网址[[#This Row],[次要关键词]]="",10,MATCH(表_网址[[#This Row],[次要关键词]],次要关键词,0)+10)</f>
        <v>11</v>
      </c>
      <c r="D77">
        <f ca="1">IF(表_网址[[#This Row],[重点关键词]]="",10,MATCH(表_网址[[#This Row],[重点关键词]],OFFSET(重点关键词!$A$1,MATCH($J77,首要关键词,0)*50-48,MATCH($K77,次要关键词,0),重点关键词数量,1),0)+10)</f>
        <v>16</v>
      </c>
      <c r="E77">
        <f ca="1">IF(AND(表_网址[[#This Row],[1级]]=B76,表_网址[[#This Row],[2级]]=C76,表_网址[[#This Row],[3级]]=D76),E76+1,101)</f>
        <v>114</v>
      </c>
      <c r="F77" t="s">
        <v>299</v>
      </c>
      <c r="G77" t="s">
        <v>300</v>
      </c>
      <c r="H77" t="s">
        <v>82</v>
      </c>
      <c r="J77" t="s">
        <v>29</v>
      </c>
      <c r="K77" t="s">
        <v>79</v>
      </c>
      <c r="L77" t="s">
        <v>264</v>
      </c>
      <c r="M77">
        <v>999</v>
      </c>
    </row>
    <row r="78" spans="1:16" x14ac:dyDescent="0.2">
      <c r="A78" t="str">
        <f ca="1">表_网址[[#This Row],[1级]]&amp;"-"&amp;表_网址[[#This Row],[2级]]&amp;"-"&amp;表_网址[[#This Row],[3级]]&amp;"-"&amp;表_网址[[#This Row],[级内]]</f>
        <v>101-11-16-115</v>
      </c>
      <c r="B78">
        <f>VLOOKUP(表_网址[[#This Row],[首要关键词]],表_首次要关键词[[首要关键词]:[排序]],2,0)</f>
        <v>101</v>
      </c>
      <c r="C78" s="4">
        <f ca="1">IF(表_网址[[#This Row],[次要关键词]]="",10,MATCH(表_网址[[#This Row],[次要关键词]],次要关键词,0)+10)</f>
        <v>11</v>
      </c>
      <c r="D78">
        <f ca="1">IF(表_网址[[#This Row],[重点关键词]]="",10,MATCH(表_网址[[#This Row],[重点关键词]],OFFSET(重点关键词!$A$1,MATCH($J78,首要关键词,0)*50-48,MATCH($K78,次要关键词,0),重点关键词数量,1),0)+10)</f>
        <v>16</v>
      </c>
      <c r="E78">
        <f ca="1">IF(AND(表_网址[[#This Row],[1级]]=B77,表_网址[[#This Row],[2级]]=C77,表_网址[[#This Row],[3级]]=D77),E77+1,101)</f>
        <v>115</v>
      </c>
      <c r="F78" t="s">
        <v>301</v>
      </c>
      <c r="G78" t="s">
        <v>302</v>
      </c>
      <c r="H78" t="s">
        <v>82</v>
      </c>
      <c r="I78" t="s">
        <v>303</v>
      </c>
      <c r="J78" t="s">
        <v>29</v>
      </c>
      <c r="K78" t="s">
        <v>79</v>
      </c>
      <c r="L78" t="s">
        <v>264</v>
      </c>
      <c r="M78">
        <v>999</v>
      </c>
      <c r="P78">
        <v>32</v>
      </c>
    </row>
    <row r="79" spans="1:16" x14ac:dyDescent="0.2">
      <c r="A79" t="str">
        <f ca="1">表_网址[[#This Row],[1级]]&amp;"-"&amp;表_网址[[#This Row],[2级]]&amp;"-"&amp;表_网址[[#This Row],[3级]]&amp;"-"&amp;表_网址[[#This Row],[级内]]</f>
        <v>101-11-16-116</v>
      </c>
      <c r="B79">
        <f>VLOOKUP(表_网址[[#This Row],[首要关键词]],表_首次要关键词[[首要关键词]:[排序]],2,0)</f>
        <v>101</v>
      </c>
      <c r="C79" s="4">
        <f ca="1">IF(表_网址[[#This Row],[次要关键词]]="",10,MATCH(表_网址[[#This Row],[次要关键词]],次要关键词,0)+10)</f>
        <v>11</v>
      </c>
      <c r="D79">
        <f ca="1">IF(表_网址[[#This Row],[重点关键词]]="",10,MATCH(表_网址[[#This Row],[重点关键词]],OFFSET(重点关键词!$A$1,MATCH($J79,首要关键词,0)*50-48,MATCH($K79,次要关键词,0),重点关键词数量,1),0)+10)</f>
        <v>16</v>
      </c>
      <c r="E79">
        <f ca="1">IF(AND(表_网址[[#This Row],[1级]]=B78,表_网址[[#This Row],[2级]]=C78,表_网址[[#This Row],[3级]]=D78),E78+1,101)</f>
        <v>116</v>
      </c>
      <c r="F79" t="s">
        <v>304</v>
      </c>
      <c r="G79" t="s">
        <v>305</v>
      </c>
      <c r="H79" t="s">
        <v>82</v>
      </c>
      <c r="I79" t="s">
        <v>306</v>
      </c>
      <c r="J79" t="s">
        <v>29</v>
      </c>
      <c r="K79" t="s">
        <v>79</v>
      </c>
      <c r="L79" t="s">
        <v>264</v>
      </c>
      <c r="M79">
        <v>999</v>
      </c>
      <c r="N79">
        <v>999</v>
      </c>
      <c r="P79">
        <v>16</v>
      </c>
    </row>
    <row r="80" spans="1:16" x14ac:dyDescent="0.2">
      <c r="A80" t="str">
        <f ca="1">表_网址[[#This Row],[1级]]&amp;"-"&amp;表_网址[[#This Row],[2级]]&amp;"-"&amp;表_网址[[#This Row],[3级]]&amp;"-"&amp;表_网址[[#This Row],[级内]]</f>
        <v>101-11-16-117</v>
      </c>
      <c r="B80">
        <f>VLOOKUP(表_网址[[#This Row],[首要关键词]],表_首次要关键词[[首要关键词]:[排序]],2,0)</f>
        <v>101</v>
      </c>
      <c r="C80" s="4">
        <f ca="1">IF(表_网址[[#This Row],[次要关键词]]="",10,MATCH(表_网址[[#This Row],[次要关键词]],次要关键词,0)+10)</f>
        <v>11</v>
      </c>
      <c r="D80">
        <f ca="1">IF(表_网址[[#This Row],[重点关键词]]="",10,MATCH(表_网址[[#This Row],[重点关键词]],OFFSET(重点关键词!$A$1,MATCH($J80,首要关键词,0)*50-48,MATCH($K80,次要关键词,0),重点关键词数量,1),0)+10)</f>
        <v>16</v>
      </c>
      <c r="E80">
        <f ca="1">IF(AND(表_网址[[#This Row],[1级]]=B79,表_网址[[#This Row],[2级]]=C79,表_网址[[#This Row],[3级]]=D79),E79+1,101)</f>
        <v>117</v>
      </c>
      <c r="F80" t="s">
        <v>307</v>
      </c>
      <c r="G80" t="s">
        <v>308</v>
      </c>
      <c r="H80" t="s">
        <v>82</v>
      </c>
      <c r="I80" t="s">
        <v>309</v>
      </c>
      <c r="J80" t="s">
        <v>29</v>
      </c>
      <c r="K80" t="s">
        <v>79</v>
      </c>
      <c r="L80" t="s">
        <v>264</v>
      </c>
      <c r="M80">
        <v>999</v>
      </c>
      <c r="N80">
        <v>999</v>
      </c>
      <c r="P80">
        <v>128</v>
      </c>
    </row>
    <row r="81" spans="1:16" x14ac:dyDescent="0.2">
      <c r="A81" t="str">
        <f ca="1">表_网址[[#This Row],[1级]]&amp;"-"&amp;表_网址[[#This Row],[2级]]&amp;"-"&amp;表_网址[[#This Row],[3级]]&amp;"-"&amp;表_网址[[#This Row],[级内]]</f>
        <v>101-11-16-118</v>
      </c>
      <c r="B81">
        <f>VLOOKUP(表_网址[[#This Row],[首要关键词]],表_首次要关键词[[首要关键词]:[排序]],2,0)</f>
        <v>101</v>
      </c>
      <c r="C81" s="4">
        <f ca="1">IF(表_网址[[#This Row],[次要关键词]]="",10,MATCH(表_网址[[#This Row],[次要关键词]],次要关键词,0)+10)</f>
        <v>11</v>
      </c>
      <c r="D81">
        <f ca="1">IF(表_网址[[#This Row],[重点关键词]]="",10,MATCH(表_网址[[#This Row],[重点关键词]],OFFSET(重点关键词!$A$1,MATCH($J81,首要关键词,0)*50-48,MATCH($K81,次要关键词,0),重点关键词数量,1),0)+10)</f>
        <v>16</v>
      </c>
      <c r="E81">
        <f ca="1">IF(AND(表_网址[[#This Row],[1级]]=B80,表_网址[[#This Row],[2级]]=C80,表_网址[[#This Row],[3级]]=D80),E80+1,101)</f>
        <v>118</v>
      </c>
      <c r="F81" t="s">
        <v>310</v>
      </c>
      <c r="G81" t="s">
        <v>311</v>
      </c>
      <c r="H81" t="s">
        <v>82</v>
      </c>
      <c r="I81" t="s">
        <v>312</v>
      </c>
      <c r="J81" t="s">
        <v>29</v>
      </c>
      <c r="K81" t="s">
        <v>79</v>
      </c>
      <c r="L81" t="s">
        <v>264</v>
      </c>
      <c r="M81">
        <v>999</v>
      </c>
    </row>
    <row r="82" spans="1:16" x14ac:dyDescent="0.2">
      <c r="A82" t="str">
        <f ca="1">表_网址[[#This Row],[1级]]&amp;"-"&amp;表_网址[[#This Row],[2级]]&amp;"-"&amp;表_网址[[#This Row],[3级]]&amp;"-"&amp;表_网址[[#This Row],[级内]]</f>
        <v>101-11-16-119</v>
      </c>
      <c r="B82">
        <f>VLOOKUP(表_网址[[#This Row],[首要关键词]],表_首次要关键词[[首要关键词]:[排序]],2,0)</f>
        <v>101</v>
      </c>
      <c r="C82" s="4">
        <f ca="1">IF(表_网址[[#This Row],[次要关键词]]="",10,MATCH(表_网址[[#This Row],[次要关键词]],次要关键词,0)+10)</f>
        <v>11</v>
      </c>
      <c r="D82">
        <f ca="1">IF(表_网址[[#This Row],[重点关键词]]="",10,MATCH(表_网址[[#This Row],[重点关键词]],OFFSET(重点关键词!$A$1,MATCH($J82,首要关键词,0)*50-48,MATCH($K82,次要关键词,0),重点关键词数量,1),0)+10)</f>
        <v>16</v>
      </c>
      <c r="E82">
        <f ca="1">IF(AND(表_网址[[#This Row],[1级]]=B81,表_网址[[#This Row],[2级]]=C81,表_网址[[#This Row],[3级]]=D81),E81+1,101)</f>
        <v>119</v>
      </c>
      <c r="F82" t="s">
        <v>313</v>
      </c>
      <c r="G82" t="s">
        <v>314</v>
      </c>
      <c r="H82" t="s">
        <v>82</v>
      </c>
      <c r="I82" t="s">
        <v>315</v>
      </c>
      <c r="J82" t="s">
        <v>29</v>
      </c>
      <c r="K82" t="s">
        <v>79</v>
      </c>
      <c r="L82" t="s">
        <v>264</v>
      </c>
      <c r="M82">
        <v>999</v>
      </c>
    </row>
    <row r="83" spans="1:16" x14ac:dyDescent="0.2">
      <c r="A83" t="str">
        <f ca="1">表_网址[[#This Row],[1级]]&amp;"-"&amp;表_网址[[#This Row],[2级]]&amp;"-"&amp;表_网址[[#This Row],[3级]]&amp;"-"&amp;表_网址[[#This Row],[级内]]</f>
        <v>101-11-16-120</v>
      </c>
      <c r="B83">
        <f>VLOOKUP(表_网址[[#This Row],[首要关键词]],表_首次要关键词[[首要关键词]:[排序]],2,0)</f>
        <v>101</v>
      </c>
      <c r="C83" s="4">
        <f ca="1">IF(表_网址[[#This Row],[次要关键词]]="",10,MATCH(表_网址[[#This Row],[次要关键词]],次要关键词,0)+10)</f>
        <v>11</v>
      </c>
      <c r="D83">
        <f ca="1">IF(表_网址[[#This Row],[重点关键词]]="",10,MATCH(表_网址[[#This Row],[重点关键词]],OFFSET(重点关键词!$A$1,MATCH($J83,首要关键词,0)*50-48,MATCH($K83,次要关键词,0),重点关键词数量,1),0)+10)</f>
        <v>16</v>
      </c>
      <c r="E83">
        <f ca="1">IF(AND(表_网址[[#This Row],[1级]]=B82,表_网址[[#This Row],[2级]]=C82,表_网址[[#This Row],[3级]]=D82),E82+1,101)</f>
        <v>120</v>
      </c>
      <c r="F83" t="s">
        <v>316</v>
      </c>
      <c r="G83" t="s">
        <v>317</v>
      </c>
      <c r="H83" t="s">
        <v>82</v>
      </c>
      <c r="I83" t="s">
        <v>318</v>
      </c>
      <c r="J83" t="s">
        <v>29</v>
      </c>
      <c r="K83" t="s">
        <v>79</v>
      </c>
      <c r="L83" t="s">
        <v>264</v>
      </c>
      <c r="M83">
        <v>999</v>
      </c>
    </row>
    <row r="84" spans="1:16" x14ac:dyDescent="0.2">
      <c r="A84" t="str">
        <f ca="1">表_网址[[#This Row],[1级]]&amp;"-"&amp;表_网址[[#This Row],[2级]]&amp;"-"&amp;表_网址[[#This Row],[3级]]&amp;"-"&amp;表_网址[[#This Row],[级内]]</f>
        <v>101-11-17-101</v>
      </c>
      <c r="B84">
        <f>VLOOKUP(表_网址[[#This Row],[首要关键词]],表_首次要关键词[[首要关键词]:[排序]],2,0)</f>
        <v>101</v>
      </c>
      <c r="C84" s="4">
        <f ca="1">IF(表_网址[[#This Row],[次要关键词]]="",10,MATCH(表_网址[[#This Row],[次要关键词]],次要关键词,0)+10)</f>
        <v>11</v>
      </c>
      <c r="D84">
        <f ca="1">IF(表_网址[[#This Row],[重点关键词]]="",10,MATCH(表_网址[[#This Row],[重点关键词]],OFFSET(重点关键词!$A$1,MATCH($J84,首要关键词,0)*50-48,MATCH($K84,次要关键词,0),重点关键词数量,1),0)+10)</f>
        <v>17</v>
      </c>
      <c r="E84">
        <f ca="1">IF(AND(表_网址[[#This Row],[1级]]=B83,表_网址[[#This Row],[2级]]=C83,表_网址[[#This Row],[3级]]=D83),E83+1,101)</f>
        <v>101</v>
      </c>
      <c r="F84" t="s">
        <v>319</v>
      </c>
      <c r="G84" t="s">
        <v>320</v>
      </c>
      <c r="H84" t="s">
        <v>321</v>
      </c>
      <c r="I84" t="s">
        <v>322</v>
      </c>
      <c r="J84" t="s">
        <v>29</v>
      </c>
      <c r="K84" t="s">
        <v>79</v>
      </c>
      <c r="L84" t="s">
        <v>323</v>
      </c>
      <c r="M84">
        <v>999</v>
      </c>
      <c r="P84">
        <v>32</v>
      </c>
    </row>
    <row r="85" spans="1:16" x14ac:dyDescent="0.2">
      <c r="A85" t="str">
        <f ca="1">表_网址[[#This Row],[1级]]&amp;"-"&amp;表_网址[[#This Row],[2级]]&amp;"-"&amp;表_网址[[#This Row],[3级]]&amp;"-"&amp;表_网址[[#This Row],[级内]]</f>
        <v>101-11-17-102</v>
      </c>
      <c r="B85">
        <f>VLOOKUP(表_网址[[#This Row],[首要关键词]],表_首次要关键词[[首要关键词]:[排序]],2,0)</f>
        <v>101</v>
      </c>
      <c r="C85" s="4">
        <f ca="1">IF(表_网址[[#This Row],[次要关键词]]="",10,MATCH(表_网址[[#This Row],[次要关键词]],次要关键词,0)+10)</f>
        <v>11</v>
      </c>
      <c r="D85">
        <f ca="1">IF(表_网址[[#This Row],[重点关键词]]="",10,MATCH(表_网址[[#This Row],[重点关键词]],OFFSET(重点关键词!$A$1,MATCH($J85,首要关键词,0)*50-48,MATCH($K85,次要关键词,0),重点关键词数量,1),0)+10)</f>
        <v>17</v>
      </c>
      <c r="E85">
        <f ca="1">IF(AND(表_网址[[#This Row],[1级]]=B84,表_网址[[#This Row],[2级]]=C84,表_网址[[#This Row],[3级]]=D84),E84+1,101)</f>
        <v>102</v>
      </c>
      <c r="F85" t="s">
        <v>324</v>
      </c>
      <c r="G85" t="s">
        <v>325</v>
      </c>
      <c r="H85" t="s">
        <v>326</v>
      </c>
      <c r="I85" t="s">
        <v>82</v>
      </c>
      <c r="J85" t="s">
        <v>29</v>
      </c>
      <c r="K85" t="s">
        <v>79</v>
      </c>
      <c r="L85" t="s">
        <v>323</v>
      </c>
      <c r="M85">
        <v>999</v>
      </c>
    </row>
    <row r="86" spans="1:16" x14ac:dyDescent="0.2">
      <c r="A86" t="str">
        <f ca="1">表_网址[[#This Row],[1级]]&amp;"-"&amp;表_网址[[#This Row],[2级]]&amp;"-"&amp;表_网址[[#This Row],[3级]]&amp;"-"&amp;表_网址[[#This Row],[级内]]</f>
        <v>101-11-17-103</v>
      </c>
      <c r="B86">
        <f>VLOOKUP(表_网址[[#This Row],[首要关键词]],表_首次要关键词[[首要关键词]:[排序]],2,0)</f>
        <v>101</v>
      </c>
      <c r="C86" s="4">
        <f ca="1">IF(表_网址[[#This Row],[次要关键词]]="",10,MATCH(表_网址[[#This Row],[次要关键词]],次要关键词,0)+10)</f>
        <v>11</v>
      </c>
      <c r="D86">
        <f ca="1">IF(表_网址[[#This Row],[重点关键词]]="",10,MATCH(表_网址[[#This Row],[重点关键词]],OFFSET(重点关键词!$A$1,MATCH($J86,首要关键词,0)*50-48,MATCH($K86,次要关键词,0),重点关键词数量,1),0)+10)</f>
        <v>17</v>
      </c>
      <c r="E86">
        <f ca="1">IF(AND(表_网址[[#This Row],[1级]]=B85,表_网址[[#This Row],[2级]]=C85,表_网址[[#This Row],[3级]]=D85),E85+1,101)</f>
        <v>103</v>
      </c>
      <c r="F86" t="s">
        <v>327</v>
      </c>
      <c r="H86" t="s">
        <v>328</v>
      </c>
      <c r="I86" t="s">
        <v>82</v>
      </c>
      <c r="J86" t="s">
        <v>29</v>
      </c>
      <c r="K86" t="s">
        <v>79</v>
      </c>
      <c r="L86" t="s">
        <v>323</v>
      </c>
    </row>
    <row r="87" spans="1:16" x14ac:dyDescent="0.2">
      <c r="A87" t="str">
        <f ca="1">表_网址[[#This Row],[1级]]&amp;"-"&amp;表_网址[[#This Row],[2级]]&amp;"-"&amp;表_网址[[#This Row],[3级]]&amp;"-"&amp;表_网址[[#This Row],[级内]]</f>
        <v>102-10-10-101</v>
      </c>
      <c r="B87">
        <f>VLOOKUP(表_网址[[#This Row],[首要关键词]],表_首次要关键词[[首要关键词]:[排序]],2,0)</f>
        <v>102</v>
      </c>
      <c r="C87" s="4">
        <f>IF(表_网址[[#This Row],[次要关键词]]="",10,MATCH(表_网址[[#This Row],[次要关键词]],次要关键词,0)+10)</f>
        <v>10</v>
      </c>
      <c r="D87">
        <f ca="1">IF(表_网址[[#This Row],[重点关键词]]="",10,MATCH(表_网址[[#This Row],[重点关键词]],OFFSET(重点关键词!$A$1,MATCH($J87,首要关键词,0)*50-48,MATCH($K87,次要关键词,0),重点关键词数量,1),0)+10)</f>
        <v>10</v>
      </c>
      <c r="E87">
        <f ca="1">IF(AND(表_网址[[#This Row],[1级]]=B86,表_网址[[#This Row],[2级]]=C86,表_网址[[#This Row],[3级]]=D86),E86+1,101)</f>
        <v>101</v>
      </c>
      <c r="F87" t="s">
        <v>329</v>
      </c>
      <c r="G87" t="s">
        <v>330</v>
      </c>
      <c r="H87" t="s">
        <v>82</v>
      </c>
      <c r="I87" t="s">
        <v>331</v>
      </c>
      <c r="J87" t="s">
        <v>30</v>
      </c>
      <c r="M87">
        <v>999</v>
      </c>
      <c r="P87">
        <v>16</v>
      </c>
    </row>
    <row r="88" spans="1:16" x14ac:dyDescent="0.2">
      <c r="A88" t="str">
        <f ca="1">表_网址[[#This Row],[1级]]&amp;"-"&amp;表_网址[[#This Row],[2级]]&amp;"-"&amp;表_网址[[#This Row],[3级]]&amp;"-"&amp;表_网址[[#This Row],[级内]]</f>
        <v>102-11-10-101</v>
      </c>
      <c r="B88">
        <f>VLOOKUP(表_网址[[#This Row],[首要关键词]],表_首次要关键词[[首要关键词]:[排序]],2,0)</f>
        <v>102</v>
      </c>
      <c r="C88" s="4">
        <f ca="1">IF(表_网址[[#This Row],[次要关键词]]="",10,MATCH(表_网址[[#This Row],[次要关键词]],次要关键词,0)+10)</f>
        <v>11</v>
      </c>
      <c r="D88">
        <f ca="1">IF(表_网址[[#This Row],[重点关键词]]="",10,MATCH(表_网址[[#This Row],[重点关键词]],OFFSET(重点关键词!$A$1,MATCH($J88,首要关键词,0)*50-48,MATCH($K88,次要关键词,0),重点关键词数量,1),0)+10)</f>
        <v>10</v>
      </c>
      <c r="E88">
        <f ca="1">IF(AND(表_网址[[#This Row],[1级]]=B87,表_网址[[#This Row],[2级]]=C87,表_网址[[#This Row],[3级]]=D87),E87+1,101)</f>
        <v>101</v>
      </c>
      <c r="F88" t="s">
        <v>332</v>
      </c>
      <c r="G88" t="s">
        <v>333</v>
      </c>
      <c r="H88" t="s">
        <v>82</v>
      </c>
      <c r="I88" t="s">
        <v>334</v>
      </c>
      <c r="J88" t="s">
        <v>30</v>
      </c>
      <c r="K88" t="s">
        <v>335</v>
      </c>
      <c r="M88">
        <v>999</v>
      </c>
      <c r="P88">
        <v>25</v>
      </c>
    </row>
    <row r="89" spans="1:16" x14ac:dyDescent="0.2">
      <c r="A89" t="str">
        <f ca="1">表_网址[[#This Row],[1级]]&amp;"-"&amp;表_网址[[#This Row],[2级]]&amp;"-"&amp;表_网址[[#This Row],[3级]]&amp;"-"&amp;表_网址[[#This Row],[级内]]</f>
        <v>102-12-10-101</v>
      </c>
      <c r="B89">
        <f>VLOOKUP(表_网址[[#This Row],[首要关键词]],表_首次要关键词[[首要关键词]:[排序]],2,0)</f>
        <v>102</v>
      </c>
      <c r="C89" s="4">
        <f ca="1">IF(表_网址[[#This Row],[次要关键词]]="",10,MATCH(表_网址[[#This Row],[次要关键词]],次要关键词,0)+10)</f>
        <v>12</v>
      </c>
      <c r="D89">
        <f ca="1">IF(表_网址[[#This Row],[重点关键词]]="",10,MATCH(表_网址[[#This Row],[重点关键词]],OFFSET(重点关键词!$A$1,MATCH($J89,首要关键词,0)*50-48,MATCH($K89,次要关键词,0),重点关键词数量,1),0)+10)</f>
        <v>10</v>
      </c>
      <c r="E89">
        <f ca="1">IF(AND(表_网址[[#This Row],[1级]]=B88,表_网址[[#This Row],[2级]]=C88,表_网址[[#This Row],[3级]]=D88),E88+1,101)</f>
        <v>101</v>
      </c>
      <c r="F89" t="s">
        <v>336</v>
      </c>
      <c r="G89" t="s">
        <v>337</v>
      </c>
      <c r="H89" t="s">
        <v>82</v>
      </c>
      <c r="I89" t="s">
        <v>338</v>
      </c>
      <c r="J89" t="s">
        <v>30</v>
      </c>
      <c r="K89" t="s">
        <v>339</v>
      </c>
      <c r="M89">
        <v>999</v>
      </c>
    </row>
    <row r="90" spans="1:16" x14ac:dyDescent="0.2">
      <c r="A90" t="str">
        <f ca="1">表_网址[[#This Row],[1级]]&amp;"-"&amp;表_网址[[#This Row],[2级]]&amp;"-"&amp;表_网址[[#This Row],[3级]]&amp;"-"&amp;表_网址[[#This Row],[级内]]</f>
        <v>102-13-10-101</v>
      </c>
      <c r="B90">
        <f>VLOOKUP(表_网址[[#This Row],[首要关键词]],表_首次要关键词[[首要关键词]:[排序]],2,0)</f>
        <v>102</v>
      </c>
      <c r="C90" s="4">
        <f ca="1">IF(表_网址[[#This Row],[次要关键词]]="",10,MATCH(表_网址[[#This Row],[次要关键词]],次要关键词,0)+10)</f>
        <v>13</v>
      </c>
      <c r="D90">
        <f ca="1">IF(表_网址[[#This Row],[重点关键词]]="",10,MATCH(表_网址[[#This Row],[重点关键词]],OFFSET(重点关键词!$A$1,MATCH($J90,首要关键词,0)*50-48,MATCH($K90,次要关键词,0),重点关键词数量,1),0)+10)</f>
        <v>10</v>
      </c>
      <c r="E90">
        <f ca="1">IF(AND(表_网址[[#This Row],[1级]]=B89,表_网址[[#This Row],[2级]]=C89,表_网址[[#This Row],[3级]]=D89),E89+1,101)</f>
        <v>101</v>
      </c>
      <c r="F90" t="s">
        <v>340</v>
      </c>
      <c r="G90" t="s">
        <v>341</v>
      </c>
      <c r="H90" t="s">
        <v>82</v>
      </c>
      <c r="I90" t="s">
        <v>342</v>
      </c>
      <c r="J90" t="s">
        <v>30</v>
      </c>
      <c r="K90" t="s">
        <v>343</v>
      </c>
      <c r="M90">
        <v>999</v>
      </c>
    </row>
    <row r="91" spans="1:16" x14ac:dyDescent="0.2">
      <c r="A91" t="str">
        <f ca="1">表_网址[[#This Row],[1级]]&amp;"-"&amp;表_网址[[#This Row],[2级]]&amp;"-"&amp;表_网址[[#This Row],[3级]]&amp;"-"&amp;表_网址[[#This Row],[级内]]</f>
        <v>102-14-10-101</v>
      </c>
      <c r="B91">
        <f>VLOOKUP(表_网址[[#This Row],[首要关键词]],表_首次要关键词[[首要关键词]:[排序]],2,0)</f>
        <v>102</v>
      </c>
      <c r="C91" s="4">
        <f ca="1">IF(表_网址[[#This Row],[次要关键词]]="",10,MATCH(表_网址[[#This Row],[次要关键词]],次要关键词,0)+10)</f>
        <v>14</v>
      </c>
      <c r="D91">
        <f ca="1">IF(表_网址[[#This Row],[重点关键词]]="",10,MATCH(表_网址[[#This Row],[重点关键词]],OFFSET(重点关键词!$A$1,MATCH($J91,首要关键词,0)*50-48,MATCH($K91,次要关键词,0),重点关键词数量,1),0)+10)</f>
        <v>10</v>
      </c>
      <c r="E91">
        <f ca="1">IF(AND(表_网址[[#This Row],[1级]]=B90,表_网址[[#This Row],[2级]]=C90,表_网址[[#This Row],[3级]]=D90),E90+1,101)</f>
        <v>101</v>
      </c>
      <c r="F91" t="s">
        <v>344</v>
      </c>
      <c r="G91" t="s">
        <v>345</v>
      </c>
      <c r="H91" t="s">
        <v>82</v>
      </c>
      <c r="I91" t="s">
        <v>346</v>
      </c>
      <c r="J91" t="s">
        <v>30</v>
      </c>
      <c r="K91" t="s">
        <v>347</v>
      </c>
      <c r="M91">
        <v>999</v>
      </c>
    </row>
    <row r="92" spans="1:16" x14ac:dyDescent="0.2">
      <c r="A92" t="str">
        <f ca="1">表_网址[[#This Row],[1级]]&amp;"-"&amp;表_网址[[#This Row],[2级]]&amp;"-"&amp;表_网址[[#This Row],[3级]]&amp;"-"&amp;表_网址[[#This Row],[级内]]</f>
        <v>102-15-10-101</v>
      </c>
      <c r="B92">
        <f>VLOOKUP(表_网址[[#This Row],[首要关键词]],表_首次要关键词[[首要关键词]:[排序]],2,0)</f>
        <v>102</v>
      </c>
      <c r="C92" s="4">
        <f ca="1">IF(表_网址[[#This Row],[次要关键词]]="",10,MATCH(表_网址[[#This Row],[次要关键词]],次要关键词,0)+10)</f>
        <v>15</v>
      </c>
      <c r="D92">
        <f ca="1">IF(表_网址[[#This Row],[重点关键词]]="",10,MATCH(表_网址[[#This Row],[重点关键词]],OFFSET(重点关键词!$A$1,MATCH($J92,首要关键词,0)*50-48,MATCH($K92,次要关键词,0),重点关键词数量,1),0)+10)</f>
        <v>10</v>
      </c>
      <c r="E92">
        <f ca="1">IF(AND(表_网址[[#This Row],[1级]]=B91,表_网址[[#This Row],[2级]]=C91,表_网址[[#This Row],[3级]]=D91),E91+1,101)</f>
        <v>101</v>
      </c>
      <c r="F92" t="s">
        <v>348</v>
      </c>
      <c r="G92" t="s">
        <v>349</v>
      </c>
      <c r="H92" t="s">
        <v>82</v>
      </c>
      <c r="I92" t="s">
        <v>350</v>
      </c>
      <c r="J92" t="s">
        <v>30</v>
      </c>
      <c r="K92" t="s">
        <v>351</v>
      </c>
      <c r="M92">
        <v>999</v>
      </c>
      <c r="P92">
        <v>241</v>
      </c>
    </row>
    <row r="93" spans="1:16" x14ac:dyDescent="0.2">
      <c r="A93" t="str">
        <f ca="1">表_网址[[#This Row],[1级]]&amp;"-"&amp;表_网址[[#This Row],[2级]]&amp;"-"&amp;表_网址[[#This Row],[3级]]&amp;"-"&amp;表_网址[[#This Row],[级内]]</f>
        <v>102-16-10-101</v>
      </c>
      <c r="B93">
        <f>VLOOKUP(表_网址[[#This Row],[首要关键词]],表_首次要关键词[[首要关键词]:[排序]],2,0)</f>
        <v>102</v>
      </c>
      <c r="C93" s="4">
        <f ca="1">IF(表_网址[[#This Row],[次要关键词]]="",10,MATCH(表_网址[[#This Row],[次要关键词]],次要关键词,0)+10)</f>
        <v>16</v>
      </c>
      <c r="D93">
        <f ca="1">IF(表_网址[[#This Row],[重点关键词]]="",10,MATCH(表_网址[[#This Row],[重点关键词]],OFFSET(重点关键词!$A$1,MATCH($J93,首要关键词,0)*50-48,MATCH($K93,次要关键词,0),重点关键词数量,1),0)+10)</f>
        <v>10</v>
      </c>
      <c r="E93">
        <f ca="1">IF(AND(表_网址[[#This Row],[1级]]=B92,表_网址[[#This Row],[2级]]=C92,表_网址[[#This Row],[3级]]=D92),E92+1,101)</f>
        <v>101</v>
      </c>
      <c r="F93" t="s">
        <v>352</v>
      </c>
      <c r="G93" t="s">
        <v>353</v>
      </c>
      <c r="H93" t="s">
        <v>82</v>
      </c>
      <c r="I93" t="s">
        <v>354</v>
      </c>
      <c r="J93" t="s">
        <v>30</v>
      </c>
      <c r="K93" t="s">
        <v>355</v>
      </c>
      <c r="M93">
        <v>999</v>
      </c>
      <c r="N93">
        <v>999</v>
      </c>
      <c r="P93">
        <v>268</v>
      </c>
    </row>
    <row r="94" spans="1:16" x14ac:dyDescent="0.2">
      <c r="A94" t="str">
        <f ca="1">表_网址[[#This Row],[1级]]&amp;"-"&amp;表_网址[[#This Row],[2级]]&amp;"-"&amp;表_网址[[#This Row],[3级]]&amp;"-"&amp;表_网址[[#This Row],[级内]]</f>
        <v>102-17-10-101</v>
      </c>
      <c r="B94">
        <f>VLOOKUP(表_网址[[#This Row],[首要关键词]],表_首次要关键词[[首要关键词]:[排序]],2,0)</f>
        <v>102</v>
      </c>
      <c r="C94" s="4">
        <f ca="1">IF(表_网址[[#This Row],[次要关键词]]="",10,MATCH(表_网址[[#This Row],[次要关键词]],次要关键词,0)+10)</f>
        <v>17</v>
      </c>
      <c r="D94">
        <f ca="1">IF(表_网址[[#This Row],[重点关键词]]="",10,MATCH(表_网址[[#This Row],[重点关键词]],OFFSET(重点关键词!$A$1,MATCH($J94,首要关键词,0)*50-48,MATCH($K94,次要关键词,0),重点关键词数量,1),0)+10)</f>
        <v>10</v>
      </c>
      <c r="E94">
        <f ca="1">IF(AND(表_网址[[#This Row],[1级]]=B93,表_网址[[#This Row],[2级]]=C93,表_网址[[#This Row],[3级]]=D93),E93+1,101)</f>
        <v>101</v>
      </c>
      <c r="F94" t="s">
        <v>356</v>
      </c>
      <c r="G94" t="s">
        <v>357</v>
      </c>
      <c r="H94" t="s">
        <v>82</v>
      </c>
      <c r="I94" t="s">
        <v>358</v>
      </c>
      <c r="J94" t="s">
        <v>30</v>
      </c>
      <c r="K94" t="s">
        <v>359</v>
      </c>
      <c r="M94">
        <v>999</v>
      </c>
    </row>
    <row r="95" spans="1:16" x14ac:dyDescent="0.2">
      <c r="A95" t="str">
        <f ca="1">表_网址[[#This Row],[1级]]&amp;"-"&amp;表_网址[[#This Row],[2级]]&amp;"-"&amp;表_网址[[#This Row],[3级]]&amp;"-"&amp;表_网址[[#This Row],[级内]]</f>
        <v>102-18-10-101</v>
      </c>
      <c r="B95">
        <f>VLOOKUP(表_网址[[#This Row],[首要关键词]],表_首次要关键词[[首要关键词]:[排序]],2,0)</f>
        <v>102</v>
      </c>
      <c r="C95" s="4">
        <f ca="1">IF(表_网址[[#This Row],[次要关键词]]="",10,MATCH(表_网址[[#This Row],[次要关键词]],次要关键词,0)+10)</f>
        <v>18</v>
      </c>
      <c r="D95">
        <f ca="1">IF(表_网址[[#This Row],[重点关键词]]="",10,MATCH(表_网址[[#This Row],[重点关键词]],OFFSET(重点关键词!$A$1,MATCH($J95,首要关键词,0)*50-48,MATCH($K95,次要关键词,0),重点关键词数量,1),0)+10)</f>
        <v>10</v>
      </c>
      <c r="E95">
        <f ca="1">IF(AND(表_网址[[#This Row],[1级]]=B94,表_网址[[#This Row],[2级]]=C94,表_网址[[#This Row],[3级]]=D94),E94+1,101)</f>
        <v>101</v>
      </c>
      <c r="F95" t="s">
        <v>360</v>
      </c>
      <c r="G95" t="s">
        <v>361</v>
      </c>
      <c r="H95" t="s">
        <v>82</v>
      </c>
      <c r="I95" t="s">
        <v>362</v>
      </c>
      <c r="J95" t="s">
        <v>30</v>
      </c>
      <c r="K95" t="s">
        <v>363</v>
      </c>
      <c r="M95">
        <v>999</v>
      </c>
      <c r="P95">
        <v>16</v>
      </c>
    </row>
    <row r="96" spans="1:16" x14ac:dyDescent="0.2">
      <c r="A96" t="str">
        <f ca="1">表_网址[[#This Row],[1级]]&amp;"-"&amp;表_网址[[#This Row],[2级]]&amp;"-"&amp;表_网址[[#This Row],[3级]]&amp;"-"&amp;表_网址[[#This Row],[级内]]</f>
        <v>102-19-10-101</v>
      </c>
      <c r="B96">
        <f>VLOOKUP(表_网址[[#This Row],[首要关键词]],表_首次要关键词[[首要关键词]:[排序]],2,0)</f>
        <v>102</v>
      </c>
      <c r="C96" s="4">
        <f ca="1">IF(表_网址[[#This Row],[次要关键词]]="",10,MATCH(表_网址[[#This Row],[次要关键词]],次要关键词,0)+10)</f>
        <v>19</v>
      </c>
      <c r="D96">
        <f ca="1">IF(表_网址[[#This Row],[重点关键词]]="",10,MATCH(表_网址[[#This Row],[重点关键词]],OFFSET(重点关键词!$A$1,MATCH($J96,首要关键词,0)*50-48,MATCH($K96,次要关键词,0),重点关键词数量,1),0)+10)</f>
        <v>10</v>
      </c>
      <c r="E96">
        <f ca="1">IF(AND(表_网址[[#This Row],[1级]]=B95,表_网址[[#This Row],[2级]]=C95,表_网址[[#This Row],[3级]]=D95),E95+1,101)</f>
        <v>101</v>
      </c>
      <c r="F96" t="s">
        <v>364</v>
      </c>
      <c r="G96" t="s">
        <v>365</v>
      </c>
      <c r="H96" t="s">
        <v>82</v>
      </c>
      <c r="I96" t="s">
        <v>366</v>
      </c>
      <c r="J96" t="s">
        <v>30</v>
      </c>
      <c r="K96" t="s">
        <v>367</v>
      </c>
      <c r="M96">
        <v>999</v>
      </c>
    </row>
    <row r="97" spans="1:16" x14ac:dyDescent="0.2">
      <c r="A97" t="str">
        <f ca="1">表_网址[[#This Row],[1级]]&amp;"-"&amp;表_网址[[#This Row],[2级]]&amp;"-"&amp;表_网址[[#This Row],[3级]]&amp;"-"&amp;表_网址[[#This Row],[级内]]</f>
        <v>102-20-10-101</v>
      </c>
      <c r="B97">
        <f>VLOOKUP(表_网址[[#This Row],[首要关键词]],表_首次要关键词[[首要关键词]:[排序]],2,0)</f>
        <v>102</v>
      </c>
      <c r="C97" s="4">
        <f ca="1">IF(表_网址[[#This Row],[次要关键词]]="",10,MATCH(表_网址[[#This Row],[次要关键词]],次要关键词,0)+10)</f>
        <v>20</v>
      </c>
      <c r="D97">
        <f ca="1">IF(表_网址[[#This Row],[重点关键词]]="",10,MATCH(表_网址[[#This Row],[重点关键词]],OFFSET(重点关键词!$A$1,MATCH($J97,首要关键词,0)*50-48,MATCH($K97,次要关键词,0),重点关键词数量,1),0)+10)</f>
        <v>10</v>
      </c>
      <c r="E97">
        <f ca="1">IF(AND(表_网址[[#This Row],[1级]]=B96,表_网址[[#This Row],[2级]]=C96,表_网址[[#This Row],[3级]]=D96),E96+1,101)</f>
        <v>101</v>
      </c>
      <c r="F97" t="s">
        <v>368</v>
      </c>
      <c r="G97" t="s">
        <v>369</v>
      </c>
      <c r="H97" t="s">
        <v>82</v>
      </c>
      <c r="I97" t="s">
        <v>370</v>
      </c>
      <c r="J97" t="s">
        <v>30</v>
      </c>
      <c r="K97" t="s">
        <v>371</v>
      </c>
      <c r="M97">
        <v>999</v>
      </c>
    </row>
    <row r="98" spans="1:16" x14ac:dyDescent="0.2">
      <c r="A98" t="str">
        <f ca="1">表_网址[[#This Row],[1级]]&amp;"-"&amp;表_网址[[#This Row],[2级]]&amp;"-"&amp;表_网址[[#This Row],[3级]]&amp;"-"&amp;表_网址[[#This Row],[级内]]</f>
        <v>102-21-10-101</v>
      </c>
      <c r="B98">
        <f>VLOOKUP(表_网址[[#This Row],[首要关键词]],表_首次要关键词[[首要关键词]:[排序]],2,0)</f>
        <v>102</v>
      </c>
      <c r="C98" s="4">
        <f ca="1">IF(表_网址[[#This Row],[次要关键词]]="",10,MATCH(表_网址[[#This Row],[次要关键词]],次要关键词,0)+10)</f>
        <v>21</v>
      </c>
      <c r="D98">
        <f ca="1">IF(表_网址[[#This Row],[重点关键词]]="",10,MATCH(表_网址[[#This Row],[重点关键词]],OFFSET(重点关键词!$A$1,MATCH($J98,首要关键词,0)*50-48,MATCH($K98,次要关键词,0),重点关键词数量,1),0)+10)</f>
        <v>10</v>
      </c>
      <c r="E98">
        <f ca="1">IF(AND(表_网址[[#This Row],[1级]]=B97,表_网址[[#This Row],[2级]]=C97,表_网址[[#This Row],[3级]]=D97),E97+1,101)</f>
        <v>101</v>
      </c>
      <c r="F98" t="s">
        <v>372</v>
      </c>
      <c r="G98" t="s">
        <v>373</v>
      </c>
      <c r="H98" t="s">
        <v>82</v>
      </c>
      <c r="I98" t="s">
        <v>374</v>
      </c>
      <c r="J98" t="s">
        <v>30</v>
      </c>
      <c r="K98" t="s">
        <v>375</v>
      </c>
      <c r="M98">
        <v>999</v>
      </c>
      <c r="P98">
        <v>25</v>
      </c>
    </row>
    <row r="99" spans="1:16" x14ac:dyDescent="0.2">
      <c r="A99" t="str">
        <f ca="1">表_网址[[#This Row],[1级]]&amp;"-"&amp;表_网址[[#This Row],[2级]]&amp;"-"&amp;表_网址[[#This Row],[3级]]&amp;"-"&amp;表_网址[[#This Row],[级内]]</f>
        <v>102-22-10-101</v>
      </c>
      <c r="B99">
        <f>VLOOKUP(表_网址[[#This Row],[首要关键词]],表_首次要关键词[[首要关键词]:[排序]],2,0)</f>
        <v>102</v>
      </c>
      <c r="C99" s="4">
        <f ca="1">IF(表_网址[[#This Row],[次要关键词]]="",10,MATCH(表_网址[[#This Row],[次要关键词]],次要关键词,0)+10)</f>
        <v>22</v>
      </c>
      <c r="D99">
        <f ca="1">IF(表_网址[[#This Row],[重点关键词]]="",10,MATCH(表_网址[[#This Row],[重点关键词]],OFFSET(重点关键词!$A$1,MATCH($J99,首要关键词,0)*50-48,MATCH($K99,次要关键词,0),重点关键词数量,1),0)+10)</f>
        <v>10</v>
      </c>
      <c r="E99">
        <f ca="1">IF(AND(表_网址[[#This Row],[1级]]=B98,表_网址[[#This Row],[2级]]=C98,表_网址[[#This Row],[3级]]=D98),E98+1,101)</f>
        <v>101</v>
      </c>
      <c r="F99" t="s">
        <v>376</v>
      </c>
      <c r="G99" t="s">
        <v>377</v>
      </c>
      <c r="H99" t="s">
        <v>82</v>
      </c>
      <c r="I99" t="s">
        <v>378</v>
      </c>
      <c r="J99" t="s">
        <v>30</v>
      </c>
      <c r="K99" t="s">
        <v>379</v>
      </c>
      <c r="M99">
        <v>999</v>
      </c>
      <c r="P99">
        <v>32</v>
      </c>
    </row>
    <row r="100" spans="1:16" x14ac:dyDescent="0.2">
      <c r="A100" t="str">
        <f ca="1">表_网址[[#This Row],[1级]]&amp;"-"&amp;表_网址[[#This Row],[2级]]&amp;"-"&amp;表_网址[[#This Row],[3级]]&amp;"-"&amp;表_网址[[#This Row],[级内]]</f>
        <v>102-23-10-101</v>
      </c>
      <c r="B100">
        <f>VLOOKUP(表_网址[[#This Row],[首要关键词]],表_首次要关键词[[首要关键词]:[排序]],2,0)</f>
        <v>102</v>
      </c>
      <c r="C100" s="4">
        <f ca="1">IF(表_网址[[#This Row],[次要关键词]]="",10,MATCH(表_网址[[#This Row],[次要关键词]],次要关键词,0)+10)</f>
        <v>23</v>
      </c>
      <c r="D100">
        <f ca="1">IF(表_网址[[#This Row],[重点关键词]]="",10,MATCH(表_网址[[#This Row],[重点关键词]],OFFSET(重点关键词!$A$1,MATCH($J100,首要关键词,0)*50-48,MATCH($K100,次要关键词,0),重点关键词数量,1),0)+10)</f>
        <v>10</v>
      </c>
      <c r="E100">
        <f ca="1">IF(AND(表_网址[[#This Row],[1级]]=B99,表_网址[[#This Row],[2级]]=C99,表_网址[[#This Row],[3级]]=D99),E99+1,101)</f>
        <v>101</v>
      </c>
      <c r="F100" t="s">
        <v>380</v>
      </c>
      <c r="G100" t="s">
        <v>381</v>
      </c>
      <c r="H100" t="s">
        <v>82</v>
      </c>
      <c r="I100" t="s">
        <v>382</v>
      </c>
      <c r="J100" t="s">
        <v>30</v>
      </c>
      <c r="K100" t="s">
        <v>383</v>
      </c>
      <c r="M100">
        <v>999</v>
      </c>
      <c r="P100">
        <v>32</v>
      </c>
    </row>
    <row r="101" spans="1:16" x14ac:dyDescent="0.2">
      <c r="A101" t="str">
        <f ca="1">表_网址[[#This Row],[1级]]&amp;"-"&amp;表_网址[[#This Row],[2级]]&amp;"-"&amp;表_网址[[#This Row],[3级]]&amp;"-"&amp;表_网址[[#This Row],[级内]]</f>
        <v>102-23-11-101</v>
      </c>
      <c r="B101">
        <f>VLOOKUP(表_网址[[#This Row],[首要关键词]],表_首次要关键词[[首要关键词]:[排序]],2,0)</f>
        <v>102</v>
      </c>
      <c r="C101" s="4">
        <f ca="1">IF(表_网址[[#This Row],[次要关键词]]="",10,MATCH(表_网址[[#This Row],[次要关键词]],次要关键词,0)+10)</f>
        <v>23</v>
      </c>
      <c r="D101">
        <f ca="1">IF(表_网址[[#This Row],[重点关键词]]="",10,MATCH(表_网址[[#This Row],[重点关键词]],OFFSET(重点关键词!$A$1,MATCH($J101,首要关键词,0)*50-48,MATCH($K101,次要关键词,0),重点关键词数量,1),0)+10)</f>
        <v>11</v>
      </c>
      <c r="E101">
        <f ca="1">IF(AND(表_网址[[#This Row],[1级]]=B100,表_网址[[#This Row],[2级]]=C100,表_网址[[#This Row],[3级]]=D100),E100+1,101)</f>
        <v>101</v>
      </c>
      <c r="F101" t="s">
        <v>384</v>
      </c>
      <c r="G101" t="s">
        <v>385</v>
      </c>
      <c r="H101" t="s">
        <v>82</v>
      </c>
      <c r="I101" t="s">
        <v>386</v>
      </c>
      <c r="J101" t="s">
        <v>30</v>
      </c>
      <c r="K101" t="s">
        <v>383</v>
      </c>
      <c r="L101" t="s">
        <v>387</v>
      </c>
      <c r="M101">
        <v>999</v>
      </c>
      <c r="N101">
        <v>999</v>
      </c>
      <c r="P101">
        <v>40</v>
      </c>
    </row>
    <row r="102" spans="1:16" x14ac:dyDescent="0.2">
      <c r="A102" t="str">
        <f ca="1">表_网址[[#This Row],[1级]]&amp;"-"&amp;表_网址[[#This Row],[2级]]&amp;"-"&amp;表_网址[[#This Row],[3级]]&amp;"-"&amp;表_网址[[#This Row],[级内]]</f>
        <v>102-23-12-101</v>
      </c>
      <c r="B102">
        <f>VLOOKUP(表_网址[[#This Row],[首要关键词]],表_首次要关键词[[首要关键词]:[排序]],2,0)</f>
        <v>102</v>
      </c>
      <c r="C102" s="4">
        <f ca="1">IF(表_网址[[#This Row],[次要关键词]]="",10,MATCH(表_网址[[#This Row],[次要关键词]],次要关键词,0)+10)</f>
        <v>23</v>
      </c>
      <c r="D102">
        <f ca="1">IF(表_网址[[#This Row],[重点关键词]]="",10,MATCH(表_网址[[#This Row],[重点关键词]],OFFSET(重点关键词!$A$1,MATCH($J102,首要关键词,0)*50-48,MATCH($K102,次要关键词,0),重点关键词数量,1),0)+10)</f>
        <v>12</v>
      </c>
      <c r="E102">
        <f ca="1">IF(AND(表_网址[[#This Row],[1级]]=B101,表_网址[[#This Row],[2级]]=C101,表_网址[[#This Row],[3级]]=D101),E101+1,101)</f>
        <v>101</v>
      </c>
      <c r="F102" t="s">
        <v>388</v>
      </c>
      <c r="G102" t="s">
        <v>389</v>
      </c>
      <c r="H102" t="s">
        <v>82</v>
      </c>
      <c r="I102" t="s">
        <v>390</v>
      </c>
      <c r="J102" t="s">
        <v>30</v>
      </c>
      <c r="K102" t="s">
        <v>383</v>
      </c>
      <c r="L102" t="s">
        <v>391</v>
      </c>
      <c r="M102">
        <v>999</v>
      </c>
    </row>
    <row r="103" spans="1:16" x14ac:dyDescent="0.2">
      <c r="A103" t="str">
        <f ca="1">表_网址[[#This Row],[1级]]&amp;"-"&amp;表_网址[[#This Row],[2级]]&amp;"-"&amp;表_网址[[#This Row],[3级]]&amp;"-"&amp;表_网址[[#This Row],[级内]]</f>
        <v>102-23-13-101</v>
      </c>
      <c r="B103">
        <f>VLOOKUP(表_网址[[#This Row],[首要关键词]],表_首次要关键词[[首要关键词]:[排序]],2,0)</f>
        <v>102</v>
      </c>
      <c r="C103" s="4">
        <f ca="1">IF(表_网址[[#This Row],[次要关键词]]="",10,MATCH(表_网址[[#This Row],[次要关键词]],次要关键词,0)+10)</f>
        <v>23</v>
      </c>
      <c r="D103">
        <f ca="1">IF(表_网址[[#This Row],[重点关键词]]="",10,MATCH(表_网址[[#This Row],[重点关键词]],OFFSET(重点关键词!$A$1,MATCH($J103,首要关键词,0)*50-48,MATCH($K103,次要关键词,0),重点关键词数量,1),0)+10)</f>
        <v>13</v>
      </c>
      <c r="E103">
        <f ca="1">IF(AND(表_网址[[#This Row],[1级]]=B102,表_网址[[#This Row],[2级]]=C102,表_网址[[#This Row],[3级]]=D102),E102+1,101)</f>
        <v>101</v>
      </c>
      <c r="F103" t="s">
        <v>392</v>
      </c>
      <c r="G103" t="s">
        <v>393</v>
      </c>
      <c r="H103" t="s">
        <v>82</v>
      </c>
      <c r="I103" t="s">
        <v>394</v>
      </c>
      <c r="J103" t="s">
        <v>30</v>
      </c>
      <c r="K103" t="s">
        <v>383</v>
      </c>
      <c r="L103" t="s">
        <v>395</v>
      </c>
      <c r="M103">
        <v>999</v>
      </c>
    </row>
    <row r="104" spans="1:16" x14ac:dyDescent="0.2">
      <c r="A104" t="str">
        <f ca="1">表_网址[[#This Row],[1级]]&amp;"-"&amp;表_网址[[#This Row],[2级]]&amp;"-"&amp;表_网址[[#This Row],[3级]]&amp;"-"&amp;表_网址[[#This Row],[级内]]</f>
        <v>102-23-14-101</v>
      </c>
      <c r="B104">
        <f>VLOOKUP(表_网址[[#This Row],[首要关键词]],表_首次要关键词[[首要关键词]:[排序]],2,0)</f>
        <v>102</v>
      </c>
      <c r="C104" s="4">
        <f ca="1">IF(表_网址[[#This Row],[次要关键词]]="",10,MATCH(表_网址[[#This Row],[次要关键词]],次要关键词,0)+10)</f>
        <v>23</v>
      </c>
      <c r="D104">
        <f ca="1">IF(表_网址[[#This Row],[重点关键词]]="",10,MATCH(表_网址[[#This Row],[重点关键词]],OFFSET(重点关键词!$A$1,MATCH($J104,首要关键词,0)*50-48,MATCH($K104,次要关键词,0),重点关键词数量,1),0)+10)</f>
        <v>14</v>
      </c>
      <c r="E104">
        <f ca="1">IF(AND(表_网址[[#This Row],[1级]]=B103,表_网址[[#This Row],[2级]]=C103,表_网址[[#This Row],[3级]]=D103),E103+1,101)</f>
        <v>101</v>
      </c>
      <c r="F104" t="s">
        <v>396</v>
      </c>
      <c r="G104" t="s">
        <v>397</v>
      </c>
      <c r="H104" t="s">
        <v>82</v>
      </c>
      <c r="I104" t="s">
        <v>398</v>
      </c>
      <c r="J104" t="s">
        <v>30</v>
      </c>
      <c r="K104" t="s">
        <v>383</v>
      </c>
      <c r="L104" t="s">
        <v>399</v>
      </c>
      <c r="M104">
        <v>999</v>
      </c>
    </row>
    <row r="105" spans="1:16" x14ac:dyDescent="0.2">
      <c r="A105" t="str">
        <f ca="1">表_网址[[#This Row],[1级]]&amp;"-"&amp;表_网址[[#This Row],[2级]]&amp;"-"&amp;表_网址[[#This Row],[3级]]&amp;"-"&amp;表_网址[[#This Row],[级内]]</f>
        <v>102-23-14-102</v>
      </c>
      <c r="B105">
        <f>VLOOKUP(表_网址[[#This Row],[首要关键词]],表_首次要关键词[[首要关键词]:[排序]],2,0)</f>
        <v>102</v>
      </c>
      <c r="C105" s="4">
        <f ca="1">IF(表_网址[[#This Row],[次要关键词]]="",10,MATCH(表_网址[[#This Row],[次要关键词]],次要关键词,0)+10)</f>
        <v>23</v>
      </c>
      <c r="D105">
        <f ca="1">IF(表_网址[[#This Row],[重点关键词]]="",10,MATCH(表_网址[[#This Row],[重点关键词]],OFFSET(重点关键词!$A$1,MATCH($J105,首要关键词,0)*50-48,MATCH($K105,次要关键词,0),重点关键词数量,1),0)+10)</f>
        <v>14</v>
      </c>
      <c r="E105">
        <f ca="1">IF(AND(表_网址[[#This Row],[1级]]=B104,表_网址[[#This Row],[2级]]=C104,表_网址[[#This Row],[3级]]=D104),E104+1,101)</f>
        <v>102</v>
      </c>
      <c r="F105" t="s">
        <v>400</v>
      </c>
      <c r="G105" t="s">
        <v>401</v>
      </c>
      <c r="H105" t="s">
        <v>82</v>
      </c>
      <c r="I105" t="s">
        <v>402</v>
      </c>
      <c r="J105" t="s">
        <v>30</v>
      </c>
      <c r="K105" t="s">
        <v>383</v>
      </c>
      <c r="L105" t="s">
        <v>399</v>
      </c>
      <c r="M105">
        <v>999</v>
      </c>
      <c r="N105">
        <v>999</v>
      </c>
      <c r="P105">
        <v>16</v>
      </c>
    </row>
    <row r="106" spans="1:16" x14ac:dyDescent="0.2">
      <c r="A106" t="str">
        <f ca="1">表_网址[[#This Row],[1级]]&amp;"-"&amp;表_网址[[#This Row],[2级]]&amp;"-"&amp;表_网址[[#This Row],[3级]]&amp;"-"&amp;表_网址[[#This Row],[级内]]</f>
        <v>102-23-15-101</v>
      </c>
      <c r="B106">
        <f>VLOOKUP(表_网址[[#This Row],[首要关键词]],表_首次要关键词[[首要关键词]:[排序]],2,0)</f>
        <v>102</v>
      </c>
      <c r="C106" s="4">
        <f ca="1">IF(表_网址[[#This Row],[次要关键词]]="",10,MATCH(表_网址[[#This Row],[次要关键词]],次要关键词,0)+10)</f>
        <v>23</v>
      </c>
      <c r="D106">
        <f ca="1">IF(表_网址[[#This Row],[重点关键词]]="",10,MATCH(表_网址[[#This Row],[重点关键词]],OFFSET(重点关键词!$A$1,MATCH($J106,首要关键词,0)*50-48,MATCH($K106,次要关键词,0),重点关键词数量,1),0)+10)</f>
        <v>15</v>
      </c>
      <c r="E106">
        <f ca="1">IF(AND(表_网址[[#This Row],[1级]]=B105,表_网址[[#This Row],[2级]]=C105,表_网址[[#This Row],[3级]]=D105),E105+1,101)</f>
        <v>101</v>
      </c>
      <c r="F106" t="s">
        <v>403</v>
      </c>
      <c r="G106" t="s">
        <v>404</v>
      </c>
      <c r="H106" t="s">
        <v>82</v>
      </c>
      <c r="I106" t="s">
        <v>405</v>
      </c>
      <c r="J106" t="s">
        <v>30</v>
      </c>
      <c r="K106" t="s">
        <v>383</v>
      </c>
      <c r="L106" t="s">
        <v>406</v>
      </c>
      <c r="M106">
        <v>999</v>
      </c>
    </row>
    <row r="107" spans="1:16" x14ac:dyDescent="0.2">
      <c r="A107" t="str">
        <f ca="1">表_网址[[#This Row],[1级]]&amp;"-"&amp;表_网址[[#This Row],[2级]]&amp;"-"&amp;表_网址[[#This Row],[3级]]&amp;"-"&amp;表_网址[[#This Row],[级内]]</f>
        <v>102-23-16-101</v>
      </c>
      <c r="B107">
        <f>VLOOKUP(表_网址[[#This Row],[首要关键词]],表_首次要关键词[[首要关键词]:[排序]],2,0)</f>
        <v>102</v>
      </c>
      <c r="C107" s="4">
        <f ca="1">IF(表_网址[[#This Row],[次要关键词]]="",10,MATCH(表_网址[[#This Row],[次要关键词]],次要关键词,0)+10)</f>
        <v>23</v>
      </c>
      <c r="D107">
        <f ca="1">IF(表_网址[[#This Row],[重点关键词]]="",10,MATCH(表_网址[[#This Row],[重点关键词]],OFFSET(重点关键词!$A$1,MATCH($J107,首要关键词,0)*50-48,MATCH($K107,次要关键词,0),重点关键词数量,1),0)+10)</f>
        <v>16</v>
      </c>
      <c r="E107">
        <f ca="1">IF(AND(表_网址[[#This Row],[1级]]=B106,表_网址[[#This Row],[2级]]=C106,表_网址[[#This Row],[3级]]=D106),E106+1,101)</f>
        <v>101</v>
      </c>
      <c r="F107" t="s">
        <v>407</v>
      </c>
      <c r="G107" t="s">
        <v>408</v>
      </c>
      <c r="H107" t="s">
        <v>82</v>
      </c>
      <c r="I107" t="s">
        <v>409</v>
      </c>
      <c r="J107" t="s">
        <v>30</v>
      </c>
      <c r="K107" t="s">
        <v>383</v>
      </c>
      <c r="L107" t="s">
        <v>410</v>
      </c>
      <c r="M107">
        <v>999</v>
      </c>
    </row>
    <row r="108" spans="1:16" x14ac:dyDescent="0.2">
      <c r="A108" t="str">
        <f ca="1">表_网址[[#This Row],[1级]]&amp;"-"&amp;表_网址[[#This Row],[2级]]&amp;"-"&amp;表_网址[[#This Row],[3级]]&amp;"-"&amp;表_网址[[#This Row],[级内]]</f>
        <v>102-23-17-101</v>
      </c>
      <c r="B108">
        <f>VLOOKUP(表_网址[[#This Row],[首要关键词]],表_首次要关键词[[首要关键词]:[排序]],2,0)</f>
        <v>102</v>
      </c>
      <c r="C108" s="4">
        <f ca="1">IF(表_网址[[#This Row],[次要关键词]]="",10,MATCH(表_网址[[#This Row],[次要关键词]],次要关键词,0)+10)</f>
        <v>23</v>
      </c>
      <c r="D108">
        <f ca="1">IF(表_网址[[#This Row],[重点关键词]]="",10,MATCH(表_网址[[#This Row],[重点关键词]],OFFSET(重点关键词!$A$1,MATCH($J108,首要关键词,0)*50-48,MATCH($K108,次要关键词,0),重点关键词数量,1),0)+10)</f>
        <v>17</v>
      </c>
      <c r="E108">
        <f ca="1">IF(AND(表_网址[[#This Row],[1级]]=B107,表_网址[[#This Row],[2级]]=C107,表_网址[[#This Row],[3级]]=D107),E107+1,101)</f>
        <v>101</v>
      </c>
      <c r="F108" t="s">
        <v>411</v>
      </c>
      <c r="G108" t="s">
        <v>412</v>
      </c>
      <c r="H108" t="s">
        <v>82</v>
      </c>
      <c r="I108" t="s">
        <v>413</v>
      </c>
      <c r="J108" t="s">
        <v>30</v>
      </c>
      <c r="K108" t="s">
        <v>383</v>
      </c>
      <c r="L108" t="s">
        <v>414</v>
      </c>
      <c r="M108">
        <v>999</v>
      </c>
    </row>
    <row r="109" spans="1:16" x14ac:dyDescent="0.2">
      <c r="A109" t="str">
        <f ca="1">表_网址[[#This Row],[1级]]&amp;"-"&amp;表_网址[[#This Row],[2级]]&amp;"-"&amp;表_网址[[#This Row],[3级]]&amp;"-"&amp;表_网址[[#This Row],[级内]]</f>
        <v>102-23-18-101</v>
      </c>
      <c r="B109">
        <f>VLOOKUP(表_网址[[#This Row],[首要关键词]],表_首次要关键词[[首要关键词]:[排序]],2,0)</f>
        <v>102</v>
      </c>
      <c r="C109" s="4">
        <f ca="1">IF(表_网址[[#This Row],[次要关键词]]="",10,MATCH(表_网址[[#This Row],[次要关键词]],次要关键词,0)+10)</f>
        <v>23</v>
      </c>
      <c r="D109">
        <f ca="1">IF(表_网址[[#This Row],[重点关键词]]="",10,MATCH(表_网址[[#This Row],[重点关键词]],OFFSET(重点关键词!$A$1,MATCH($J109,首要关键词,0)*50-48,MATCH($K109,次要关键词,0),重点关键词数量,1),0)+10)</f>
        <v>18</v>
      </c>
      <c r="E109">
        <f ca="1">IF(AND(表_网址[[#This Row],[1级]]=B108,表_网址[[#This Row],[2级]]=C108,表_网址[[#This Row],[3级]]=D108),E108+1,101)</f>
        <v>101</v>
      </c>
      <c r="F109" t="s">
        <v>415</v>
      </c>
      <c r="G109" t="s">
        <v>416</v>
      </c>
      <c r="H109" t="s">
        <v>82</v>
      </c>
      <c r="I109" t="s">
        <v>417</v>
      </c>
      <c r="J109" t="s">
        <v>30</v>
      </c>
      <c r="K109" t="s">
        <v>383</v>
      </c>
      <c r="L109" t="s">
        <v>418</v>
      </c>
      <c r="M109">
        <v>999</v>
      </c>
    </row>
    <row r="110" spans="1:16" x14ac:dyDescent="0.2">
      <c r="A110" t="str">
        <f ca="1">表_网址[[#This Row],[1级]]&amp;"-"&amp;表_网址[[#This Row],[2级]]&amp;"-"&amp;表_网址[[#This Row],[3级]]&amp;"-"&amp;表_网址[[#This Row],[级内]]</f>
        <v>102-23-19-101</v>
      </c>
      <c r="B110">
        <f>VLOOKUP(表_网址[[#This Row],[首要关键词]],表_首次要关键词[[首要关键词]:[排序]],2,0)</f>
        <v>102</v>
      </c>
      <c r="C110" s="4">
        <f ca="1">IF(表_网址[[#This Row],[次要关键词]]="",10,MATCH(表_网址[[#This Row],[次要关键词]],次要关键词,0)+10)</f>
        <v>23</v>
      </c>
      <c r="D110">
        <f ca="1">IF(表_网址[[#This Row],[重点关键词]]="",10,MATCH(表_网址[[#This Row],[重点关键词]],OFFSET(重点关键词!$A$1,MATCH($J110,首要关键词,0)*50-48,MATCH($K110,次要关键词,0),重点关键词数量,1),0)+10)</f>
        <v>19</v>
      </c>
      <c r="E110">
        <f ca="1">IF(AND(表_网址[[#This Row],[1级]]=B109,表_网址[[#This Row],[2级]]=C109,表_网址[[#This Row],[3级]]=D109),E109+1,101)</f>
        <v>101</v>
      </c>
      <c r="F110" t="s">
        <v>419</v>
      </c>
      <c r="G110" t="s">
        <v>420</v>
      </c>
      <c r="H110" t="s">
        <v>82</v>
      </c>
      <c r="I110" t="s">
        <v>421</v>
      </c>
      <c r="J110" t="s">
        <v>30</v>
      </c>
      <c r="K110" t="s">
        <v>383</v>
      </c>
      <c r="L110" t="s">
        <v>422</v>
      </c>
      <c r="M110">
        <v>999</v>
      </c>
    </row>
    <row r="111" spans="1:16" x14ac:dyDescent="0.2">
      <c r="A111" t="str">
        <f ca="1">表_网址[[#This Row],[1级]]&amp;"-"&amp;表_网址[[#This Row],[2级]]&amp;"-"&amp;表_网址[[#This Row],[3级]]&amp;"-"&amp;表_网址[[#This Row],[级内]]</f>
        <v>102-23-20-101</v>
      </c>
      <c r="B111">
        <f>VLOOKUP(表_网址[[#This Row],[首要关键词]],表_首次要关键词[[首要关键词]:[排序]],2,0)</f>
        <v>102</v>
      </c>
      <c r="C111" s="4">
        <f ca="1">IF(表_网址[[#This Row],[次要关键词]]="",10,MATCH(表_网址[[#This Row],[次要关键词]],次要关键词,0)+10)</f>
        <v>23</v>
      </c>
      <c r="D111">
        <f ca="1">IF(表_网址[[#This Row],[重点关键词]]="",10,MATCH(表_网址[[#This Row],[重点关键词]],OFFSET(重点关键词!$A$1,MATCH($J111,首要关键词,0)*50-48,MATCH($K111,次要关键词,0),重点关键词数量,1),0)+10)</f>
        <v>20</v>
      </c>
      <c r="E111">
        <f ca="1">IF(AND(表_网址[[#This Row],[1级]]=B110,表_网址[[#This Row],[2级]]=C110,表_网址[[#This Row],[3级]]=D110),E110+1,101)</f>
        <v>101</v>
      </c>
      <c r="F111" t="s">
        <v>423</v>
      </c>
      <c r="G111" t="s">
        <v>424</v>
      </c>
      <c r="H111" t="s">
        <v>82</v>
      </c>
      <c r="I111" t="s">
        <v>425</v>
      </c>
      <c r="J111" t="s">
        <v>30</v>
      </c>
      <c r="K111" t="s">
        <v>383</v>
      </c>
      <c r="L111" t="s">
        <v>426</v>
      </c>
      <c r="M111">
        <v>999</v>
      </c>
    </row>
    <row r="112" spans="1:16" x14ac:dyDescent="0.2">
      <c r="A112" t="str">
        <f ca="1">表_网址[[#This Row],[1级]]&amp;"-"&amp;表_网址[[#This Row],[2级]]&amp;"-"&amp;表_网址[[#This Row],[3级]]&amp;"-"&amp;表_网址[[#This Row],[级内]]</f>
        <v>102-23-21-101</v>
      </c>
      <c r="B112">
        <f>VLOOKUP(表_网址[[#This Row],[首要关键词]],表_首次要关键词[[首要关键词]:[排序]],2,0)</f>
        <v>102</v>
      </c>
      <c r="C112" s="4">
        <f ca="1">IF(表_网址[[#This Row],[次要关键词]]="",10,MATCH(表_网址[[#This Row],[次要关键词]],次要关键词,0)+10)</f>
        <v>23</v>
      </c>
      <c r="D112">
        <f ca="1">IF(表_网址[[#This Row],[重点关键词]]="",10,MATCH(表_网址[[#This Row],[重点关键词]],OFFSET(重点关键词!$A$1,MATCH($J112,首要关键词,0)*50-48,MATCH($K112,次要关键词,0),重点关键词数量,1),0)+10)</f>
        <v>21</v>
      </c>
      <c r="E112">
        <f ca="1">IF(AND(表_网址[[#This Row],[1级]]=B111,表_网址[[#This Row],[2级]]=C111,表_网址[[#This Row],[3级]]=D111),E111+1,101)</f>
        <v>101</v>
      </c>
      <c r="F112" t="s">
        <v>427</v>
      </c>
      <c r="G112" t="s">
        <v>428</v>
      </c>
      <c r="H112" t="s">
        <v>82</v>
      </c>
      <c r="I112" t="s">
        <v>429</v>
      </c>
      <c r="J112" t="s">
        <v>30</v>
      </c>
      <c r="K112" t="s">
        <v>383</v>
      </c>
      <c r="L112" t="s">
        <v>430</v>
      </c>
      <c r="M112">
        <v>999</v>
      </c>
    </row>
    <row r="113" spans="1:16" x14ac:dyDescent="0.2">
      <c r="A113" t="str">
        <f ca="1">表_网址[[#This Row],[1级]]&amp;"-"&amp;表_网址[[#This Row],[2级]]&amp;"-"&amp;表_网址[[#This Row],[3级]]&amp;"-"&amp;表_网址[[#This Row],[级内]]</f>
        <v>102-23-22-101</v>
      </c>
      <c r="B113">
        <f>VLOOKUP(表_网址[[#This Row],[首要关键词]],表_首次要关键词[[首要关键词]:[排序]],2,0)</f>
        <v>102</v>
      </c>
      <c r="C113" s="4">
        <f ca="1">IF(表_网址[[#This Row],[次要关键词]]="",10,MATCH(表_网址[[#This Row],[次要关键词]],次要关键词,0)+10)</f>
        <v>23</v>
      </c>
      <c r="D113">
        <f ca="1">IF(表_网址[[#This Row],[重点关键词]]="",10,MATCH(表_网址[[#This Row],[重点关键词]],OFFSET(重点关键词!$A$1,MATCH($J113,首要关键词,0)*50-48,MATCH($K113,次要关键词,0),重点关键词数量,1),0)+10)</f>
        <v>22</v>
      </c>
      <c r="E113">
        <f ca="1">IF(AND(表_网址[[#This Row],[1级]]=B112,表_网址[[#This Row],[2级]]=C112,表_网址[[#This Row],[3级]]=D112),E112+1,101)</f>
        <v>101</v>
      </c>
      <c r="F113" t="s">
        <v>431</v>
      </c>
      <c r="G113" t="s">
        <v>432</v>
      </c>
      <c r="H113" t="s">
        <v>82</v>
      </c>
      <c r="I113" t="s">
        <v>433</v>
      </c>
      <c r="J113" t="s">
        <v>30</v>
      </c>
      <c r="K113" t="s">
        <v>383</v>
      </c>
      <c r="L113" t="s">
        <v>434</v>
      </c>
      <c r="M113">
        <v>999</v>
      </c>
    </row>
    <row r="114" spans="1:16" x14ac:dyDescent="0.2">
      <c r="A114" t="str">
        <f ca="1">表_网址[[#This Row],[1级]]&amp;"-"&amp;表_网址[[#This Row],[2级]]&amp;"-"&amp;表_网址[[#This Row],[3级]]&amp;"-"&amp;表_网址[[#This Row],[级内]]</f>
        <v>102-23-23-101</v>
      </c>
      <c r="B114">
        <f>VLOOKUP(表_网址[[#This Row],[首要关键词]],表_首次要关键词[[首要关键词]:[排序]],2,0)</f>
        <v>102</v>
      </c>
      <c r="C114" s="4">
        <f ca="1">IF(表_网址[[#This Row],[次要关键词]]="",10,MATCH(表_网址[[#This Row],[次要关键词]],次要关键词,0)+10)</f>
        <v>23</v>
      </c>
      <c r="D114">
        <f ca="1">IF(表_网址[[#This Row],[重点关键词]]="",10,MATCH(表_网址[[#This Row],[重点关键词]],OFFSET(重点关键词!$A$1,MATCH($J114,首要关键词,0)*50-48,MATCH($K114,次要关键词,0),重点关键词数量,1),0)+10)</f>
        <v>23</v>
      </c>
      <c r="E114">
        <f ca="1">IF(AND(表_网址[[#This Row],[1级]]=B113,表_网址[[#This Row],[2级]]=C113,表_网址[[#This Row],[3级]]=D113),E113+1,101)</f>
        <v>101</v>
      </c>
      <c r="F114" t="s">
        <v>435</v>
      </c>
      <c r="G114" t="s">
        <v>436</v>
      </c>
      <c r="H114" t="s">
        <v>82</v>
      </c>
      <c r="I114" t="s">
        <v>437</v>
      </c>
      <c r="J114" t="s">
        <v>30</v>
      </c>
      <c r="K114" t="s">
        <v>383</v>
      </c>
      <c r="L114" t="s">
        <v>438</v>
      </c>
      <c r="M114">
        <v>999</v>
      </c>
    </row>
    <row r="115" spans="1:16" x14ac:dyDescent="0.2">
      <c r="A115" t="str">
        <f ca="1">表_网址[[#This Row],[1级]]&amp;"-"&amp;表_网址[[#This Row],[2级]]&amp;"-"&amp;表_网址[[#This Row],[3级]]&amp;"-"&amp;表_网址[[#This Row],[级内]]</f>
        <v>102-23-24-101</v>
      </c>
      <c r="B115">
        <f>VLOOKUP(表_网址[[#This Row],[首要关键词]],表_首次要关键词[[首要关键词]:[排序]],2,0)</f>
        <v>102</v>
      </c>
      <c r="C115" s="4">
        <f ca="1">IF(表_网址[[#This Row],[次要关键词]]="",10,MATCH(表_网址[[#This Row],[次要关键词]],次要关键词,0)+10)</f>
        <v>23</v>
      </c>
      <c r="D115">
        <f ca="1">IF(表_网址[[#This Row],[重点关键词]]="",10,MATCH(表_网址[[#This Row],[重点关键词]],OFFSET(重点关键词!$A$1,MATCH($J115,首要关键词,0)*50-48,MATCH($K115,次要关键词,0),重点关键词数量,1),0)+10)</f>
        <v>24</v>
      </c>
      <c r="E115">
        <f ca="1">IF(AND(表_网址[[#This Row],[1级]]=B114,表_网址[[#This Row],[2级]]=C114,表_网址[[#This Row],[3级]]=D114),E114+1,101)</f>
        <v>101</v>
      </c>
      <c r="F115" t="s">
        <v>439</v>
      </c>
      <c r="G115" t="s">
        <v>440</v>
      </c>
      <c r="H115" t="s">
        <v>82</v>
      </c>
      <c r="I115" t="s">
        <v>441</v>
      </c>
      <c r="J115" t="s">
        <v>30</v>
      </c>
      <c r="K115" t="s">
        <v>383</v>
      </c>
      <c r="L115" t="s">
        <v>442</v>
      </c>
      <c r="M115">
        <v>999</v>
      </c>
    </row>
    <row r="116" spans="1:16" x14ac:dyDescent="0.2">
      <c r="A116" t="str">
        <f ca="1">表_网址[[#This Row],[1级]]&amp;"-"&amp;表_网址[[#This Row],[2级]]&amp;"-"&amp;表_网址[[#This Row],[3级]]&amp;"-"&amp;表_网址[[#This Row],[级内]]</f>
        <v>102-23-25-101</v>
      </c>
      <c r="B116">
        <f>VLOOKUP(表_网址[[#This Row],[首要关键词]],表_首次要关键词[[首要关键词]:[排序]],2,0)</f>
        <v>102</v>
      </c>
      <c r="C116" s="4">
        <f ca="1">IF(表_网址[[#This Row],[次要关键词]]="",10,MATCH(表_网址[[#This Row],[次要关键词]],次要关键词,0)+10)</f>
        <v>23</v>
      </c>
      <c r="D116">
        <f ca="1">IF(表_网址[[#This Row],[重点关键词]]="",10,MATCH(表_网址[[#This Row],[重点关键词]],OFFSET(重点关键词!$A$1,MATCH($J116,首要关键词,0)*50-48,MATCH($K116,次要关键词,0),重点关键词数量,1),0)+10)</f>
        <v>25</v>
      </c>
      <c r="E116">
        <f ca="1">IF(AND(表_网址[[#This Row],[1级]]=B115,表_网址[[#This Row],[2级]]=C115,表_网址[[#This Row],[3级]]=D115),E115+1,101)</f>
        <v>101</v>
      </c>
      <c r="F116" t="s">
        <v>443</v>
      </c>
      <c r="G116" t="s">
        <v>444</v>
      </c>
      <c r="H116" t="s">
        <v>82</v>
      </c>
      <c r="I116" t="s">
        <v>445</v>
      </c>
      <c r="J116" t="s">
        <v>30</v>
      </c>
      <c r="K116" t="s">
        <v>383</v>
      </c>
      <c r="L116" t="s">
        <v>446</v>
      </c>
      <c r="M116">
        <v>999</v>
      </c>
      <c r="N116">
        <v>999</v>
      </c>
    </row>
    <row r="117" spans="1:16" x14ac:dyDescent="0.2">
      <c r="A117" t="str">
        <f ca="1">表_网址[[#This Row],[1级]]&amp;"-"&amp;表_网址[[#This Row],[2级]]&amp;"-"&amp;表_网址[[#This Row],[3级]]&amp;"-"&amp;表_网址[[#This Row],[级内]]</f>
        <v>102-23-26-101</v>
      </c>
      <c r="B117">
        <f>VLOOKUP(表_网址[[#This Row],[首要关键词]],表_首次要关键词[[首要关键词]:[排序]],2,0)</f>
        <v>102</v>
      </c>
      <c r="C117" s="4">
        <f ca="1">IF(表_网址[[#This Row],[次要关键词]]="",10,MATCH(表_网址[[#This Row],[次要关键词]],次要关键词,0)+10)</f>
        <v>23</v>
      </c>
      <c r="D117">
        <f ca="1">IF(表_网址[[#This Row],[重点关键词]]="",10,MATCH(表_网址[[#This Row],[重点关键词]],OFFSET(重点关键词!$A$1,MATCH($J117,首要关键词,0)*50-48,MATCH($K117,次要关键词,0),重点关键词数量,1),0)+10)</f>
        <v>26</v>
      </c>
      <c r="E117">
        <f ca="1">IF(AND(表_网址[[#This Row],[1级]]=B116,表_网址[[#This Row],[2级]]=C116,表_网址[[#This Row],[3级]]=D116),E116+1,101)</f>
        <v>101</v>
      </c>
      <c r="F117" t="s">
        <v>447</v>
      </c>
      <c r="G117" t="s">
        <v>448</v>
      </c>
      <c r="H117" t="s">
        <v>82</v>
      </c>
      <c r="I117" t="s">
        <v>449</v>
      </c>
      <c r="J117" t="s">
        <v>30</v>
      </c>
      <c r="K117" t="s">
        <v>383</v>
      </c>
      <c r="L117" t="s">
        <v>450</v>
      </c>
      <c r="M117">
        <v>999</v>
      </c>
    </row>
    <row r="118" spans="1:16" x14ac:dyDescent="0.2">
      <c r="A118" t="str">
        <f ca="1">表_网址[[#This Row],[1级]]&amp;"-"&amp;表_网址[[#This Row],[2级]]&amp;"-"&amp;表_网址[[#This Row],[3级]]&amp;"-"&amp;表_网址[[#This Row],[级内]]</f>
        <v>102-23-27-101</v>
      </c>
      <c r="B118">
        <f>VLOOKUP(表_网址[[#This Row],[首要关键词]],表_首次要关键词[[首要关键词]:[排序]],2,0)</f>
        <v>102</v>
      </c>
      <c r="C118" s="4">
        <f ca="1">IF(表_网址[[#This Row],[次要关键词]]="",10,MATCH(表_网址[[#This Row],[次要关键词]],次要关键词,0)+10)</f>
        <v>23</v>
      </c>
      <c r="D118">
        <f ca="1">IF(表_网址[[#This Row],[重点关键词]]="",10,MATCH(表_网址[[#This Row],[重点关键词]],OFFSET(重点关键词!$A$1,MATCH($J118,首要关键词,0)*50-48,MATCH($K118,次要关键词,0),重点关键词数量,1),0)+10)</f>
        <v>27</v>
      </c>
      <c r="E118">
        <f ca="1">IF(AND(表_网址[[#This Row],[1级]]=B117,表_网址[[#This Row],[2级]]=C117,表_网址[[#This Row],[3级]]=D117),E117+1,101)</f>
        <v>101</v>
      </c>
      <c r="F118" t="s">
        <v>451</v>
      </c>
      <c r="G118" t="s">
        <v>452</v>
      </c>
      <c r="H118" t="s">
        <v>82</v>
      </c>
      <c r="I118" t="s">
        <v>453</v>
      </c>
      <c r="J118" t="s">
        <v>30</v>
      </c>
      <c r="K118" t="s">
        <v>383</v>
      </c>
      <c r="L118" t="s">
        <v>454</v>
      </c>
      <c r="M118">
        <v>999</v>
      </c>
    </row>
    <row r="119" spans="1:16" x14ac:dyDescent="0.2">
      <c r="A119" t="str">
        <f ca="1">表_网址[[#This Row],[1级]]&amp;"-"&amp;表_网址[[#This Row],[2级]]&amp;"-"&amp;表_网址[[#This Row],[3级]]&amp;"-"&amp;表_网址[[#This Row],[级内]]</f>
        <v>102-23-28-101</v>
      </c>
      <c r="B119">
        <f>VLOOKUP(表_网址[[#This Row],[首要关键词]],表_首次要关键词[[首要关键词]:[排序]],2,0)</f>
        <v>102</v>
      </c>
      <c r="C119" s="4">
        <f ca="1">IF(表_网址[[#This Row],[次要关键词]]="",10,MATCH(表_网址[[#This Row],[次要关键词]],次要关键词,0)+10)</f>
        <v>23</v>
      </c>
      <c r="D119">
        <f ca="1">IF(表_网址[[#This Row],[重点关键词]]="",10,MATCH(表_网址[[#This Row],[重点关键词]],OFFSET(重点关键词!$A$1,MATCH($J119,首要关键词,0)*50-48,MATCH($K119,次要关键词,0),重点关键词数量,1),0)+10)</f>
        <v>28</v>
      </c>
      <c r="E119">
        <f ca="1">IF(AND(表_网址[[#This Row],[1级]]=B118,表_网址[[#This Row],[2级]]=C118,表_网址[[#This Row],[3级]]=D118),E118+1,101)</f>
        <v>101</v>
      </c>
      <c r="F119" t="s">
        <v>455</v>
      </c>
      <c r="G119" t="s">
        <v>456</v>
      </c>
      <c r="H119" t="s">
        <v>82</v>
      </c>
      <c r="I119" t="s">
        <v>457</v>
      </c>
      <c r="J119" t="s">
        <v>30</v>
      </c>
      <c r="K119" t="s">
        <v>383</v>
      </c>
      <c r="L119" t="s">
        <v>458</v>
      </c>
      <c r="M119">
        <v>999</v>
      </c>
    </row>
    <row r="120" spans="1:16" x14ac:dyDescent="0.2">
      <c r="A120" t="str">
        <f ca="1">表_网址[[#This Row],[1级]]&amp;"-"&amp;表_网址[[#This Row],[2级]]&amp;"-"&amp;表_网址[[#This Row],[3级]]&amp;"-"&amp;表_网址[[#This Row],[级内]]</f>
        <v>102-23-29-101</v>
      </c>
      <c r="B120">
        <f>VLOOKUP(表_网址[[#This Row],[首要关键词]],表_首次要关键词[[首要关键词]:[排序]],2,0)</f>
        <v>102</v>
      </c>
      <c r="C120" s="4">
        <f ca="1">IF(表_网址[[#This Row],[次要关键词]]="",10,MATCH(表_网址[[#This Row],[次要关键词]],次要关键词,0)+10)</f>
        <v>23</v>
      </c>
      <c r="D120">
        <f ca="1">IF(表_网址[[#This Row],[重点关键词]]="",10,MATCH(表_网址[[#This Row],[重点关键词]],OFFSET(重点关键词!$A$1,MATCH($J120,首要关键词,0)*50-48,MATCH($K120,次要关键词,0),重点关键词数量,1),0)+10)</f>
        <v>29</v>
      </c>
      <c r="E120">
        <f ca="1">IF(AND(表_网址[[#This Row],[1级]]=B119,表_网址[[#This Row],[2级]]=C119,表_网址[[#This Row],[3级]]=D119),E119+1,101)</f>
        <v>101</v>
      </c>
      <c r="F120" t="s">
        <v>459</v>
      </c>
      <c r="G120" t="s">
        <v>460</v>
      </c>
      <c r="H120" t="s">
        <v>82</v>
      </c>
      <c r="I120" t="s">
        <v>461</v>
      </c>
      <c r="J120" t="s">
        <v>30</v>
      </c>
      <c r="K120" t="s">
        <v>383</v>
      </c>
      <c r="L120" t="s">
        <v>462</v>
      </c>
      <c r="M120">
        <v>999</v>
      </c>
    </row>
    <row r="121" spans="1:16" x14ac:dyDescent="0.2">
      <c r="A121" t="str">
        <f ca="1">表_网址[[#This Row],[1级]]&amp;"-"&amp;表_网址[[#This Row],[2级]]&amp;"-"&amp;表_网址[[#This Row],[3级]]&amp;"-"&amp;表_网址[[#This Row],[级内]]</f>
        <v>102-23-30-101</v>
      </c>
      <c r="B121">
        <f>VLOOKUP(表_网址[[#This Row],[首要关键词]],表_首次要关键词[[首要关键词]:[排序]],2,0)</f>
        <v>102</v>
      </c>
      <c r="C121" s="4">
        <f ca="1">IF(表_网址[[#This Row],[次要关键词]]="",10,MATCH(表_网址[[#This Row],[次要关键词]],次要关键词,0)+10)</f>
        <v>23</v>
      </c>
      <c r="D121">
        <f ca="1">IF(表_网址[[#This Row],[重点关键词]]="",10,MATCH(表_网址[[#This Row],[重点关键词]],OFFSET(重点关键词!$A$1,MATCH($J121,首要关键词,0)*50-48,MATCH($K121,次要关键词,0),重点关键词数量,1),0)+10)</f>
        <v>30</v>
      </c>
      <c r="E121">
        <f ca="1">IF(AND(表_网址[[#This Row],[1级]]=B120,表_网址[[#This Row],[2级]]=C120,表_网址[[#This Row],[3级]]=D120),E120+1,101)</f>
        <v>101</v>
      </c>
      <c r="F121" t="s">
        <v>463</v>
      </c>
      <c r="G121" t="s">
        <v>464</v>
      </c>
      <c r="H121" t="s">
        <v>82</v>
      </c>
      <c r="I121" t="s">
        <v>465</v>
      </c>
      <c r="J121" t="s">
        <v>30</v>
      </c>
      <c r="K121" t="s">
        <v>383</v>
      </c>
      <c r="L121" t="s">
        <v>466</v>
      </c>
      <c r="M121">
        <v>999</v>
      </c>
    </row>
    <row r="122" spans="1:16" x14ac:dyDescent="0.2">
      <c r="A122" t="str">
        <f ca="1">表_网址[[#This Row],[1级]]&amp;"-"&amp;表_网址[[#This Row],[2级]]&amp;"-"&amp;表_网址[[#This Row],[3级]]&amp;"-"&amp;表_网址[[#This Row],[级内]]</f>
        <v>102-24-10-101</v>
      </c>
      <c r="B122">
        <f>VLOOKUP(表_网址[[#This Row],[首要关键词]],表_首次要关键词[[首要关键词]:[排序]],2,0)</f>
        <v>102</v>
      </c>
      <c r="C122" s="4">
        <f ca="1">IF(表_网址[[#This Row],[次要关键词]]="",10,MATCH(表_网址[[#This Row],[次要关键词]],次要关键词,0)+10)</f>
        <v>24</v>
      </c>
      <c r="D122">
        <f ca="1">IF(表_网址[[#This Row],[重点关键词]]="",10,MATCH(表_网址[[#This Row],[重点关键词]],OFFSET(重点关键词!$A$1,MATCH($J122,首要关键词,0)*50-48,MATCH($K122,次要关键词,0),重点关键词数量,1),0)+10)</f>
        <v>10</v>
      </c>
      <c r="E122">
        <f ca="1">IF(AND(表_网址[[#This Row],[1级]]=B121,表_网址[[#This Row],[2级]]=C121,表_网址[[#This Row],[3级]]=D121),E121+1,101)</f>
        <v>101</v>
      </c>
      <c r="F122" t="s">
        <v>467</v>
      </c>
      <c r="G122" t="s">
        <v>468</v>
      </c>
      <c r="H122" t="s">
        <v>82</v>
      </c>
      <c r="I122" t="s">
        <v>469</v>
      </c>
      <c r="J122" t="s">
        <v>30</v>
      </c>
      <c r="K122" t="s">
        <v>470</v>
      </c>
      <c r="M122">
        <v>999</v>
      </c>
    </row>
    <row r="123" spans="1:16" x14ac:dyDescent="0.2">
      <c r="A123" t="str">
        <f ca="1">表_网址[[#This Row],[1级]]&amp;"-"&amp;表_网址[[#This Row],[2级]]&amp;"-"&amp;表_网址[[#This Row],[3级]]&amp;"-"&amp;表_网址[[#This Row],[级内]]</f>
        <v>102-25-10-101</v>
      </c>
      <c r="B123">
        <f>VLOOKUP(表_网址[[#This Row],[首要关键词]],表_首次要关键词[[首要关键词]:[排序]],2,0)</f>
        <v>102</v>
      </c>
      <c r="C123" s="4">
        <f ca="1">IF(表_网址[[#This Row],[次要关键词]]="",10,MATCH(表_网址[[#This Row],[次要关键词]],次要关键词,0)+10)</f>
        <v>25</v>
      </c>
      <c r="D123">
        <f ca="1">IF(表_网址[[#This Row],[重点关键词]]="",10,MATCH(表_网址[[#This Row],[重点关键词]],OFFSET(重点关键词!$A$1,MATCH($J123,首要关键词,0)*50-48,MATCH($K123,次要关键词,0),重点关键词数量,1),0)+10)</f>
        <v>10</v>
      </c>
      <c r="E123">
        <f ca="1">IF(AND(表_网址[[#This Row],[1级]]=B122,表_网址[[#This Row],[2级]]=C122,表_网址[[#This Row],[3级]]=D122),E122+1,101)</f>
        <v>101</v>
      </c>
      <c r="F123" t="s">
        <v>471</v>
      </c>
      <c r="G123" t="s">
        <v>472</v>
      </c>
      <c r="H123" t="s">
        <v>82</v>
      </c>
      <c r="I123" t="s">
        <v>473</v>
      </c>
      <c r="J123" t="s">
        <v>30</v>
      </c>
      <c r="K123" t="s">
        <v>474</v>
      </c>
      <c r="M123">
        <v>999</v>
      </c>
    </row>
    <row r="124" spans="1:16" x14ac:dyDescent="0.2">
      <c r="A124" t="str">
        <f ca="1">表_网址[[#This Row],[1级]]&amp;"-"&amp;表_网址[[#This Row],[2级]]&amp;"-"&amp;表_网址[[#This Row],[3级]]&amp;"-"&amp;表_网址[[#This Row],[级内]]</f>
        <v>102-26-10-101</v>
      </c>
      <c r="B124">
        <f>VLOOKUP(表_网址[[#This Row],[首要关键词]],表_首次要关键词[[首要关键词]:[排序]],2,0)</f>
        <v>102</v>
      </c>
      <c r="C124" s="4">
        <f ca="1">IF(表_网址[[#This Row],[次要关键词]]="",10,MATCH(表_网址[[#This Row],[次要关键词]],次要关键词,0)+10)</f>
        <v>26</v>
      </c>
      <c r="D124">
        <f ca="1">IF(表_网址[[#This Row],[重点关键词]]="",10,MATCH(表_网址[[#This Row],[重点关键词]],OFFSET(重点关键词!$A$1,MATCH($J124,首要关键词,0)*50-48,MATCH($K124,次要关键词,0),重点关键词数量,1),0)+10)</f>
        <v>10</v>
      </c>
      <c r="E124">
        <f ca="1">IF(AND(表_网址[[#This Row],[1级]]=B123,表_网址[[#This Row],[2级]]=C123,表_网址[[#This Row],[3级]]=D123),E123+1,101)</f>
        <v>101</v>
      </c>
      <c r="F124" t="s">
        <v>475</v>
      </c>
      <c r="G124" t="s">
        <v>476</v>
      </c>
      <c r="H124" t="s">
        <v>82</v>
      </c>
      <c r="I124" t="s">
        <v>477</v>
      </c>
      <c r="J124" t="s">
        <v>30</v>
      </c>
      <c r="K124" t="s">
        <v>478</v>
      </c>
      <c r="M124">
        <v>999</v>
      </c>
    </row>
    <row r="125" spans="1:16" x14ac:dyDescent="0.2">
      <c r="A125" t="str">
        <f ca="1">表_网址[[#This Row],[1级]]&amp;"-"&amp;表_网址[[#This Row],[2级]]&amp;"-"&amp;表_网址[[#This Row],[3级]]&amp;"-"&amp;表_网址[[#This Row],[级内]]</f>
        <v>102-27-10-101</v>
      </c>
      <c r="B125">
        <f>VLOOKUP(表_网址[[#This Row],[首要关键词]],表_首次要关键词[[首要关键词]:[排序]],2,0)</f>
        <v>102</v>
      </c>
      <c r="C125" s="4">
        <f ca="1">IF(表_网址[[#This Row],[次要关键词]]="",10,MATCH(表_网址[[#This Row],[次要关键词]],次要关键词,0)+10)</f>
        <v>27</v>
      </c>
      <c r="D125">
        <f ca="1">IF(表_网址[[#This Row],[重点关键词]]="",10,MATCH(表_网址[[#This Row],[重点关键词]],OFFSET(重点关键词!$A$1,MATCH($J125,首要关键词,0)*50-48,MATCH($K125,次要关键词,0),重点关键词数量,1),0)+10)</f>
        <v>10</v>
      </c>
      <c r="E125">
        <f ca="1">IF(AND(表_网址[[#This Row],[1级]]=B124,表_网址[[#This Row],[2级]]=C124,表_网址[[#This Row],[3级]]=D124),E124+1,101)</f>
        <v>101</v>
      </c>
      <c r="F125" t="s">
        <v>479</v>
      </c>
      <c r="G125" t="s">
        <v>480</v>
      </c>
      <c r="H125" t="s">
        <v>82</v>
      </c>
      <c r="I125" t="s">
        <v>481</v>
      </c>
      <c r="J125" t="s">
        <v>30</v>
      </c>
      <c r="K125" t="s">
        <v>482</v>
      </c>
      <c r="M125">
        <v>999</v>
      </c>
      <c r="N125">
        <v>999</v>
      </c>
    </row>
    <row r="126" spans="1:16" x14ac:dyDescent="0.2">
      <c r="A126" t="str">
        <f ca="1">表_网址[[#This Row],[1级]]&amp;"-"&amp;表_网址[[#This Row],[2级]]&amp;"-"&amp;表_网址[[#This Row],[3级]]&amp;"-"&amp;表_网址[[#This Row],[级内]]</f>
        <v>102-28-10-101</v>
      </c>
      <c r="B126">
        <f>VLOOKUP(表_网址[[#This Row],[首要关键词]],表_首次要关键词[[首要关键词]:[排序]],2,0)</f>
        <v>102</v>
      </c>
      <c r="C126" s="4">
        <f ca="1">IF(表_网址[[#This Row],[次要关键词]]="",10,MATCH(表_网址[[#This Row],[次要关键词]],次要关键词,0)+10)</f>
        <v>28</v>
      </c>
      <c r="D126">
        <f ca="1">IF(表_网址[[#This Row],[重点关键词]]="",10,MATCH(表_网址[[#This Row],[重点关键词]],OFFSET(重点关键词!$A$1,MATCH($J126,首要关键词,0)*50-48,MATCH($K126,次要关键词,0),重点关键词数量,1),0)+10)</f>
        <v>10</v>
      </c>
      <c r="E126">
        <f ca="1">IF(AND(表_网址[[#This Row],[1级]]=B125,表_网址[[#This Row],[2级]]=C125,表_网址[[#This Row],[3级]]=D125),E125+1,101)</f>
        <v>101</v>
      </c>
      <c r="F126" t="s">
        <v>483</v>
      </c>
      <c r="G126" t="s">
        <v>484</v>
      </c>
      <c r="H126" t="s">
        <v>82</v>
      </c>
      <c r="I126" t="s">
        <v>485</v>
      </c>
      <c r="J126" t="s">
        <v>30</v>
      </c>
      <c r="K126" t="s">
        <v>486</v>
      </c>
      <c r="M126">
        <v>999</v>
      </c>
    </row>
    <row r="127" spans="1:16" x14ac:dyDescent="0.2">
      <c r="A127" t="str">
        <f ca="1">表_网址[[#This Row],[1级]]&amp;"-"&amp;表_网址[[#This Row],[2级]]&amp;"-"&amp;表_网址[[#This Row],[3级]]&amp;"-"&amp;表_网址[[#This Row],[级内]]</f>
        <v>102-28-11-101</v>
      </c>
      <c r="B127">
        <f>VLOOKUP(表_网址[[#This Row],[首要关键词]],表_首次要关键词[[首要关键词]:[排序]],2,0)</f>
        <v>102</v>
      </c>
      <c r="C127" s="4">
        <f ca="1">IF(表_网址[[#This Row],[次要关键词]]="",10,MATCH(表_网址[[#This Row],[次要关键词]],次要关键词,0)+10)</f>
        <v>28</v>
      </c>
      <c r="D127">
        <f ca="1">IF(表_网址[[#This Row],[重点关键词]]="",10,MATCH(表_网址[[#This Row],[重点关键词]],OFFSET(重点关键词!$A$1,MATCH($J127,首要关键词,0)*50-48,MATCH($K127,次要关键词,0),重点关键词数量,1),0)+10)</f>
        <v>11</v>
      </c>
      <c r="E127">
        <f ca="1">IF(AND(表_网址[[#This Row],[1级]]=B126,表_网址[[#This Row],[2级]]=C126,表_网址[[#This Row],[3级]]=D126),E126+1,101)</f>
        <v>101</v>
      </c>
      <c r="F127" t="s">
        <v>487</v>
      </c>
      <c r="G127" t="s">
        <v>488</v>
      </c>
      <c r="H127" t="s">
        <v>82</v>
      </c>
      <c r="I127" t="s">
        <v>489</v>
      </c>
      <c r="J127" t="s">
        <v>30</v>
      </c>
      <c r="K127" t="s">
        <v>486</v>
      </c>
      <c r="L127" t="s">
        <v>490</v>
      </c>
      <c r="M127">
        <v>999</v>
      </c>
    </row>
    <row r="128" spans="1:16" x14ac:dyDescent="0.2">
      <c r="A128" t="str">
        <f ca="1">表_网址[[#This Row],[1级]]&amp;"-"&amp;表_网址[[#This Row],[2级]]&amp;"-"&amp;表_网址[[#This Row],[3级]]&amp;"-"&amp;表_网址[[#This Row],[级内]]</f>
        <v>102-29-10-101</v>
      </c>
      <c r="B128">
        <f>VLOOKUP(表_网址[[#This Row],[首要关键词]],表_首次要关键词[[首要关键词]:[排序]],2,0)</f>
        <v>102</v>
      </c>
      <c r="C128" s="4">
        <f ca="1">IF(表_网址[[#This Row],[次要关键词]]="",10,MATCH(表_网址[[#This Row],[次要关键词]],次要关键词,0)+10)</f>
        <v>29</v>
      </c>
      <c r="D128">
        <f ca="1">IF(表_网址[[#This Row],[重点关键词]]="",10,MATCH(表_网址[[#This Row],[重点关键词]],OFFSET(重点关键词!$A$1,MATCH($J128,首要关键词,0)*50-48,MATCH($K128,次要关键词,0),重点关键词数量,1),0)+10)</f>
        <v>10</v>
      </c>
      <c r="E128">
        <f ca="1">IF(AND(表_网址[[#This Row],[1级]]=B127,表_网址[[#This Row],[2级]]=C127,表_网址[[#This Row],[3级]]=D127),E127+1,101)</f>
        <v>101</v>
      </c>
      <c r="F128" t="s">
        <v>491</v>
      </c>
      <c r="G128" t="s">
        <v>492</v>
      </c>
      <c r="H128" t="s">
        <v>82</v>
      </c>
      <c r="I128" t="s">
        <v>493</v>
      </c>
      <c r="J128" t="s">
        <v>30</v>
      </c>
      <c r="K128" t="s">
        <v>494</v>
      </c>
      <c r="M128">
        <v>999</v>
      </c>
      <c r="N128">
        <v>999</v>
      </c>
      <c r="P128">
        <v>32</v>
      </c>
    </row>
    <row r="129" spans="1:18" x14ac:dyDescent="0.2">
      <c r="A129" t="str">
        <f ca="1">表_网址[[#This Row],[1级]]&amp;"-"&amp;表_网址[[#This Row],[2级]]&amp;"-"&amp;表_网址[[#This Row],[3级]]&amp;"-"&amp;表_网址[[#This Row],[级内]]</f>
        <v>102-29-11-101</v>
      </c>
      <c r="B129">
        <f>VLOOKUP(表_网址[[#This Row],[首要关键词]],表_首次要关键词[[首要关键词]:[排序]],2,0)</f>
        <v>102</v>
      </c>
      <c r="C129" s="4">
        <f ca="1">IF(表_网址[[#This Row],[次要关键词]]="",10,MATCH(表_网址[[#This Row],[次要关键词]],次要关键词,0)+10)</f>
        <v>29</v>
      </c>
      <c r="D129">
        <f ca="1">IF(表_网址[[#This Row],[重点关键词]]="",10,MATCH(表_网址[[#This Row],[重点关键词]],OFFSET(重点关键词!$A$1,MATCH($J129,首要关键词,0)*50-48,MATCH($K129,次要关键词,0),重点关键词数量,1),0)+10)</f>
        <v>11</v>
      </c>
      <c r="E129">
        <f ca="1">IF(AND(表_网址[[#This Row],[1级]]=B128,表_网址[[#This Row],[2级]]=C128,表_网址[[#This Row],[3级]]=D128),E128+1,101)</f>
        <v>101</v>
      </c>
      <c r="F129" t="s">
        <v>495</v>
      </c>
      <c r="G129" t="s">
        <v>496</v>
      </c>
      <c r="H129" t="s">
        <v>82</v>
      </c>
      <c r="I129" t="s">
        <v>497</v>
      </c>
      <c r="J129" t="s">
        <v>30</v>
      </c>
      <c r="K129" t="s">
        <v>494</v>
      </c>
      <c r="L129" t="s">
        <v>498</v>
      </c>
      <c r="M129">
        <v>999</v>
      </c>
    </row>
    <row r="130" spans="1:18" x14ac:dyDescent="0.2">
      <c r="A130" t="str">
        <f ca="1">表_网址[[#This Row],[1级]]&amp;"-"&amp;表_网址[[#This Row],[2级]]&amp;"-"&amp;表_网址[[#This Row],[3级]]&amp;"-"&amp;表_网址[[#This Row],[级内]]</f>
        <v>102-30-10-101</v>
      </c>
      <c r="B130">
        <f>VLOOKUP(表_网址[[#This Row],[首要关键词]],表_首次要关键词[[首要关键词]:[排序]],2,0)</f>
        <v>102</v>
      </c>
      <c r="C130" s="4">
        <f ca="1">IF(表_网址[[#This Row],[次要关键词]]="",10,MATCH(表_网址[[#This Row],[次要关键词]],次要关键词,0)+10)</f>
        <v>30</v>
      </c>
      <c r="D130">
        <f ca="1">IF(表_网址[[#This Row],[重点关键词]]="",10,MATCH(表_网址[[#This Row],[重点关键词]],OFFSET(重点关键词!$A$1,MATCH($J130,首要关键词,0)*50-48,MATCH($K130,次要关键词,0),重点关键词数量,1),0)+10)</f>
        <v>10</v>
      </c>
      <c r="E130">
        <f ca="1">IF(AND(表_网址[[#This Row],[1级]]=B129,表_网址[[#This Row],[2级]]=C129,表_网址[[#This Row],[3级]]=D129),E129+1,101)</f>
        <v>101</v>
      </c>
      <c r="F130" t="s">
        <v>499</v>
      </c>
      <c r="G130" t="s">
        <v>500</v>
      </c>
      <c r="H130" t="s">
        <v>82</v>
      </c>
      <c r="I130" t="s">
        <v>501</v>
      </c>
      <c r="J130" t="s">
        <v>30</v>
      </c>
      <c r="K130" t="s">
        <v>502</v>
      </c>
      <c r="M130">
        <v>999</v>
      </c>
    </row>
    <row r="131" spans="1:18" x14ac:dyDescent="0.2">
      <c r="A131" t="str">
        <f ca="1">表_网址[[#This Row],[1级]]&amp;"-"&amp;表_网址[[#This Row],[2级]]&amp;"-"&amp;表_网址[[#This Row],[3级]]&amp;"-"&amp;表_网址[[#This Row],[级内]]</f>
        <v>102-31-10-101</v>
      </c>
      <c r="B131">
        <f>VLOOKUP(表_网址[[#This Row],[首要关键词]],表_首次要关键词[[首要关键词]:[排序]],2,0)</f>
        <v>102</v>
      </c>
      <c r="C131" s="4">
        <f ca="1">IF(表_网址[[#This Row],[次要关键词]]="",10,MATCH(表_网址[[#This Row],[次要关键词]],次要关键词,0)+10)</f>
        <v>31</v>
      </c>
      <c r="D131">
        <f ca="1">IF(表_网址[[#This Row],[重点关键词]]="",10,MATCH(表_网址[[#This Row],[重点关键词]],OFFSET(重点关键词!$A$1,MATCH($J131,首要关键词,0)*50-48,MATCH($K131,次要关键词,0),重点关键词数量,1),0)+10)</f>
        <v>10</v>
      </c>
      <c r="E131">
        <f ca="1">IF(AND(表_网址[[#This Row],[1级]]=B130,表_网址[[#This Row],[2级]]=C130,表_网址[[#This Row],[3级]]=D130),E130+1,101)</f>
        <v>101</v>
      </c>
      <c r="F131" t="s">
        <v>503</v>
      </c>
      <c r="G131" t="s">
        <v>504</v>
      </c>
      <c r="H131" t="s">
        <v>82</v>
      </c>
      <c r="I131" t="s">
        <v>505</v>
      </c>
      <c r="J131" t="s">
        <v>30</v>
      </c>
      <c r="K131" t="s">
        <v>506</v>
      </c>
      <c r="M131">
        <v>999</v>
      </c>
    </row>
    <row r="132" spans="1:18" x14ac:dyDescent="0.2">
      <c r="A132" t="str">
        <f ca="1">表_网址[[#This Row],[1级]]&amp;"-"&amp;表_网址[[#This Row],[2级]]&amp;"-"&amp;表_网址[[#This Row],[3级]]&amp;"-"&amp;表_网址[[#This Row],[级内]]</f>
        <v>102-32-10-101</v>
      </c>
      <c r="B132">
        <f>VLOOKUP(表_网址[[#This Row],[首要关键词]],表_首次要关键词[[首要关键词]:[排序]],2,0)</f>
        <v>102</v>
      </c>
      <c r="C132" s="4">
        <f ca="1">IF(表_网址[[#This Row],[次要关键词]]="",10,MATCH(表_网址[[#This Row],[次要关键词]],次要关键词,0)+10)</f>
        <v>32</v>
      </c>
      <c r="D132">
        <f ca="1">IF(表_网址[[#This Row],[重点关键词]]="",10,MATCH(表_网址[[#This Row],[重点关键词]],OFFSET(重点关键词!$A$1,MATCH($J132,首要关键词,0)*50-48,MATCH($K132,次要关键词,0),重点关键词数量,1),0)+10)</f>
        <v>10</v>
      </c>
      <c r="E132">
        <f ca="1">IF(AND(表_网址[[#This Row],[1级]]=B131,表_网址[[#This Row],[2级]]=C131,表_网址[[#This Row],[3级]]=D131),E131+1,101)</f>
        <v>101</v>
      </c>
      <c r="F132" t="s">
        <v>507</v>
      </c>
      <c r="G132" t="s">
        <v>508</v>
      </c>
      <c r="H132" t="s">
        <v>82</v>
      </c>
      <c r="I132" t="s">
        <v>509</v>
      </c>
      <c r="J132" t="s">
        <v>30</v>
      </c>
      <c r="K132" t="s">
        <v>510</v>
      </c>
      <c r="M132">
        <v>999</v>
      </c>
    </row>
    <row r="133" spans="1:18" x14ac:dyDescent="0.2">
      <c r="A133" t="str">
        <f ca="1">表_网址[[#This Row],[1级]]&amp;"-"&amp;表_网址[[#This Row],[2级]]&amp;"-"&amp;表_网址[[#This Row],[3级]]&amp;"-"&amp;表_网址[[#This Row],[级内]]</f>
        <v>102-33-10-101</v>
      </c>
      <c r="B133">
        <f>VLOOKUP(表_网址[[#This Row],[首要关键词]],表_首次要关键词[[首要关键词]:[排序]],2,0)</f>
        <v>102</v>
      </c>
      <c r="C133" s="4">
        <f ca="1">IF(表_网址[[#This Row],[次要关键词]]="",10,MATCH(表_网址[[#This Row],[次要关键词]],次要关键词,0)+10)</f>
        <v>33</v>
      </c>
      <c r="D133">
        <f ca="1">IF(表_网址[[#This Row],[重点关键词]]="",10,MATCH(表_网址[[#This Row],[重点关键词]],OFFSET(重点关键词!$A$1,MATCH($J133,首要关键词,0)*50-48,MATCH($K133,次要关键词,0),重点关键词数量,1),0)+10)</f>
        <v>10</v>
      </c>
      <c r="E133">
        <f ca="1">IF(AND(表_网址[[#This Row],[1级]]=B132,表_网址[[#This Row],[2级]]=C132,表_网址[[#This Row],[3级]]=D132),E132+1,101)</f>
        <v>101</v>
      </c>
      <c r="F133" t="s">
        <v>511</v>
      </c>
      <c r="G133" t="s">
        <v>512</v>
      </c>
      <c r="H133" t="s">
        <v>82</v>
      </c>
      <c r="I133" t="s">
        <v>513</v>
      </c>
      <c r="J133" t="s">
        <v>30</v>
      </c>
      <c r="K133" t="s">
        <v>514</v>
      </c>
      <c r="M133">
        <v>999</v>
      </c>
    </row>
    <row r="134" spans="1:18" x14ac:dyDescent="0.2">
      <c r="A134" t="str">
        <f ca="1">表_网址[[#This Row],[1级]]&amp;"-"&amp;表_网址[[#This Row],[2级]]&amp;"-"&amp;表_网址[[#This Row],[3级]]&amp;"-"&amp;表_网址[[#This Row],[级内]]</f>
        <v>102-34-10-101</v>
      </c>
      <c r="B134">
        <f>VLOOKUP(表_网址[[#This Row],[首要关键词]],表_首次要关键词[[首要关键词]:[排序]],2,0)</f>
        <v>102</v>
      </c>
      <c r="C134" s="4">
        <f ca="1">IF(表_网址[[#This Row],[次要关键词]]="",10,MATCH(表_网址[[#This Row],[次要关键词]],次要关键词,0)+10)</f>
        <v>34</v>
      </c>
      <c r="D134">
        <f ca="1">IF(表_网址[[#This Row],[重点关键词]]="",10,MATCH(表_网址[[#This Row],[重点关键词]],OFFSET(重点关键词!$A$1,MATCH($J134,首要关键词,0)*50-48,MATCH($K134,次要关键词,0),重点关键词数量,1),0)+10)</f>
        <v>10</v>
      </c>
      <c r="E134">
        <f ca="1">IF(AND(表_网址[[#This Row],[1级]]=B133,表_网址[[#This Row],[2级]]=C133,表_网址[[#This Row],[3级]]=D133),E133+1,101)</f>
        <v>101</v>
      </c>
      <c r="F134" t="s">
        <v>515</v>
      </c>
      <c r="G134" t="s">
        <v>516</v>
      </c>
      <c r="H134" t="s">
        <v>82</v>
      </c>
      <c r="I134" t="s">
        <v>517</v>
      </c>
      <c r="J134" t="s">
        <v>30</v>
      </c>
      <c r="K134" t="s">
        <v>518</v>
      </c>
      <c r="M134">
        <v>999</v>
      </c>
    </row>
    <row r="135" spans="1:18" x14ac:dyDescent="0.2">
      <c r="A135" t="str">
        <f ca="1">表_网址[[#This Row],[1级]]&amp;"-"&amp;表_网址[[#This Row],[2级]]&amp;"-"&amp;表_网址[[#This Row],[3级]]&amp;"-"&amp;表_网址[[#This Row],[级内]]</f>
        <v>102-35-10-101</v>
      </c>
      <c r="B135">
        <f>VLOOKUP(表_网址[[#This Row],[首要关键词]],表_首次要关键词[[首要关键词]:[排序]],2,0)</f>
        <v>102</v>
      </c>
      <c r="C135" s="4">
        <f ca="1">IF(表_网址[[#This Row],[次要关键词]]="",10,MATCH(表_网址[[#This Row],[次要关键词]],次要关键词,0)+10)</f>
        <v>35</v>
      </c>
      <c r="D135">
        <f ca="1">IF(表_网址[[#This Row],[重点关键词]]="",10,MATCH(表_网址[[#This Row],[重点关键词]],OFFSET(重点关键词!$A$1,MATCH($J135,首要关键词,0)*50-48,MATCH($K135,次要关键词,0),重点关键词数量,1),0)+10)</f>
        <v>10</v>
      </c>
      <c r="E135">
        <f ca="1">IF(AND(表_网址[[#This Row],[1级]]=B134,表_网址[[#This Row],[2级]]=C134,表_网址[[#This Row],[3级]]=D134),E134+1,101)</f>
        <v>101</v>
      </c>
      <c r="F135" t="s">
        <v>519</v>
      </c>
      <c r="G135" t="s">
        <v>520</v>
      </c>
      <c r="H135" t="s">
        <v>82</v>
      </c>
      <c r="I135" t="s">
        <v>521</v>
      </c>
      <c r="J135" t="s">
        <v>30</v>
      </c>
      <c r="K135" t="s">
        <v>522</v>
      </c>
      <c r="M135">
        <v>999</v>
      </c>
    </row>
    <row r="136" spans="1:18" x14ac:dyDescent="0.2">
      <c r="A136" t="str">
        <f ca="1">表_网址[[#This Row],[1级]]&amp;"-"&amp;表_网址[[#This Row],[2级]]&amp;"-"&amp;表_网址[[#This Row],[3级]]&amp;"-"&amp;表_网址[[#This Row],[级内]]</f>
        <v>102-36-10-101</v>
      </c>
      <c r="B136">
        <f>VLOOKUP(表_网址[[#This Row],[首要关键词]],表_首次要关键词[[首要关键词]:[排序]],2,0)</f>
        <v>102</v>
      </c>
      <c r="C136" s="4">
        <f ca="1">IF(表_网址[[#This Row],[次要关键词]]="",10,MATCH(表_网址[[#This Row],[次要关键词]],次要关键词,0)+10)</f>
        <v>36</v>
      </c>
      <c r="D136">
        <f ca="1">IF(表_网址[[#This Row],[重点关键词]]="",10,MATCH(表_网址[[#This Row],[重点关键词]],OFFSET(重点关键词!$A$1,MATCH($J136,首要关键词,0)*50-48,MATCH($K136,次要关键词,0),重点关键词数量,1),0)+10)</f>
        <v>10</v>
      </c>
      <c r="E136">
        <f ca="1">IF(AND(表_网址[[#This Row],[1级]]=B135,表_网址[[#This Row],[2级]]=C135,表_网址[[#This Row],[3级]]=D135),E135+1,101)</f>
        <v>101</v>
      </c>
      <c r="F136" t="s">
        <v>523</v>
      </c>
      <c r="G136" t="s">
        <v>524</v>
      </c>
      <c r="H136" t="s">
        <v>82</v>
      </c>
      <c r="I136" t="s">
        <v>525</v>
      </c>
      <c r="J136" t="s">
        <v>30</v>
      </c>
      <c r="K136" t="s">
        <v>526</v>
      </c>
      <c r="M136">
        <v>999</v>
      </c>
    </row>
    <row r="137" spans="1:18" x14ac:dyDescent="0.2">
      <c r="A137" t="str">
        <f ca="1">表_网址[[#This Row],[1级]]&amp;"-"&amp;表_网址[[#This Row],[2级]]&amp;"-"&amp;表_网址[[#This Row],[3级]]&amp;"-"&amp;表_网址[[#This Row],[级内]]</f>
        <v>102-37-10-101</v>
      </c>
      <c r="B137">
        <f>VLOOKUP(表_网址[[#This Row],[首要关键词]],表_首次要关键词[[首要关键词]:[排序]],2,0)</f>
        <v>102</v>
      </c>
      <c r="C137" s="4">
        <f ca="1">IF(表_网址[[#This Row],[次要关键词]]="",10,MATCH(表_网址[[#This Row],[次要关键词]],次要关键词,0)+10)</f>
        <v>37</v>
      </c>
      <c r="D137">
        <f ca="1">IF(表_网址[[#This Row],[重点关键词]]="",10,MATCH(表_网址[[#This Row],[重点关键词]],OFFSET(重点关键词!$A$1,MATCH($J137,首要关键词,0)*50-48,MATCH($K137,次要关键词,0),重点关键词数量,1),0)+10)</f>
        <v>10</v>
      </c>
      <c r="E137">
        <f ca="1">IF(AND(表_网址[[#This Row],[1级]]=B136,表_网址[[#This Row],[2级]]=C136,表_网址[[#This Row],[3级]]=D136),E136+1,101)</f>
        <v>101</v>
      </c>
      <c r="F137" t="s">
        <v>527</v>
      </c>
      <c r="G137" t="s">
        <v>528</v>
      </c>
      <c r="H137" t="s">
        <v>82</v>
      </c>
      <c r="I137" t="s">
        <v>529</v>
      </c>
      <c r="J137" t="s">
        <v>30</v>
      </c>
      <c r="K137" t="s">
        <v>530</v>
      </c>
      <c r="M137">
        <v>999</v>
      </c>
    </row>
    <row r="138" spans="1:18" x14ac:dyDescent="0.2">
      <c r="A138" t="str">
        <f ca="1">表_网址[[#This Row],[1级]]&amp;"-"&amp;表_网址[[#This Row],[2级]]&amp;"-"&amp;表_网址[[#This Row],[3级]]&amp;"-"&amp;表_网址[[#This Row],[级内]]</f>
        <v>102-38-10-101</v>
      </c>
      <c r="B138">
        <f>VLOOKUP(表_网址[[#This Row],[首要关键词]],表_首次要关键词[[首要关键词]:[排序]],2,0)</f>
        <v>102</v>
      </c>
      <c r="C138" s="4">
        <f ca="1">IF(表_网址[[#This Row],[次要关键词]]="",10,MATCH(表_网址[[#This Row],[次要关键词]],次要关键词,0)+10)</f>
        <v>38</v>
      </c>
      <c r="D138">
        <f ca="1">IF(表_网址[[#This Row],[重点关键词]]="",10,MATCH(表_网址[[#This Row],[重点关键词]],OFFSET(重点关键词!$A$1,MATCH($J138,首要关键词,0)*50-48,MATCH($K138,次要关键词,0),重点关键词数量,1),0)+10)</f>
        <v>10</v>
      </c>
      <c r="E138">
        <f ca="1">IF(AND(表_网址[[#This Row],[1级]]=B137,表_网址[[#This Row],[2级]]=C137,表_网址[[#This Row],[3级]]=D137),E137+1,101)</f>
        <v>101</v>
      </c>
      <c r="F138" t="s">
        <v>531</v>
      </c>
      <c r="G138" t="s">
        <v>532</v>
      </c>
      <c r="H138" t="s">
        <v>82</v>
      </c>
      <c r="I138" t="s">
        <v>533</v>
      </c>
      <c r="J138" t="s">
        <v>30</v>
      </c>
      <c r="K138" t="s">
        <v>534</v>
      </c>
      <c r="M138">
        <v>999</v>
      </c>
      <c r="P138">
        <v>32</v>
      </c>
    </row>
    <row r="139" spans="1:18" x14ac:dyDescent="0.2">
      <c r="A139" t="str">
        <f ca="1">表_网址[[#This Row],[1级]]&amp;"-"&amp;表_网址[[#This Row],[2级]]&amp;"-"&amp;表_网址[[#This Row],[3级]]&amp;"-"&amp;表_网址[[#This Row],[级内]]</f>
        <v>102-39-10-101</v>
      </c>
      <c r="B139">
        <f>VLOOKUP(表_网址[[#This Row],[首要关键词]],表_首次要关键词[[首要关键词]:[排序]],2,0)</f>
        <v>102</v>
      </c>
      <c r="C139" s="4">
        <f ca="1">IF(表_网址[[#This Row],[次要关键词]]="",10,MATCH(表_网址[[#This Row],[次要关键词]],次要关键词,0)+10)</f>
        <v>39</v>
      </c>
      <c r="D139">
        <f ca="1">IF(表_网址[[#This Row],[重点关键词]]="",10,MATCH(表_网址[[#This Row],[重点关键词]],OFFSET(重点关键词!$A$1,MATCH($J139,首要关键词,0)*50-48,MATCH($K139,次要关键词,0),重点关键词数量,1),0)+10)</f>
        <v>10</v>
      </c>
      <c r="E139">
        <f ca="1">IF(AND(表_网址[[#This Row],[1级]]=B138,表_网址[[#This Row],[2级]]=C138,表_网址[[#This Row],[3级]]=D138),E138+1,101)</f>
        <v>101</v>
      </c>
      <c r="F139" t="s">
        <v>535</v>
      </c>
      <c r="G139" t="s">
        <v>536</v>
      </c>
      <c r="H139" t="s">
        <v>82</v>
      </c>
      <c r="I139" t="s">
        <v>537</v>
      </c>
      <c r="J139" t="s">
        <v>30</v>
      </c>
      <c r="K139" t="s">
        <v>538</v>
      </c>
      <c r="M139">
        <v>999</v>
      </c>
    </row>
    <row r="140" spans="1:18" x14ac:dyDescent="0.2">
      <c r="A140" t="str">
        <f ca="1">表_网址[[#This Row],[1级]]&amp;"-"&amp;表_网址[[#This Row],[2级]]&amp;"-"&amp;表_网址[[#This Row],[3级]]&amp;"-"&amp;表_网址[[#This Row],[级内]]</f>
        <v>102-40-10-101</v>
      </c>
      <c r="B140">
        <f>VLOOKUP(表_网址[[#This Row],[首要关键词]],表_首次要关键词[[首要关键词]:[排序]],2,0)</f>
        <v>102</v>
      </c>
      <c r="C140" s="4">
        <f ca="1">IF(表_网址[[#This Row],[次要关键词]]="",10,MATCH(表_网址[[#This Row],[次要关键词]],次要关键词,0)+10)</f>
        <v>40</v>
      </c>
      <c r="D140">
        <f ca="1">IF(表_网址[[#This Row],[重点关键词]]="",10,MATCH(表_网址[[#This Row],[重点关键词]],OFFSET(重点关键词!$A$1,MATCH($J140,首要关键词,0)*50-48,MATCH($K140,次要关键词,0),重点关键词数量,1),0)+10)</f>
        <v>10</v>
      </c>
      <c r="E140">
        <f ca="1">IF(AND(表_网址[[#This Row],[1级]]=B139,表_网址[[#This Row],[2级]]=C139,表_网址[[#This Row],[3级]]=D139),E139+1,101)</f>
        <v>101</v>
      </c>
      <c r="F140" t="s">
        <v>539</v>
      </c>
      <c r="G140" t="s">
        <v>540</v>
      </c>
      <c r="H140" t="s">
        <v>82</v>
      </c>
      <c r="I140" t="s">
        <v>541</v>
      </c>
      <c r="J140" t="s">
        <v>30</v>
      </c>
      <c r="K140" t="s">
        <v>542</v>
      </c>
      <c r="M140">
        <v>999</v>
      </c>
    </row>
    <row r="141" spans="1:18" x14ac:dyDescent="0.2">
      <c r="A141" t="str">
        <f ca="1">表_网址[[#This Row],[1级]]&amp;"-"&amp;表_网址[[#This Row],[2级]]&amp;"-"&amp;表_网址[[#This Row],[3级]]&amp;"-"&amp;表_网址[[#This Row],[级内]]</f>
        <v>102-41-10-101</v>
      </c>
      <c r="B141">
        <f>VLOOKUP(表_网址[[#This Row],[首要关键词]],表_首次要关键词[[首要关键词]:[排序]],2,0)</f>
        <v>102</v>
      </c>
      <c r="C141" s="4">
        <f ca="1">IF(表_网址[[#This Row],[次要关键词]]="",10,MATCH(表_网址[[#This Row],[次要关键词]],次要关键词,0)+10)</f>
        <v>41</v>
      </c>
      <c r="D141">
        <f ca="1">IF(表_网址[[#This Row],[重点关键词]]="",10,MATCH(表_网址[[#This Row],[重点关键词]],OFFSET(重点关键词!$A$1,MATCH($J141,首要关键词,0)*50-48,MATCH($K141,次要关键词,0),重点关键词数量,1),0)+10)</f>
        <v>10</v>
      </c>
      <c r="E141">
        <f ca="1">IF(AND(表_网址[[#This Row],[1级]]=B140,表_网址[[#This Row],[2级]]=C140,表_网址[[#This Row],[3级]]=D140),E140+1,101)</f>
        <v>101</v>
      </c>
      <c r="F141" t="s">
        <v>543</v>
      </c>
      <c r="G141" t="s">
        <v>544</v>
      </c>
      <c r="H141" t="s">
        <v>82</v>
      </c>
      <c r="I141" t="s">
        <v>545</v>
      </c>
      <c r="J141" t="s">
        <v>30</v>
      </c>
      <c r="K141" t="s">
        <v>546</v>
      </c>
      <c r="M141">
        <v>999</v>
      </c>
      <c r="P141">
        <v>32</v>
      </c>
    </row>
    <row r="142" spans="1:18" x14ac:dyDescent="0.2">
      <c r="A142" t="str">
        <f ca="1">表_网址[[#This Row],[1级]]&amp;"-"&amp;表_网址[[#This Row],[2级]]&amp;"-"&amp;表_网址[[#This Row],[3级]]&amp;"-"&amp;表_网址[[#This Row],[级内]]</f>
        <v>112-10-10-101</v>
      </c>
      <c r="B142">
        <f>VLOOKUP(表_网址[[#This Row],[首要关键词]],表_首次要关键词[[首要关键词]:[排序]],2,0)</f>
        <v>112</v>
      </c>
      <c r="C142" s="4">
        <f>IF(表_网址[[#This Row],[次要关键词]]="",10,MATCH(表_网址[[#This Row],[次要关键词]],次要关键词,0)+10)</f>
        <v>10</v>
      </c>
      <c r="D142">
        <f ca="1">IF(表_网址[[#This Row],[重点关键词]]="",10,MATCH(表_网址[[#This Row],[重点关键词]],OFFSET(重点关键词!$A$1,MATCH($J142,首要关键词,0)*50-48,MATCH($K142,次要关键词,0),重点关键词数量,1),0)+10)</f>
        <v>10</v>
      </c>
      <c r="E142">
        <f ca="1">IF(AND(表_网址[[#This Row],[1级]]=B141,表_网址[[#This Row],[2级]]=C141,表_网址[[#This Row],[3级]]=D141),E141+1,101)</f>
        <v>101</v>
      </c>
      <c r="F142" t="s">
        <v>547</v>
      </c>
      <c r="G142" t="s">
        <v>548</v>
      </c>
      <c r="H142" t="s">
        <v>82</v>
      </c>
      <c r="I142" t="s">
        <v>549</v>
      </c>
      <c r="J142" t="s">
        <v>31</v>
      </c>
      <c r="M142">
        <v>999</v>
      </c>
      <c r="N142">
        <v>999</v>
      </c>
      <c r="P142">
        <v>64</v>
      </c>
    </row>
    <row r="143" spans="1:18" x14ac:dyDescent="0.2">
      <c r="A143" t="str">
        <f ca="1">表_网址[[#This Row],[1级]]&amp;"-"&amp;表_网址[[#This Row],[2级]]&amp;"-"&amp;表_网址[[#This Row],[3级]]&amp;"-"&amp;表_网址[[#This Row],[级内]]</f>
        <v>112-11-10-101</v>
      </c>
      <c r="B143">
        <f>VLOOKUP(表_网址[[#This Row],[首要关键词]],表_首次要关键词[[首要关键词]:[排序]],2,0)</f>
        <v>112</v>
      </c>
      <c r="C143" s="4">
        <f ca="1">IF(表_网址[[#This Row],[次要关键词]]="",10,MATCH(表_网址[[#This Row],[次要关键词]],次要关键词,0)+10)</f>
        <v>11</v>
      </c>
      <c r="D143">
        <f ca="1">IF(表_网址[[#This Row],[重点关键词]]="",10,MATCH(表_网址[[#This Row],[重点关键词]],OFFSET(重点关键词!$A$1,MATCH($J143,首要关键词,0)*50-48,MATCH($K143,次要关键词,0),重点关键词数量,1),0)+10)</f>
        <v>10</v>
      </c>
      <c r="E143">
        <f ca="1">IF(AND(表_网址[[#This Row],[1级]]=B142,表_网址[[#This Row],[2级]]=C142,表_网址[[#This Row],[3级]]=D142),E142+1,101)</f>
        <v>101</v>
      </c>
      <c r="F143" t="s">
        <v>550</v>
      </c>
      <c r="G143" t="s">
        <v>551</v>
      </c>
      <c r="H143" t="s">
        <v>82</v>
      </c>
      <c r="I143" t="s">
        <v>552</v>
      </c>
      <c r="J143" t="s">
        <v>31</v>
      </c>
      <c r="K143" t="s">
        <v>553</v>
      </c>
      <c r="M143">
        <v>999</v>
      </c>
      <c r="N143">
        <v>999</v>
      </c>
      <c r="P143">
        <v>32</v>
      </c>
    </row>
    <row r="144" spans="1:18" x14ac:dyDescent="0.2">
      <c r="A144" t="str">
        <f ca="1">表_网址[[#This Row],[1级]]&amp;"-"&amp;表_网址[[#This Row],[2级]]&amp;"-"&amp;表_网址[[#This Row],[3级]]&amp;"-"&amp;表_网址[[#This Row],[级内]]</f>
        <v>112-11-10-102</v>
      </c>
      <c r="B144">
        <f>VLOOKUP(表_网址[[#This Row],[首要关键词]],表_首次要关键词[[首要关键词]:[排序]],2,0)</f>
        <v>112</v>
      </c>
      <c r="C144" s="4">
        <f ca="1">IF(表_网址[[#This Row],[次要关键词]]="",10,MATCH(表_网址[[#This Row],[次要关键词]],次要关键词,0)+10)</f>
        <v>11</v>
      </c>
      <c r="D144">
        <f ca="1">IF(表_网址[[#This Row],[重点关键词]]="",10,MATCH(表_网址[[#This Row],[重点关键词]],OFFSET(重点关键词!$A$1,MATCH($J144,首要关键词,0)*50-48,MATCH($K144,次要关键词,0),重点关键词数量,1),0)+10)</f>
        <v>10</v>
      </c>
      <c r="E144">
        <f ca="1">IF(AND(表_网址[[#This Row],[1级]]=B143,表_网址[[#This Row],[2级]]=C143,表_网址[[#This Row],[3级]]=D143),E143+1,101)</f>
        <v>102</v>
      </c>
      <c r="F144" t="s">
        <v>554</v>
      </c>
      <c r="G144" t="s">
        <v>555</v>
      </c>
      <c r="H144" t="s">
        <v>82</v>
      </c>
      <c r="I144" t="s">
        <v>556</v>
      </c>
      <c r="J144" t="s">
        <v>31</v>
      </c>
      <c r="K144" t="s">
        <v>553</v>
      </c>
      <c r="M144">
        <v>999</v>
      </c>
      <c r="P144">
        <v>16</v>
      </c>
      <c r="Q144" t="s">
        <v>557</v>
      </c>
      <c r="R144" t="s">
        <v>558</v>
      </c>
    </row>
    <row r="145" spans="1:18" x14ac:dyDescent="0.2">
      <c r="A145" t="str">
        <f ca="1">表_网址[[#This Row],[1级]]&amp;"-"&amp;表_网址[[#This Row],[2级]]&amp;"-"&amp;表_网址[[#This Row],[3级]]&amp;"-"&amp;表_网址[[#This Row],[级内]]</f>
        <v>112-11-10-103</v>
      </c>
      <c r="B145">
        <f>VLOOKUP(表_网址[[#This Row],[首要关键词]],表_首次要关键词[[首要关键词]:[排序]],2,0)</f>
        <v>112</v>
      </c>
      <c r="C145" s="4">
        <f ca="1">IF(表_网址[[#This Row],[次要关键词]]="",10,MATCH(表_网址[[#This Row],[次要关键词]],次要关键词,0)+10)</f>
        <v>11</v>
      </c>
      <c r="D145">
        <f ca="1">IF(表_网址[[#This Row],[重点关键词]]="",10,MATCH(表_网址[[#This Row],[重点关键词]],OFFSET(重点关键词!$A$1,MATCH($J145,首要关键词,0)*50-48,MATCH($K145,次要关键词,0),重点关键词数量,1),0)+10)</f>
        <v>10</v>
      </c>
      <c r="E145">
        <f ca="1">IF(AND(表_网址[[#This Row],[1级]]=B144,表_网址[[#This Row],[2级]]=C144,表_网址[[#This Row],[3级]]=D144),E144+1,101)</f>
        <v>103</v>
      </c>
      <c r="F145" t="s">
        <v>559</v>
      </c>
      <c r="G145" t="s">
        <v>560</v>
      </c>
      <c r="H145" t="s">
        <v>82</v>
      </c>
      <c r="I145" t="s">
        <v>561</v>
      </c>
      <c r="J145" t="s">
        <v>31</v>
      </c>
      <c r="K145" t="s">
        <v>553</v>
      </c>
      <c r="M145">
        <v>999</v>
      </c>
      <c r="P145">
        <v>16</v>
      </c>
      <c r="Q145" t="s">
        <v>557</v>
      </c>
      <c r="R145" t="s">
        <v>558</v>
      </c>
    </row>
    <row r="146" spans="1:18" x14ac:dyDescent="0.2">
      <c r="A146" t="str">
        <f ca="1">表_网址[[#This Row],[1级]]&amp;"-"&amp;表_网址[[#This Row],[2级]]&amp;"-"&amp;表_网址[[#This Row],[3级]]&amp;"-"&amp;表_网址[[#This Row],[级内]]</f>
        <v>112-11-10-104</v>
      </c>
      <c r="B146">
        <f>VLOOKUP(表_网址[[#This Row],[首要关键词]],表_首次要关键词[[首要关键词]:[排序]],2,0)</f>
        <v>112</v>
      </c>
      <c r="C146" s="4">
        <f ca="1">IF(表_网址[[#This Row],[次要关键词]]="",10,MATCH(表_网址[[#This Row],[次要关键词]],次要关键词,0)+10)</f>
        <v>11</v>
      </c>
      <c r="D146">
        <f ca="1">IF(表_网址[[#This Row],[重点关键词]]="",10,MATCH(表_网址[[#This Row],[重点关键词]],OFFSET(重点关键词!$A$1,MATCH($J146,首要关键词,0)*50-48,MATCH($K146,次要关键词,0),重点关键词数量,1),0)+10)</f>
        <v>10</v>
      </c>
      <c r="E146">
        <f ca="1">IF(AND(表_网址[[#This Row],[1级]]=B145,表_网址[[#This Row],[2级]]=C145,表_网址[[#This Row],[3级]]=D145),E145+1,101)</f>
        <v>104</v>
      </c>
      <c r="F146" t="s">
        <v>562</v>
      </c>
      <c r="G146" t="s">
        <v>563</v>
      </c>
      <c r="H146" t="s">
        <v>82</v>
      </c>
      <c r="I146" t="s">
        <v>564</v>
      </c>
      <c r="J146" t="s">
        <v>31</v>
      </c>
      <c r="K146" t="s">
        <v>553</v>
      </c>
      <c r="M146">
        <v>999</v>
      </c>
      <c r="P146">
        <v>32</v>
      </c>
      <c r="Q146" t="s">
        <v>557</v>
      </c>
      <c r="R146" t="s">
        <v>558</v>
      </c>
    </row>
    <row r="147" spans="1:18" x14ac:dyDescent="0.2">
      <c r="A147" t="str">
        <f ca="1">表_网址[[#This Row],[1级]]&amp;"-"&amp;表_网址[[#This Row],[2级]]&amp;"-"&amp;表_网址[[#This Row],[3级]]&amp;"-"&amp;表_网址[[#This Row],[级内]]</f>
        <v>112-11-10-105</v>
      </c>
      <c r="B147">
        <f>VLOOKUP(表_网址[[#This Row],[首要关键词]],表_首次要关键词[[首要关键词]:[排序]],2,0)</f>
        <v>112</v>
      </c>
      <c r="C147" s="4">
        <f ca="1">IF(表_网址[[#This Row],[次要关键词]]="",10,MATCH(表_网址[[#This Row],[次要关键词]],次要关键词,0)+10)</f>
        <v>11</v>
      </c>
      <c r="D147">
        <f ca="1">IF(表_网址[[#This Row],[重点关键词]]="",10,MATCH(表_网址[[#This Row],[重点关键词]],OFFSET(重点关键词!$A$1,MATCH($J147,首要关键词,0)*50-48,MATCH($K147,次要关键词,0),重点关键词数量,1),0)+10)</f>
        <v>10</v>
      </c>
      <c r="E147">
        <f ca="1">IF(AND(表_网址[[#This Row],[1级]]=B146,表_网址[[#This Row],[2级]]=C146,表_网址[[#This Row],[3级]]=D146),E146+1,101)</f>
        <v>105</v>
      </c>
      <c r="F147" t="s">
        <v>565</v>
      </c>
      <c r="G147" t="s">
        <v>566</v>
      </c>
      <c r="H147" t="s">
        <v>82</v>
      </c>
      <c r="I147" t="s">
        <v>567</v>
      </c>
      <c r="J147" t="s">
        <v>31</v>
      </c>
      <c r="K147" t="s">
        <v>553</v>
      </c>
      <c r="M147">
        <v>999</v>
      </c>
      <c r="N147">
        <v>999</v>
      </c>
      <c r="P147">
        <v>16</v>
      </c>
      <c r="Q147" t="s">
        <v>557</v>
      </c>
      <c r="R147" t="s">
        <v>558</v>
      </c>
    </row>
    <row r="148" spans="1:18" x14ac:dyDescent="0.2">
      <c r="A148" t="str">
        <f ca="1">表_网址[[#This Row],[1级]]&amp;"-"&amp;表_网址[[#This Row],[2级]]&amp;"-"&amp;表_网址[[#This Row],[3级]]&amp;"-"&amp;表_网址[[#This Row],[级内]]</f>
        <v>112-11-10-106</v>
      </c>
      <c r="B148">
        <f>VLOOKUP(表_网址[[#This Row],[首要关键词]],表_首次要关键词[[首要关键词]:[排序]],2,0)</f>
        <v>112</v>
      </c>
      <c r="C148" s="4">
        <f ca="1">IF(表_网址[[#This Row],[次要关键词]]="",10,MATCH(表_网址[[#This Row],[次要关键词]],次要关键词,0)+10)</f>
        <v>11</v>
      </c>
      <c r="D148">
        <f ca="1">IF(表_网址[[#This Row],[重点关键词]]="",10,MATCH(表_网址[[#This Row],[重点关键词]],OFFSET(重点关键词!$A$1,MATCH($J148,首要关键词,0)*50-48,MATCH($K148,次要关键词,0),重点关键词数量,1),0)+10)</f>
        <v>10</v>
      </c>
      <c r="E148">
        <f ca="1">IF(AND(表_网址[[#This Row],[1级]]=B147,表_网址[[#This Row],[2级]]=C147,表_网址[[#This Row],[3级]]=D147),E147+1,101)</f>
        <v>106</v>
      </c>
      <c r="F148" t="s">
        <v>568</v>
      </c>
      <c r="G148" t="s">
        <v>250</v>
      </c>
      <c r="H148" t="s">
        <v>82</v>
      </c>
      <c r="I148" t="s">
        <v>251</v>
      </c>
      <c r="J148" t="s">
        <v>31</v>
      </c>
      <c r="K148" t="s">
        <v>553</v>
      </c>
      <c r="M148">
        <v>999</v>
      </c>
      <c r="N148">
        <v>999</v>
      </c>
      <c r="P148">
        <v>16</v>
      </c>
      <c r="Q148" t="s">
        <v>557</v>
      </c>
      <c r="R148" t="s">
        <v>558</v>
      </c>
    </row>
    <row r="149" spans="1:18" x14ac:dyDescent="0.2">
      <c r="A149" t="str">
        <f ca="1">表_网址[[#This Row],[1级]]&amp;"-"&amp;表_网址[[#This Row],[2级]]&amp;"-"&amp;表_网址[[#This Row],[3级]]&amp;"-"&amp;表_网址[[#This Row],[级内]]</f>
        <v>112-11-10-107</v>
      </c>
      <c r="B149">
        <f>VLOOKUP(表_网址[[#This Row],[首要关键词]],表_首次要关键词[[首要关键词]:[排序]],2,0)</f>
        <v>112</v>
      </c>
      <c r="C149" s="4">
        <f ca="1">IF(表_网址[[#This Row],[次要关键词]]="",10,MATCH(表_网址[[#This Row],[次要关键词]],次要关键词,0)+10)</f>
        <v>11</v>
      </c>
      <c r="D149">
        <f ca="1">IF(表_网址[[#This Row],[重点关键词]]="",10,MATCH(表_网址[[#This Row],[重点关键词]],OFFSET(重点关键词!$A$1,MATCH($J149,首要关键词,0)*50-48,MATCH($K149,次要关键词,0),重点关键词数量,1),0)+10)</f>
        <v>10</v>
      </c>
      <c r="E149">
        <f ca="1">IF(AND(表_网址[[#This Row],[1级]]=B148,表_网址[[#This Row],[2级]]=C148,表_网址[[#This Row],[3级]]=D148),E148+1,101)</f>
        <v>107</v>
      </c>
      <c r="F149" t="s">
        <v>550</v>
      </c>
      <c r="G149" t="s">
        <v>551</v>
      </c>
      <c r="H149" t="s">
        <v>82</v>
      </c>
      <c r="I149" t="s">
        <v>552</v>
      </c>
      <c r="J149" t="s">
        <v>31</v>
      </c>
      <c r="K149" t="s">
        <v>553</v>
      </c>
      <c r="M149">
        <v>999</v>
      </c>
      <c r="N149">
        <v>999</v>
      </c>
      <c r="P149">
        <v>32</v>
      </c>
      <c r="Q149" t="s">
        <v>557</v>
      </c>
      <c r="R149" t="s">
        <v>558</v>
      </c>
    </row>
    <row r="150" spans="1:18" x14ac:dyDescent="0.2">
      <c r="A150" t="str">
        <f ca="1">表_网址[[#This Row],[1级]]&amp;"-"&amp;表_网址[[#This Row],[2级]]&amp;"-"&amp;表_网址[[#This Row],[3级]]&amp;"-"&amp;表_网址[[#This Row],[级内]]</f>
        <v>112-11-10-108</v>
      </c>
      <c r="B150">
        <f>VLOOKUP(表_网址[[#This Row],[首要关键词]],表_首次要关键词[[首要关键词]:[排序]],2,0)</f>
        <v>112</v>
      </c>
      <c r="C150" s="4">
        <f ca="1">IF(表_网址[[#This Row],[次要关键词]]="",10,MATCH(表_网址[[#This Row],[次要关键词]],次要关键词,0)+10)</f>
        <v>11</v>
      </c>
      <c r="D150">
        <f ca="1">IF(表_网址[[#This Row],[重点关键词]]="",10,MATCH(表_网址[[#This Row],[重点关键词]],OFFSET(重点关键词!$A$1,MATCH($J150,首要关键词,0)*50-48,MATCH($K150,次要关键词,0),重点关键词数量,1),0)+10)</f>
        <v>10</v>
      </c>
      <c r="E150">
        <f ca="1">IF(AND(表_网址[[#This Row],[1级]]=B149,表_网址[[#This Row],[2级]]=C149,表_网址[[#This Row],[3级]]=D149),E149+1,101)</f>
        <v>108</v>
      </c>
      <c r="F150" t="s">
        <v>547</v>
      </c>
      <c r="G150" t="s">
        <v>548</v>
      </c>
      <c r="H150" t="s">
        <v>82</v>
      </c>
      <c r="I150" t="s">
        <v>549</v>
      </c>
      <c r="J150" t="s">
        <v>31</v>
      </c>
      <c r="K150" t="s">
        <v>553</v>
      </c>
      <c r="M150">
        <v>999</v>
      </c>
      <c r="N150">
        <v>999</v>
      </c>
      <c r="P150">
        <v>64</v>
      </c>
      <c r="Q150" t="s">
        <v>557</v>
      </c>
      <c r="R150" t="s">
        <v>558</v>
      </c>
    </row>
    <row r="151" spans="1:18" x14ac:dyDescent="0.2">
      <c r="A151" t="str">
        <f ca="1">表_网址[[#This Row],[1级]]&amp;"-"&amp;表_网址[[#This Row],[2级]]&amp;"-"&amp;表_网址[[#This Row],[3级]]&amp;"-"&amp;表_网址[[#This Row],[级内]]</f>
        <v>112-11-10-109</v>
      </c>
      <c r="B151">
        <f>VLOOKUP(表_网址[[#This Row],[首要关键词]],表_首次要关键词[[首要关键词]:[排序]],2,0)</f>
        <v>112</v>
      </c>
      <c r="C151" s="4">
        <f ca="1">IF(表_网址[[#This Row],[次要关键词]]="",10,MATCH(表_网址[[#This Row],[次要关键词]],次要关键词,0)+10)</f>
        <v>11</v>
      </c>
      <c r="D151">
        <f ca="1">IF(表_网址[[#This Row],[重点关键词]]="",10,MATCH(表_网址[[#This Row],[重点关键词]],OFFSET(重点关键词!$A$1,MATCH($J151,首要关键词,0)*50-48,MATCH($K151,次要关键词,0),重点关键词数量,1),0)+10)</f>
        <v>10</v>
      </c>
      <c r="E151">
        <f ca="1">IF(AND(表_网址[[#This Row],[1级]]=B150,表_网址[[#This Row],[2级]]=C150,表_网址[[#This Row],[3级]]=D150),E150+1,101)</f>
        <v>109</v>
      </c>
      <c r="F151" t="s">
        <v>569</v>
      </c>
      <c r="G151" t="s">
        <v>570</v>
      </c>
      <c r="H151" t="s">
        <v>82</v>
      </c>
      <c r="I151" t="s">
        <v>571</v>
      </c>
      <c r="J151" t="s">
        <v>31</v>
      </c>
      <c r="K151" t="s">
        <v>553</v>
      </c>
      <c r="M151">
        <v>999</v>
      </c>
      <c r="P151">
        <v>16</v>
      </c>
      <c r="Q151" t="s">
        <v>557</v>
      </c>
      <c r="R151" t="s">
        <v>558</v>
      </c>
    </row>
    <row r="152" spans="1:18" x14ac:dyDescent="0.2">
      <c r="A152" t="str">
        <f ca="1">表_网址[[#This Row],[1级]]&amp;"-"&amp;表_网址[[#This Row],[2级]]&amp;"-"&amp;表_网址[[#This Row],[3级]]&amp;"-"&amp;表_网址[[#This Row],[级内]]</f>
        <v>112-11-10-110</v>
      </c>
      <c r="B152">
        <f>VLOOKUP(表_网址[[#This Row],[首要关键词]],表_首次要关键词[[首要关键词]:[排序]],2,0)</f>
        <v>112</v>
      </c>
      <c r="C152" s="4">
        <f ca="1">IF(表_网址[[#This Row],[次要关键词]]="",10,MATCH(表_网址[[#This Row],[次要关键词]],次要关键词,0)+10)</f>
        <v>11</v>
      </c>
      <c r="D152">
        <f ca="1">IF(表_网址[[#This Row],[重点关键词]]="",10,MATCH(表_网址[[#This Row],[重点关键词]],OFFSET(重点关键词!$A$1,MATCH($J152,首要关键词,0)*50-48,MATCH($K152,次要关键词,0),重点关键词数量,1),0)+10)</f>
        <v>10</v>
      </c>
      <c r="E152">
        <f ca="1">IF(AND(表_网址[[#This Row],[1级]]=B151,表_网址[[#This Row],[2级]]=C151,表_网址[[#This Row],[3级]]=D151),E151+1,101)</f>
        <v>110</v>
      </c>
      <c r="F152" t="s">
        <v>572</v>
      </c>
      <c r="G152" t="s">
        <v>573</v>
      </c>
      <c r="H152" t="s">
        <v>82</v>
      </c>
      <c r="I152" t="s">
        <v>574</v>
      </c>
      <c r="J152" t="s">
        <v>31</v>
      </c>
      <c r="K152" t="s">
        <v>553</v>
      </c>
      <c r="M152">
        <v>999</v>
      </c>
      <c r="Q152" t="s">
        <v>557</v>
      </c>
      <c r="R152" t="s">
        <v>558</v>
      </c>
    </row>
    <row r="153" spans="1:18" x14ac:dyDescent="0.2">
      <c r="A153" t="str">
        <f ca="1">表_网址[[#This Row],[1级]]&amp;"-"&amp;表_网址[[#This Row],[2级]]&amp;"-"&amp;表_网址[[#This Row],[3级]]&amp;"-"&amp;表_网址[[#This Row],[级内]]</f>
        <v>112-11-10-111</v>
      </c>
      <c r="B153">
        <f>VLOOKUP(表_网址[[#This Row],[首要关键词]],表_首次要关键词[[首要关键词]:[排序]],2,0)</f>
        <v>112</v>
      </c>
      <c r="C153" s="4">
        <f ca="1">IF(表_网址[[#This Row],[次要关键词]]="",10,MATCH(表_网址[[#This Row],[次要关键词]],次要关键词,0)+10)</f>
        <v>11</v>
      </c>
      <c r="D153">
        <f ca="1">IF(表_网址[[#This Row],[重点关键词]]="",10,MATCH(表_网址[[#This Row],[重点关键词]],OFFSET(重点关键词!$A$1,MATCH($J153,首要关键词,0)*50-48,MATCH($K153,次要关键词,0),重点关键词数量,1),0)+10)</f>
        <v>10</v>
      </c>
      <c r="E153">
        <f ca="1">IF(AND(表_网址[[#This Row],[1级]]=B152,表_网址[[#This Row],[2级]]=C152,表_网址[[#This Row],[3级]]=D152),E152+1,101)</f>
        <v>111</v>
      </c>
      <c r="F153" t="s">
        <v>575</v>
      </c>
      <c r="G153" t="s">
        <v>576</v>
      </c>
      <c r="H153" t="s">
        <v>82</v>
      </c>
      <c r="I153" t="s">
        <v>577</v>
      </c>
      <c r="J153" t="s">
        <v>31</v>
      </c>
      <c r="K153" t="s">
        <v>553</v>
      </c>
      <c r="M153">
        <v>999</v>
      </c>
      <c r="P153">
        <v>16</v>
      </c>
      <c r="Q153" t="s">
        <v>557</v>
      </c>
      <c r="R153" t="s">
        <v>558</v>
      </c>
    </row>
    <row r="154" spans="1:18" x14ac:dyDescent="0.2">
      <c r="A154" t="str">
        <f ca="1">表_网址[[#This Row],[1级]]&amp;"-"&amp;表_网址[[#This Row],[2级]]&amp;"-"&amp;表_网址[[#This Row],[3级]]&amp;"-"&amp;表_网址[[#This Row],[级内]]</f>
        <v>112-11-10-112</v>
      </c>
      <c r="B154">
        <f>VLOOKUP(表_网址[[#This Row],[首要关键词]],表_首次要关键词[[首要关键词]:[排序]],2,0)</f>
        <v>112</v>
      </c>
      <c r="C154" s="4">
        <f ca="1">IF(表_网址[[#This Row],[次要关键词]]="",10,MATCH(表_网址[[#This Row],[次要关键词]],次要关键词,0)+10)</f>
        <v>11</v>
      </c>
      <c r="D154">
        <f ca="1">IF(表_网址[[#This Row],[重点关键词]]="",10,MATCH(表_网址[[#This Row],[重点关键词]],OFFSET(重点关键词!$A$1,MATCH($J154,首要关键词,0)*50-48,MATCH($K154,次要关键词,0),重点关键词数量,1),0)+10)</f>
        <v>10</v>
      </c>
      <c r="E154">
        <f ca="1">IF(AND(表_网址[[#This Row],[1级]]=B153,表_网址[[#This Row],[2级]]=C153,表_网址[[#This Row],[3级]]=D153),E153+1,101)</f>
        <v>112</v>
      </c>
      <c r="F154" t="s">
        <v>578</v>
      </c>
      <c r="G154" t="s">
        <v>579</v>
      </c>
      <c r="H154" t="s">
        <v>82</v>
      </c>
      <c r="I154" t="s">
        <v>580</v>
      </c>
      <c r="J154" t="s">
        <v>31</v>
      </c>
      <c r="K154" t="s">
        <v>553</v>
      </c>
      <c r="M154">
        <v>999</v>
      </c>
      <c r="N154">
        <v>999</v>
      </c>
      <c r="P154">
        <v>16</v>
      </c>
      <c r="Q154" t="s">
        <v>557</v>
      </c>
      <c r="R154" t="s">
        <v>558</v>
      </c>
    </row>
    <row r="155" spans="1:18" x14ac:dyDescent="0.2">
      <c r="A155" t="str">
        <f ca="1">表_网址[[#This Row],[1级]]&amp;"-"&amp;表_网址[[#This Row],[2级]]&amp;"-"&amp;表_网址[[#This Row],[3级]]&amp;"-"&amp;表_网址[[#This Row],[级内]]</f>
        <v>112-11-10-113</v>
      </c>
      <c r="B155">
        <f>VLOOKUP(表_网址[[#This Row],[首要关键词]],表_首次要关键词[[首要关键词]:[排序]],2,0)</f>
        <v>112</v>
      </c>
      <c r="C155" s="4">
        <f ca="1">IF(表_网址[[#This Row],[次要关键词]]="",10,MATCH(表_网址[[#This Row],[次要关键词]],次要关键词,0)+10)</f>
        <v>11</v>
      </c>
      <c r="D155">
        <f ca="1">IF(表_网址[[#This Row],[重点关键词]]="",10,MATCH(表_网址[[#This Row],[重点关键词]],OFFSET(重点关键词!$A$1,MATCH($J155,首要关键词,0)*50-48,MATCH($K155,次要关键词,0),重点关键词数量,1),0)+10)</f>
        <v>10</v>
      </c>
      <c r="E155">
        <f ca="1">IF(AND(表_网址[[#This Row],[1级]]=B154,表_网址[[#This Row],[2级]]=C154,表_网址[[#This Row],[3级]]=D154),E154+1,101)</f>
        <v>113</v>
      </c>
      <c r="F155" t="s">
        <v>581</v>
      </c>
      <c r="G155" t="s">
        <v>582</v>
      </c>
      <c r="H155" t="s">
        <v>82</v>
      </c>
      <c r="I155" t="s">
        <v>583</v>
      </c>
      <c r="J155" t="s">
        <v>31</v>
      </c>
      <c r="K155" t="s">
        <v>553</v>
      </c>
      <c r="M155">
        <v>999</v>
      </c>
      <c r="P155">
        <v>32</v>
      </c>
      <c r="Q155" t="s">
        <v>557</v>
      </c>
      <c r="R155" t="s">
        <v>558</v>
      </c>
    </row>
    <row r="156" spans="1:18" x14ac:dyDescent="0.2">
      <c r="A156" t="str">
        <f ca="1">表_网址[[#This Row],[1级]]&amp;"-"&amp;表_网址[[#This Row],[2级]]&amp;"-"&amp;表_网址[[#This Row],[3级]]&amp;"-"&amp;表_网址[[#This Row],[级内]]</f>
        <v>112-11-10-114</v>
      </c>
      <c r="B156">
        <f>VLOOKUP(表_网址[[#This Row],[首要关键词]],表_首次要关键词[[首要关键词]:[排序]],2,0)</f>
        <v>112</v>
      </c>
      <c r="C156" s="4">
        <f ca="1">IF(表_网址[[#This Row],[次要关键词]]="",10,MATCH(表_网址[[#This Row],[次要关键词]],次要关键词,0)+10)</f>
        <v>11</v>
      </c>
      <c r="D156">
        <f ca="1">IF(表_网址[[#This Row],[重点关键词]]="",10,MATCH(表_网址[[#This Row],[重点关键词]],OFFSET(重点关键词!$A$1,MATCH($J156,首要关键词,0)*50-48,MATCH($K156,次要关键词,0),重点关键词数量,1),0)+10)</f>
        <v>10</v>
      </c>
      <c r="E156">
        <f ca="1">IF(AND(表_网址[[#This Row],[1级]]=B155,表_网址[[#This Row],[2级]]=C155,表_网址[[#This Row],[3级]]=D155),E155+1,101)</f>
        <v>114</v>
      </c>
      <c r="F156" t="s">
        <v>584</v>
      </c>
      <c r="G156" t="s">
        <v>585</v>
      </c>
      <c r="H156" t="s">
        <v>82</v>
      </c>
      <c r="I156" t="s">
        <v>586</v>
      </c>
      <c r="J156" t="s">
        <v>31</v>
      </c>
      <c r="K156" t="s">
        <v>553</v>
      </c>
      <c r="M156">
        <v>999</v>
      </c>
      <c r="P156">
        <v>32</v>
      </c>
      <c r="Q156" t="s">
        <v>557</v>
      </c>
      <c r="R156" t="s">
        <v>558</v>
      </c>
    </row>
    <row r="157" spans="1:18" x14ac:dyDescent="0.2">
      <c r="A157" t="str">
        <f ca="1">表_网址[[#This Row],[1级]]&amp;"-"&amp;表_网址[[#This Row],[2级]]&amp;"-"&amp;表_网址[[#This Row],[3级]]&amp;"-"&amp;表_网址[[#This Row],[级内]]</f>
        <v>112-11-10-115</v>
      </c>
      <c r="B157">
        <f>VLOOKUP(表_网址[[#This Row],[首要关键词]],表_首次要关键词[[首要关键词]:[排序]],2,0)</f>
        <v>112</v>
      </c>
      <c r="C157" s="4">
        <f ca="1">IF(表_网址[[#This Row],[次要关键词]]="",10,MATCH(表_网址[[#This Row],[次要关键词]],次要关键词,0)+10)</f>
        <v>11</v>
      </c>
      <c r="D157">
        <f ca="1">IF(表_网址[[#This Row],[重点关键词]]="",10,MATCH(表_网址[[#This Row],[重点关键词]],OFFSET(重点关键词!$A$1,MATCH($J157,首要关键词,0)*50-48,MATCH($K157,次要关键词,0),重点关键词数量,1),0)+10)</f>
        <v>10</v>
      </c>
      <c r="E157">
        <f ca="1">IF(AND(表_网址[[#This Row],[1级]]=B156,表_网址[[#This Row],[2级]]=C156,表_网址[[#This Row],[3级]]=D156),E156+1,101)</f>
        <v>115</v>
      </c>
      <c r="F157" t="s">
        <v>587</v>
      </c>
      <c r="G157" t="s">
        <v>588</v>
      </c>
      <c r="H157" t="s">
        <v>82</v>
      </c>
      <c r="I157" t="s">
        <v>589</v>
      </c>
      <c r="J157" t="s">
        <v>31</v>
      </c>
      <c r="K157" t="s">
        <v>553</v>
      </c>
      <c r="M157">
        <v>999</v>
      </c>
      <c r="P157">
        <v>72</v>
      </c>
      <c r="Q157" t="s">
        <v>557</v>
      </c>
      <c r="R157" t="s">
        <v>558</v>
      </c>
    </row>
    <row r="158" spans="1:18" x14ac:dyDescent="0.2">
      <c r="A158" t="str">
        <f ca="1">表_网址[[#This Row],[1级]]&amp;"-"&amp;表_网址[[#This Row],[2级]]&amp;"-"&amp;表_网址[[#This Row],[3级]]&amp;"-"&amp;表_网址[[#This Row],[级内]]</f>
        <v>112-11-10-116</v>
      </c>
      <c r="B158">
        <f>VLOOKUP(表_网址[[#This Row],[首要关键词]],表_首次要关键词[[首要关键词]:[排序]],2,0)</f>
        <v>112</v>
      </c>
      <c r="C158" s="4">
        <f ca="1">IF(表_网址[[#This Row],[次要关键词]]="",10,MATCH(表_网址[[#This Row],[次要关键词]],次要关键词,0)+10)</f>
        <v>11</v>
      </c>
      <c r="D158">
        <f ca="1">IF(表_网址[[#This Row],[重点关键词]]="",10,MATCH(表_网址[[#This Row],[重点关键词]],OFFSET(重点关键词!$A$1,MATCH($J158,首要关键词,0)*50-48,MATCH($K158,次要关键词,0),重点关键词数量,1),0)+10)</f>
        <v>10</v>
      </c>
      <c r="E158">
        <f ca="1">IF(AND(表_网址[[#This Row],[1级]]=B157,表_网址[[#This Row],[2级]]=C157,表_网址[[#This Row],[3级]]=D157),E157+1,101)</f>
        <v>116</v>
      </c>
      <c r="F158" t="s">
        <v>590</v>
      </c>
      <c r="G158" t="s">
        <v>591</v>
      </c>
      <c r="H158" t="s">
        <v>82</v>
      </c>
      <c r="I158" t="s">
        <v>592</v>
      </c>
      <c r="J158" t="s">
        <v>31</v>
      </c>
      <c r="K158" t="s">
        <v>553</v>
      </c>
      <c r="M158">
        <v>999</v>
      </c>
      <c r="P158">
        <v>16</v>
      </c>
      <c r="Q158" t="s">
        <v>557</v>
      </c>
      <c r="R158" t="s">
        <v>558</v>
      </c>
    </row>
    <row r="159" spans="1:18" x14ac:dyDescent="0.2">
      <c r="A159" t="str">
        <f ca="1">表_网址[[#This Row],[1级]]&amp;"-"&amp;表_网址[[#This Row],[2级]]&amp;"-"&amp;表_网址[[#This Row],[3级]]&amp;"-"&amp;表_网址[[#This Row],[级内]]</f>
        <v>201-10-10-101</v>
      </c>
      <c r="B159">
        <f>VLOOKUP(表_网址[[#This Row],[首要关键词]],表_首次要关键词[[首要关键词]:[排序]],2,0)</f>
        <v>201</v>
      </c>
      <c r="C159" s="4">
        <f>IF(表_网址[[#This Row],[次要关键词]]="",10,MATCH(表_网址[[#This Row],[次要关键词]],次要关键词,0)+10)</f>
        <v>10</v>
      </c>
      <c r="D159">
        <f ca="1">IF(表_网址[[#This Row],[重点关键词]]="",10,MATCH(表_网址[[#This Row],[重点关键词]],OFFSET(重点关键词!$A$1,MATCH($J159,首要关键词,0)*50-48,MATCH($K159,次要关键词,0),重点关键词数量,1),0)+10)</f>
        <v>10</v>
      </c>
      <c r="E159">
        <f ca="1">IF(AND(表_网址[[#This Row],[1级]]=B158,表_网址[[#This Row],[2级]]=C158,表_网址[[#This Row],[3级]]=D158),E158+1,101)</f>
        <v>101</v>
      </c>
      <c r="F159" t="s">
        <v>593</v>
      </c>
      <c r="G159" t="s">
        <v>594</v>
      </c>
      <c r="H159" t="s">
        <v>82</v>
      </c>
      <c r="I159" t="s">
        <v>595</v>
      </c>
      <c r="J159" t="s">
        <v>32</v>
      </c>
      <c r="M159">
        <v>999</v>
      </c>
      <c r="N159">
        <v>999</v>
      </c>
      <c r="P159">
        <v>64</v>
      </c>
      <c r="Q159" t="s">
        <v>557</v>
      </c>
      <c r="R159" t="s">
        <v>558</v>
      </c>
    </row>
    <row r="160" spans="1:18" x14ac:dyDescent="0.2">
      <c r="A160" t="str">
        <f ca="1">表_网址[[#This Row],[1级]]&amp;"-"&amp;表_网址[[#This Row],[2级]]&amp;"-"&amp;表_网址[[#This Row],[3级]]&amp;"-"&amp;表_网址[[#This Row],[级内]]</f>
        <v>201-10-10-102</v>
      </c>
      <c r="B160">
        <f>VLOOKUP(表_网址[[#This Row],[首要关键词]],表_首次要关键词[[首要关键词]:[排序]],2,0)</f>
        <v>201</v>
      </c>
      <c r="C160" s="4">
        <f>IF(表_网址[[#This Row],[次要关键词]]="",10,MATCH(表_网址[[#This Row],[次要关键词]],次要关键词,0)+10)</f>
        <v>10</v>
      </c>
      <c r="D160">
        <f ca="1">IF(表_网址[[#This Row],[重点关键词]]="",10,MATCH(表_网址[[#This Row],[重点关键词]],OFFSET(重点关键词!$A$1,MATCH($J160,首要关键词,0)*50-48,MATCH($K160,次要关键词,0),重点关键词数量,1),0)+10)</f>
        <v>10</v>
      </c>
      <c r="E160">
        <f ca="1">IF(AND(表_网址[[#This Row],[1级]]=B159,表_网址[[#This Row],[2级]]=C159,表_网址[[#This Row],[3级]]=D159),E159+1,101)</f>
        <v>102</v>
      </c>
      <c r="F160" t="s">
        <v>596</v>
      </c>
      <c r="G160" t="s">
        <v>597</v>
      </c>
      <c r="H160" t="s">
        <v>82</v>
      </c>
      <c r="I160" t="s">
        <v>598</v>
      </c>
      <c r="J160" t="s">
        <v>32</v>
      </c>
      <c r="M160">
        <v>999</v>
      </c>
      <c r="N160">
        <v>999</v>
      </c>
      <c r="P160">
        <v>32</v>
      </c>
    </row>
    <row r="161" spans="1:18" x14ac:dyDescent="0.2">
      <c r="A161" t="str">
        <f ca="1">表_网址[[#This Row],[1级]]&amp;"-"&amp;表_网址[[#This Row],[2级]]&amp;"-"&amp;表_网址[[#This Row],[3级]]&amp;"-"&amp;表_网址[[#This Row],[级内]]</f>
        <v>201-10-10-103</v>
      </c>
      <c r="B161">
        <f>VLOOKUP(表_网址[[#This Row],[首要关键词]],表_首次要关键词[[首要关键词]:[排序]],2,0)</f>
        <v>201</v>
      </c>
      <c r="C161" s="4">
        <f>IF(表_网址[[#This Row],[次要关键词]]="",10,MATCH(表_网址[[#This Row],[次要关键词]],次要关键词,0)+10)</f>
        <v>10</v>
      </c>
      <c r="D161">
        <f ca="1">IF(表_网址[[#This Row],[重点关键词]]="",10,MATCH(表_网址[[#This Row],[重点关键词]],OFFSET(重点关键词!$A$1,MATCH($J161,首要关键词,0)*50-48,MATCH($K161,次要关键词,0),重点关键词数量,1),0)+10)</f>
        <v>10</v>
      </c>
      <c r="E161">
        <f ca="1">IF(AND(表_网址[[#This Row],[1级]]=B160,表_网址[[#This Row],[2级]]=C160,表_网址[[#This Row],[3级]]=D160),E160+1,101)</f>
        <v>103</v>
      </c>
      <c r="F161" t="s">
        <v>599</v>
      </c>
      <c r="G161" t="s">
        <v>600</v>
      </c>
      <c r="H161" t="s">
        <v>82</v>
      </c>
      <c r="I161" t="s">
        <v>601</v>
      </c>
      <c r="J161" t="s">
        <v>32</v>
      </c>
      <c r="M161">
        <v>999</v>
      </c>
      <c r="N161">
        <v>999</v>
      </c>
      <c r="P161">
        <v>32</v>
      </c>
      <c r="Q161" t="s">
        <v>557</v>
      </c>
      <c r="R161" t="s">
        <v>558</v>
      </c>
    </row>
    <row r="162" spans="1:18" x14ac:dyDescent="0.2">
      <c r="A162" t="str">
        <f ca="1">表_网址[[#This Row],[1级]]&amp;"-"&amp;表_网址[[#This Row],[2级]]&amp;"-"&amp;表_网址[[#This Row],[3级]]&amp;"-"&amp;表_网址[[#This Row],[级内]]</f>
        <v>201-11-10-101</v>
      </c>
      <c r="B162">
        <f>VLOOKUP(表_网址[[#This Row],[首要关键词]],表_首次要关键词[[首要关键词]:[排序]],2,0)</f>
        <v>201</v>
      </c>
      <c r="C162" s="4">
        <f ca="1">IF(表_网址[[#This Row],[次要关键词]]="",10,MATCH(表_网址[[#This Row],[次要关键词]],次要关键词,0)+10)</f>
        <v>11</v>
      </c>
      <c r="D162">
        <f ca="1">IF(表_网址[[#This Row],[重点关键词]]="",10,MATCH(表_网址[[#This Row],[重点关键词]],OFFSET(重点关键词!$A$1,MATCH($J162,首要关键词,0)*50-48,MATCH($K162,次要关键词,0),重点关键词数量,1),0)+10)</f>
        <v>10</v>
      </c>
      <c r="E162">
        <f ca="1">IF(AND(表_网址[[#This Row],[1级]]=B161,表_网址[[#This Row],[2级]]=C161,表_网址[[#This Row],[3级]]=D161),E161+1,101)</f>
        <v>101</v>
      </c>
      <c r="F162" t="s">
        <v>602</v>
      </c>
      <c r="G162" t="s">
        <v>603</v>
      </c>
      <c r="H162" t="s">
        <v>82</v>
      </c>
      <c r="I162" t="s">
        <v>604</v>
      </c>
      <c r="J162" t="s">
        <v>32</v>
      </c>
      <c r="K162" t="s">
        <v>52</v>
      </c>
      <c r="M162">
        <v>999</v>
      </c>
      <c r="N162">
        <v>999</v>
      </c>
      <c r="P162">
        <v>16</v>
      </c>
    </row>
    <row r="163" spans="1:18" x14ac:dyDescent="0.2">
      <c r="A163" t="str">
        <f ca="1">表_网址[[#This Row],[1级]]&amp;"-"&amp;表_网址[[#This Row],[2级]]&amp;"-"&amp;表_网址[[#This Row],[3级]]&amp;"-"&amp;表_网址[[#This Row],[级内]]</f>
        <v>201-12-10-101</v>
      </c>
      <c r="B163">
        <f>VLOOKUP(表_网址[[#This Row],[首要关键词]],表_首次要关键词[[首要关键词]:[排序]],2,0)</f>
        <v>201</v>
      </c>
      <c r="C163" s="4">
        <f ca="1">IF(表_网址[[#This Row],[次要关键词]]="",10,MATCH(表_网址[[#This Row],[次要关键词]],次要关键词,0)+10)</f>
        <v>12</v>
      </c>
      <c r="D163">
        <f ca="1">IF(表_网址[[#This Row],[重点关键词]]="",10,MATCH(表_网址[[#This Row],[重点关键词]],OFFSET(重点关键词!$A$1,MATCH($J163,首要关键词,0)*50-48,MATCH($K163,次要关键词,0),重点关键词数量,1),0)+10)</f>
        <v>10</v>
      </c>
      <c r="E163">
        <f ca="1">IF(AND(表_网址[[#This Row],[1级]]=B162,表_网址[[#This Row],[2级]]=C162,表_网址[[#This Row],[3级]]=D162),E162+1,101)</f>
        <v>101</v>
      </c>
      <c r="F163" t="s">
        <v>605</v>
      </c>
      <c r="G163" t="s">
        <v>606</v>
      </c>
      <c r="H163" t="s">
        <v>82</v>
      </c>
      <c r="I163" t="s">
        <v>607</v>
      </c>
      <c r="J163" t="s">
        <v>32</v>
      </c>
      <c r="K163" t="s">
        <v>608</v>
      </c>
      <c r="M163">
        <v>999</v>
      </c>
      <c r="N163">
        <v>999</v>
      </c>
      <c r="P163">
        <v>20</v>
      </c>
    </row>
    <row r="164" spans="1:18" x14ac:dyDescent="0.2">
      <c r="A164" t="str">
        <f ca="1">表_网址[[#This Row],[1级]]&amp;"-"&amp;表_网址[[#This Row],[2级]]&amp;"-"&amp;表_网址[[#This Row],[3级]]&amp;"-"&amp;表_网址[[#This Row],[级内]]</f>
        <v>201-13-10-101</v>
      </c>
      <c r="B164">
        <f>VLOOKUP(表_网址[[#This Row],[首要关键词]],表_首次要关键词[[首要关键词]:[排序]],2,0)</f>
        <v>201</v>
      </c>
      <c r="C164" s="4">
        <f ca="1">IF(表_网址[[#This Row],[次要关键词]]="",10,MATCH(表_网址[[#This Row],[次要关键词]],次要关键词,0)+10)</f>
        <v>13</v>
      </c>
      <c r="D164">
        <f ca="1">IF(表_网址[[#This Row],[重点关键词]]="",10,MATCH(表_网址[[#This Row],[重点关键词]],OFFSET(重点关键词!$A$1,MATCH($J164,首要关键词,0)*50-48,MATCH($K164,次要关键词,0),重点关键词数量,1),0)+10)</f>
        <v>10</v>
      </c>
      <c r="E164">
        <f ca="1">IF(AND(表_网址[[#This Row],[1级]]=B163,表_网址[[#This Row],[2级]]=C163,表_网址[[#This Row],[3级]]=D163),E163+1,101)</f>
        <v>101</v>
      </c>
      <c r="F164" t="s">
        <v>609</v>
      </c>
      <c r="G164" t="s">
        <v>610</v>
      </c>
      <c r="H164" t="s">
        <v>82</v>
      </c>
      <c r="I164" t="s">
        <v>611</v>
      </c>
      <c r="J164" t="s">
        <v>32</v>
      </c>
      <c r="K164" t="s">
        <v>612</v>
      </c>
      <c r="M164">
        <v>999</v>
      </c>
      <c r="N164">
        <v>999</v>
      </c>
      <c r="P164">
        <v>32</v>
      </c>
    </row>
    <row r="165" spans="1:18" x14ac:dyDescent="0.2">
      <c r="A165" t="str">
        <f ca="1">表_网址[[#This Row],[1级]]&amp;"-"&amp;表_网址[[#This Row],[2级]]&amp;"-"&amp;表_网址[[#This Row],[3级]]&amp;"-"&amp;表_网址[[#This Row],[级内]]</f>
        <v>201-14-10-101</v>
      </c>
      <c r="B165">
        <f>VLOOKUP(表_网址[[#This Row],[首要关键词]],表_首次要关键词[[首要关键词]:[排序]],2,0)</f>
        <v>201</v>
      </c>
      <c r="C165" s="4">
        <f ca="1">IF(表_网址[[#This Row],[次要关键词]]="",10,MATCH(表_网址[[#This Row],[次要关键词]],次要关键词,0)+10)</f>
        <v>14</v>
      </c>
      <c r="D165">
        <f ca="1">IF(表_网址[[#This Row],[重点关键词]]="",10,MATCH(表_网址[[#This Row],[重点关键词]],OFFSET(重点关键词!$A$1,MATCH($J165,首要关键词,0)*50-48,MATCH($K165,次要关键词,0),重点关键词数量,1),0)+10)</f>
        <v>10</v>
      </c>
      <c r="E165">
        <f ca="1">IF(AND(表_网址[[#This Row],[1级]]=B164,表_网址[[#This Row],[2级]]=C164,表_网址[[#This Row],[3级]]=D164),E164+1,101)</f>
        <v>101</v>
      </c>
      <c r="F165" t="s">
        <v>613</v>
      </c>
      <c r="G165" t="s">
        <v>614</v>
      </c>
      <c r="H165" t="s">
        <v>615</v>
      </c>
      <c r="I165" t="s">
        <v>616</v>
      </c>
      <c r="J165" t="s">
        <v>32</v>
      </c>
      <c r="K165" t="s">
        <v>617</v>
      </c>
      <c r="M165">
        <v>999</v>
      </c>
      <c r="N165">
        <v>999</v>
      </c>
    </row>
    <row r="166" spans="1:18" x14ac:dyDescent="0.2">
      <c r="A166" t="str">
        <f ca="1">表_网址[[#This Row],[1级]]&amp;"-"&amp;表_网址[[#This Row],[2级]]&amp;"-"&amp;表_网址[[#This Row],[3级]]&amp;"-"&amp;表_网址[[#This Row],[级内]]</f>
        <v>201-15-10-101</v>
      </c>
      <c r="B166">
        <f>VLOOKUP(表_网址[[#This Row],[首要关键词]],表_首次要关键词[[首要关键词]:[排序]],2,0)</f>
        <v>201</v>
      </c>
      <c r="C166" s="4">
        <f ca="1">IF(表_网址[[#This Row],[次要关键词]]="",10,MATCH(表_网址[[#This Row],[次要关键词]],次要关键词,0)+10)</f>
        <v>15</v>
      </c>
      <c r="D166" s="4">
        <f ca="1">IF(表_网址[[#This Row],[重点关键词]]="",10,MATCH(表_网址[[#This Row],[重点关键词]],OFFSET(重点关键词!$A$1,MATCH($J166,首要关键词,0)*50-48,MATCH($K166,次要关键词,0),重点关键词数量,1),0)+10)</f>
        <v>10</v>
      </c>
      <c r="E166">
        <f ca="1">IF(AND(表_网址[[#This Row],[1级]]=B165,表_网址[[#This Row],[2级]]=C165,表_网址[[#This Row],[3级]]=D165),E165+1,101)</f>
        <v>101</v>
      </c>
      <c r="F166" t="s">
        <v>1731</v>
      </c>
      <c r="G166" t="s">
        <v>1728</v>
      </c>
      <c r="I166" s="6" t="s">
        <v>1729</v>
      </c>
      <c r="J166" t="s">
        <v>32</v>
      </c>
      <c r="K166" t="s">
        <v>38</v>
      </c>
      <c r="M166">
        <v>999</v>
      </c>
      <c r="N166">
        <v>999</v>
      </c>
      <c r="Q166" t="s">
        <v>557</v>
      </c>
    </row>
    <row r="167" spans="1:18" x14ac:dyDescent="0.2">
      <c r="A167" t="str">
        <f ca="1">表_网址[[#This Row],[1级]]&amp;"-"&amp;表_网址[[#This Row],[2级]]&amp;"-"&amp;表_网址[[#This Row],[3级]]&amp;"-"&amp;表_网址[[#This Row],[级内]]</f>
        <v>202-10-10-101</v>
      </c>
      <c r="B167">
        <f>VLOOKUP(表_网址[[#This Row],[首要关键词]],表_首次要关键词[[首要关键词]:[排序]],2,0)</f>
        <v>202</v>
      </c>
      <c r="C167" s="4">
        <f>IF(表_网址[[#This Row],[次要关键词]]="",10,MATCH(表_网址[[#This Row],[次要关键词]],次要关键词,0)+10)</f>
        <v>10</v>
      </c>
      <c r="D167">
        <f ca="1">IF(表_网址[[#This Row],[重点关键词]]="",10,MATCH(表_网址[[#This Row],[重点关键词]],OFFSET(重点关键词!$A$1,MATCH($J167,首要关键词,0)*50-48,MATCH($K167,次要关键词,0),重点关键词数量,1),0)+10)</f>
        <v>10</v>
      </c>
      <c r="E167">
        <f ca="1">IF(AND(表_网址[[#This Row],[1级]]=B166,表_网址[[#This Row],[2级]]=C166,表_网址[[#This Row],[3级]]=D166),E166+1,101)</f>
        <v>101</v>
      </c>
      <c r="F167" t="s">
        <v>618</v>
      </c>
      <c r="G167" t="s">
        <v>619</v>
      </c>
      <c r="H167" t="s">
        <v>82</v>
      </c>
      <c r="I167" t="s">
        <v>620</v>
      </c>
      <c r="J167" t="s">
        <v>33</v>
      </c>
      <c r="M167">
        <v>999</v>
      </c>
      <c r="N167">
        <v>999</v>
      </c>
      <c r="P167">
        <v>256</v>
      </c>
    </row>
    <row r="168" spans="1:18" x14ac:dyDescent="0.2">
      <c r="A168" t="str">
        <f ca="1">表_网址[[#This Row],[1级]]&amp;"-"&amp;表_网址[[#This Row],[2级]]&amp;"-"&amp;表_网址[[#This Row],[3级]]&amp;"-"&amp;表_网址[[#This Row],[级内]]</f>
        <v>202-10-10-102</v>
      </c>
      <c r="B168">
        <f>VLOOKUP(表_网址[[#This Row],[首要关键词]],表_首次要关键词[[首要关键词]:[排序]],2,0)</f>
        <v>202</v>
      </c>
      <c r="C168" s="4">
        <f>IF(表_网址[[#This Row],[次要关键词]]="",10,MATCH(表_网址[[#This Row],[次要关键词]],次要关键词,0)+10)</f>
        <v>10</v>
      </c>
      <c r="D168">
        <f ca="1">IF(表_网址[[#This Row],[重点关键词]]="",10,MATCH(表_网址[[#This Row],[重点关键词]],OFFSET(重点关键词!$A$1,MATCH($J168,首要关键词,0)*50-48,MATCH($K168,次要关键词,0),重点关键词数量,1),0)+10)</f>
        <v>10</v>
      </c>
      <c r="E168">
        <f ca="1">IF(AND(表_网址[[#This Row],[1级]]=B167,表_网址[[#This Row],[2级]]=C167,表_网址[[#This Row],[3级]]=D167),E167+1,101)</f>
        <v>102</v>
      </c>
      <c r="F168" t="s">
        <v>621</v>
      </c>
      <c r="G168" t="s">
        <v>622</v>
      </c>
      <c r="H168" t="s">
        <v>82</v>
      </c>
      <c r="I168" t="s">
        <v>623</v>
      </c>
      <c r="J168" t="s">
        <v>33</v>
      </c>
      <c r="M168">
        <v>999</v>
      </c>
      <c r="N168">
        <v>999</v>
      </c>
      <c r="P168">
        <v>32</v>
      </c>
      <c r="Q168" t="s">
        <v>557</v>
      </c>
      <c r="R168" t="s">
        <v>558</v>
      </c>
    </row>
    <row r="169" spans="1:18" x14ac:dyDescent="0.2">
      <c r="A169" t="str">
        <f ca="1">表_网址[[#This Row],[1级]]&amp;"-"&amp;表_网址[[#This Row],[2级]]&amp;"-"&amp;表_网址[[#This Row],[3级]]&amp;"-"&amp;表_网址[[#This Row],[级内]]</f>
        <v>202-10-10-103</v>
      </c>
      <c r="B169">
        <f>VLOOKUP(表_网址[[#This Row],[首要关键词]],表_首次要关键词[[首要关键词]:[排序]],2,0)</f>
        <v>202</v>
      </c>
      <c r="C169" s="4">
        <f>IF(表_网址[[#This Row],[次要关键词]]="",10,MATCH(表_网址[[#This Row],[次要关键词]],次要关键词,0)+10)</f>
        <v>10</v>
      </c>
      <c r="D169">
        <f ca="1">IF(表_网址[[#This Row],[重点关键词]]="",10,MATCH(表_网址[[#This Row],[重点关键词]],OFFSET(重点关键词!$A$1,MATCH($J169,首要关键词,0)*50-48,MATCH($K169,次要关键词,0),重点关键词数量,1),0)+10)</f>
        <v>10</v>
      </c>
      <c r="E169">
        <f ca="1">IF(AND(表_网址[[#This Row],[1级]]=B168,表_网址[[#This Row],[2级]]=C168,表_网址[[#This Row],[3级]]=D168),E168+1,101)</f>
        <v>103</v>
      </c>
      <c r="F169" t="s">
        <v>624</v>
      </c>
      <c r="G169" t="s">
        <v>625</v>
      </c>
      <c r="H169" t="s">
        <v>82</v>
      </c>
      <c r="I169" t="s">
        <v>626</v>
      </c>
      <c r="J169" t="s">
        <v>33</v>
      </c>
      <c r="M169">
        <v>999</v>
      </c>
      <c r="P169">
        <v>16</v>
      </c>
      <c r="Q169" t="s">
        <v>557</v>
      </c>
      <c r="R169" t="s">
        <v>558</v>
      </c>
    </row>
    <row r="170" spans="1:18" x14ac:dyDescent="0.2">
      <c r="A170" t="str">
        <f ca="1">表_网址[[#This Row],[1级]]&amp;"-"&amp;表_网址[[#This Row],[2级]]&amp;"-"&amp;表_网址[[#This Row],[3级]]&amp;"-"&amp;表_网址[[#This Row],[级内]]</f>
        <v>202-10-10-104</v>
      </c>
      <c r="B170">
        <f>VLOOKUP(表_网址[[#This Row],[首要关键词]],表_首次要关键词[[首要关键词]:[排序]],2,0)</f>
        <v>202</v>
      </c>
      <c r="C170" s="4">
        <f>IF(表_网址[[#This Row],[次要关键词]]="",10,MATCH(表_网址[[#This Row],[次要关键词]],次要关键词,0)+10)</f>
        <v>10</v>
      </c>
      <c r="D170">
        <f ca="1">IF(表_网址[[#This Row],[重点关键词]]="",10,MATCH(表_网址[[#This Row],[重点关键词]],OFFSET(重点关键词!$A$1,MATCH($J170,首要关键词,0)*50-48,MATCH($K170,次要关键词,0),重点关键词数量,1),0)+10)</f>
        <v>10</v>
      </c>
      <c r="E170">
        <f ca="1">IF(AND(表_网址[[#This Row],[1级]]=B169,表_网址[[#This Row],[2级]]=C169,表_网址[[#This Row],[3级]]=D169),E169+1,101)</f>
        <v>104</v>
      </c>
      <c r="F170" t="s">
        <v>627</v>
      </c>
      <c r="G170" t="s">
        <v>628</v>
      </c>
      <c r="H170" t="s">
        <v>82</v>
      </c>
      <c r="I170" t="s">
        <v>629</v>
      </c>
      <c r="J170" t="s">
        <v>33</v>
      </c>
      <c r="M170">
        <v>999</v>
      </c>
      <c r="N170">
        <v>999</v>
      </c>
      <c r="P170">
        <v>16</v>
      </c>
      <c r="Q170" t="s">
        <v>557</v>
      </c>
      <c r="R170" t="s">
        <v>558</v>
      </c>
    </row>
    <row r="171" spans="1:18" x14ac:dyDescent="0.2">
      <c r="A171" t="str">
        <f ca="1">表_网址[[#This Row],[1级]]&amp;"-"&amp;表_网址[[#This Row],[2级]]&amp;"-"&amp;表_网址[[#This Row],[3级]]&amp;"-"&amp;表_网址[[#This Row],[级内]]</f>
        <v>202-10-10-105</v>
      </c>
      <c r="B171">
        <f>VLOOKUP(表_网址[[#This Row],[首要关键词]],表_首次要关键词[[首要关键词]:[排序]],2,0)</f>
        <v>202</v>
      </c>
      <c r="C171" s="4">
        <f>IF(表_网址[[#This Row],[次要关键词]]="",10,MATCH(表_网址[[#This Row],[次要关键词]],次要关键词,0)+10)</f>
        <v>10</v>
      </c>
      <c r="D171">
        <f ca="1">IF(表_网址[[#This Row],[重点关键词]]="",10,MATCH(表_网址[[#This Row],[重点关键词]],OFFSET(重点关键词!$A$1,MATCH($J171,首要关键词,0)*50-48,MATCH($K171,次要关键词,0),重点关键词数量,1),0)+10)</f>
        <v>10</v>
      </c>
      <c r="E171">
        <f ca="1">IF(AND(表_网址[[#This Row],[1级]]=B170,表_网址[[#This Row],[2级]]=C170,表_网址[[#This Row],[3级]]=D170),E170+1,101)</f>
        <v>105</v>
      </c>
      <c r="F171" t="s">
        <v>630</v>
      </c>
      <c r="G171" t="s">
        <v>631</v>
      </c>
      <c r="H171" t="s">
        <v>82</v>
      </c>
      <c r="I171" t="s">
        <v>632</v>
      </c>
      <c r="J171" t="s">
        <v>33</v>
      </c>
      <c r="M171">
        <v>999</v>
      </c>
      <c r="N171">
        <v>999</v>
      </c>
      <c r="P171">
        <v>16</v>
      </c>
      <c r="Q171" t="s">
        <v>557</v>
      </c>
      <c r="R171" t="s">
        <v>558</v>
      </c>
    </row>
    <row r="172" spans="1:18" x14ac:dyDescent="0.2">
      <c r="A172" t="str">
        <f ca="1">表_网址[[#This Row],[1级]]&amp;"-"&amp;表_网址[[#This Row],[2级]]&amp;"-"&amp;表_网址[[#This Row],[3级]]&amp;"-"&amp;表_网址[[#This Row],[级内]]</f>
        <v>202-10-10-106</v>
      </c>
      <c r="B172">
        <f>VLOOKUP(表_网址[[#This Row],[首要关键词]],表_首次要关键词[[首要关键词]:[排序]],2,0)</f>
        <v>202</v>
      </c>
      <c r="C172" s="4">
        <f>IF(表_网址[[#This Row],[次要关键词]]="",10,MATCH(表_网址[[#This Row],[次要关键词]],次要关键词,0)+10)</f>
        <v>10</v>
      </c>
      <c r="D172">
        <f ca="1">IF(表_网址[[#This Row],[重点关键词]]="",10,MATCH(表_网址[[#This Row],[重点关键词]],OFFSET(重点关键词!$A$1,MATCH($J172,首要关键词,0)*50-48,MATCH($K172,次要关键词,0),重点关键词数量,1),0)+10)</f>
        <v>10</v>
      </c>
      <c r="E172">
        <f ca="1">IF(AND(表_网址[[#This Row],[1级]]=B171,表_网址[[#This Row],[2级]]=C171,表_网址[[#This Row],[3级]]=D171),E171+1,101)</f>
        <v>106</v>
      </c>
      <c r="F172" t="s">
        <v>633</v>
      </c>
      <c r="G172" t="s">
        <v>634</v>
      </c>
      <c r="H172" t="s">
        <v>82</v>
      </c>
      <c r="I172" t="s">
        <v>635</v>
      </c>
      <c r="J172" t="s">
        <v>33</v>
      </c>
      <c r="M172">
        <v>999</v>
      </c>
      <c r="N172">
        <v>999</v>
      </c>
      <c r="P172">
        <v>16</v>
      </c>
      <c r="Q172" t="s">
        <v>557</v>
      </c>
      <c r="R172" t="s">
        <v>558</v>
      </c>
    </row>
    <row r="173" spans="1:18" x14ac:dyDescent="0.2">
      <c r="A173" t="str">
        <f ca="1">表_网址[[#This Row],[1级]]&amp;"-"&amp;表_网址[[#This Row],[2级]]&amp;"-"&amp;表_网址[[#This Row],[3级]]&amp;"-"&amp;表_网址[[#This Row],[级内]]</f>
        <v>202-10-10-107</v>
      </c>
      <c r="B173">
        <f>VLOOKUP(表_网址[[#This Row],[首要关键词]],表_首次要关键词[[首要关键词]:[排序]],2,0)</f>
        <v>202</v>
      </c>
      <c r="C173" s="4">
        <f>IF(表_网址[[#This Row],[次要关键词]]="",10,MATCH(表_网址[[#This Row],[次要关键词]],次要关键词,0)+10)</f>
        <v>10</v>
      </c>
      <c r="D173">
        <f ca="1">IF(表_网址[[#This Row],[重点关键词]]="",10,MATCH(表_网址[[#This Row],[重点关键词]],OFFSET(重点关键词!$A$1,MATCH($J173,首要关键词,0)*50-48,MATCH($K173,次要关键词,0),重点关键词数量,1),0)+10)</f>
        <v>10</v>
      </c>
      <c r="E173">
        <f ca="1">IF(AND(表_网址[[#This Row],[1级]]=B172,表_网址[[#This Row],[2级]]=C172,表_网址[[#This Row],[3级]]=D172),E172+1,101)</f>
        <v>107</v>
      </c>
      <c r="F173" t="s">
        <v>636</v>
      </c>
      <c r="G173" t="s">
        <v>637</v>
      </c>
      <c r="H173" t="s">
        <v>82</v>
      </c>
      <c r="J173" t="s">
        <v>33</v>
      </c>
      <c r="M173">
        <v>999</v>
      </c>
      <c r="Q173" t="s">
        <v>557</v>
      </c>
    </row>
    <row r="174" spans="1:18" x14ac:dyDescent="0.2">
      <c r="A174" t="str">
        <f ca="1">表_网址[[#This Row],[1级]]&amp;"-"&amp;表_网址[[#This Row],[2级]]&amp;"-"&amp;表_网址[[#This Row],[3级]]&amp;"-"&amp;表_网址[[#This Row],[级内]]</f>
        <v>203-10-10-101</v>
      </c>
      <c r="B174">
        <f>VLOOKUP(表_网址[[#This Row],[首要关键词]],表_首次要关键词[[首要关键词]:[排序]],2,0)</f>
        <v>203</v>
      </c>
      <c r="C174" s="4">
        <f>IF(表_网址[[#This Row],[次要关键词]]="",10,MATCH(表_网址[[#This Row],[次要关键词]],次要关键词,0)+10)</f>
        <v>10</v>
      </c>
      <c r="D174">
        <f ca="1">IF(表_网址[[#This Row],[重点关键词]]="",10,MATCH(表_网址[[#This Row],[重点关键词]],OFFSET(重点关键词!$A$1,MATCH($J174,首要关键词,0)*50-48,MATCH($K174,次要关键词,0),重点关键词数量,1),0)+10)</f>
        <v>10</v>
      </c>
      <c r="E174">
        <f ca="1">IF(AND(表_网址[[#This Row],[1级]]=B173,表_网址[[#This Row],[2级]]=C173,表_网址[[#This Row],[3级]]=D173),E173+1,101)</f>
        <v>101</v>
      </c>
      <c r="F174" t="s">
        <v>49</v>
      </c>
      <c r="G174" t="s">
        <v>1098</v>
      </c>
      <c r="I174" t="s">
        <v>1099</v>
      </c>
      <c r="J174" t="s">
        <v>34</v>
      </c>
      <c r="M174">
        <v>999</v>
      </c>
      <c r="N174">
        <v>999</v>
      </c>
      <c r="P174">
        <v>16</v>
      </c>
    </row>
    <row r="175" spans="1:18" x14ac:dyDescent="0.2">
      <c r="A175" t="str">
        <f ca="1">表_网址[[#This Row],[1级]]&amp;"-"&amp;表_网址[[#This Row],[2级]]&amp;"-"&amp;表_网址[[#This Row],[3级]]&amp;"-"&amp;表_网址[[#This Row],[级内]]</f>
        <v>203-10-10-102</v>
      </c>
      <c r="B175">
        <f>VLOOKUP(表_网址[[#This Row],[首要关键词]],表_首次要关键词[[首要关键词]:[排序]],2,0)</f>
        <v>203</v>
      </c>
      <c r="C175" s="4">
        <f>IF(表_网址[[#This Row],[次要关键词]]="",10,MATCH(表_网址[[#This Row],[次要关键词]],次要关键词,0)+10)</f>
        <v>10</v>
      </c>
      <c r="D175">
        <f ca="1">IF(表_网址[[#This Row],[重点关键词]]="",10,MATCH(表_网址[[#This Row],[重点关键词]],OFFSET(重点关键词!$A$1,MATCH($J175,首要关键词,0)*50-48,MATCH($K175,次要关键词,0),重点关键词数量,1),0)+10)</f>
        <v>10</v>
      </c>
      <c r="E175">
        <f ca="1">IF(AND(表_网址[[#This Row],[1级]]=B174,表_网址[[#This Row],[2级]]=C174,表_网址[[#This Row],[3级]]=D174),E174+1,101)</f>
        <v>102</v>
      </c>
      <c r="F175" t="s">
        <v>1100</v>
      </c>
      <c r="G175" t="s">
        <v>1101</v>
      </c>
      <c r="I175" t="s">
        <v>1102</v>
      </c>
      <c r="J175" t="s">
        <v>34</v>
      </c>
      <c r="M175">
        <v>999</v>
      </c>
      <c r="N175">
        <v>999</v>
      </c>
      <c r="P175">
        <v>32</v>
      </c>
    </row>
    <row r="176" spans="1:18" x14ac:dyDescent="0.2">
      <c r="A176" t="str">
        <f ca="1">表_网址[[#This Row],[1级]]&amp;"-"&amp;表_网址[[#This Row],[2级]]&amp;"-"&amp;表_网址[[#This Row],[3级]]&amp;"-"&amp;表_网址[[#This Row],[级内]]</f>
        <v>203-10-10-103</v>
      </c>
      <c r="B176">
        <f>VLOOKUP(表_网址[[#This Row],[首要关键词]],表_首次要关键词[[首要关键词]:[排序]],2,0)</f>
        <v>203</v>
      </c>
      <c r="C176" s="4">
        <f>IF(表_网址[[#This Row],[次要关键词]]="",10,MATCH(表_网址[[#This Row],[次要关键词]],次要关键词,0)+10)</f>
        <v>10</v>
      </c>
      <c r="D176">
        <f ca="1">IF(表_网址[[#This Row],[重点关键词]]="",10,MATCH(表_网址[[#This Row],[重点关键词]],OFFSET(重点关键词!$A$1,MATCH($J176,首要关键词,0)*50-48,MATCH($K176,次要关键词,0),重点关键词数量,1),0)+10)</f>
        <v>10</v>
      </c>
      <c r="E176">
        <f ca="1">IF(AND(表_网址[[#This Row],[1级]]=B175,表_网址[[#This Row],[2级]]=C175,表_网址[[#This Row],[3级]]=D175),E175+1,101)</f>
        <v>103</v>
      </c>
      <c r="F176" t="s">
        <v>1103</v>
      </c>
      <c r="G176" t="s">
        <v>1104</v>
      </c>
      <c r="I176" t="s">
        <v>1105</v>
      </c>
      <c r="J176" t="s">
        <v>34</v>
      </c>
      <c r="M176">
        <v>999</v>
      </c>
      <c r="N176">
        <v>999</v>
      </c>
      <c r="P176">
        <v>48</v>
      </c>
    </row>
    <row r="177" spans="1:16" x14ac:dyDescent="0.2">
      <c r="A177" t="str">
        <f ca="1">表_网址[[#This Row],[1级]]&amp;"-"&amp;表_网址[[#This Row],[2级]]&amp;"-"&amp;表_网址[[#This Row],[3级]]&amp;"-"&amp;表_网址[[#This Row],[级内]]</f>
        <v>204-10-10-101</v>
      </c>
      <c r="B177">
        <f>VLOOKUP(表_网址[[#This Row],[首要关键词]],表_首次要关键词[[首要关键词]:[排序]],2,0)</f>
        <v>204</v>
      </c>
      <c r="C177" s="4">
        <f>IF(表_网址[[#This Row],[次要关键词]]="",10,MATCH(表_网址[[#This Row],[次要关键词]],次要关键词,0)+10)</f>
        <v>10</v>
      </c>
      <c r="D177">
        <f ca="1">IF(表_网址[[#This Row],[重点关键词]]="",10,MATCH(表_网址[[#This Row],[重点关键词]],OFFSET(重点关键词!$A$1,MATCH($J177,首要关键词,0)*50-48,MATCH($K177,次要关键词,0),重点关键词数量,1),0)+10)</f>
        <v>10</v>
      </c>
      <c r="E177">
        <f ca="1">IF(AND(表_网址[[#This Row],[1级]]=B176,表_网址[[#This Row],[2级]]=C176,表_网址[[#This Row],[3级]]=D176),E176+1,101)</f>
        <v>101</v>
      </c>
      <c r="F177" t="s">
        <v>1106</v>
      </c>
      <c r="G177" t="s">
        <v>1107</v>
      </c>
      <c r="I177" t="s">
        <v>1108</v>
      </c>
      <c r="J177" t="s">
        <v>35</v>
      </c>
      <c r="M177">
        <v>999</v>
      </c>
      <c r="N177">
        <v>999</v>
      </c>
      <c r="P177">
        <v>32</v>
      </c>
    </row>
    <row r="178" spans="1:16" x14ac:dyDescent="0.2">
      <c r="A178" t="str">
        <f ca="1">表_网址[[#This Row],[1级]]&amp;"-"&amp;表_网址[[#This Row],[2级]]&amp;"-"&amp;表_网址[[#This Row],[3级]]&amp;"-"&amp;表_网址[[#This Row],[级内]]</f>
        <v>204-10-10-102</v>
      </c>
      <c r="B178">
        <f>VLOOKUP(表_网址[[#This Row],[首要关键词]],表_首次要关键词[[首要关键词]:[排序]],2,0)</f>
        <v>204</v>
      </c>
      <c r="C178" s="4">
        <f>IF(表_网址[[#This Row],[次要关键词]]="",10,MATCH(表_网址[[#This Row],[次要关键词]],次要关键词,0)+10)</f>
        <v>10</v>
      </c>
      <c r="D178">
        <f ca="1">IF(表_网址[[#This Row],[重点关键词]]="",10,MATCH(表_网址[[#This Row],[重点关键词]],OFFSET(重点关键词!$A$1,MATCH($J178,首要关键词,0)*50-48,MATCH($K178,次要关键词,0),重点关键词数量,1),0)+10)</f>
        <v>10</v>
      </c>
      <c r="E178">
        <f ca="1">IF(AND(表_网址[[#This Row],[1级]]=B177,表_网址[[#This Row],[2级]]=C177,表_网址[[#This Row],[3级]]=D177),E177+1,101)</f>
        <v>102</v>
      </c>
      <c r="F178" t="s">
        <v>1109</v>
      </c>
      <c r="G178" t="s">
        <v>1110</v>
      </c>
      <c r="I178" t="s">
        <v>1111</v>
      </c>
      <c r="J178" t="s">
        <v>35</v>
      </c>
      <c r="M178">
        <v>999</v>
      </c>
      <c r="N178">
        <v>999</v>
      </c>
      <c r="P178">
        <v>32</v>
      </c>
    </row>
    <row r="179" spans="1:16" x14ac:dyDescent="0.2">
      <c r="A179" t="str">
        <f ca="1">表_网址[[#This Row],[1级]]&amp;"-"&amp;表_网址[[#This Row],[2级]]&amp;"-"&amp;表_网址[[#This Row],[3级]]&amp;"-"&amp;表_网址[[#This Row],[级内]]</f>
        <v>204-10-10-103</v>
      </c>
      <c r="B179">
        <f>VLOOKUP(表_网址[[#This Row],[首要关键词]],表_首次要关键词[[首要关键词]:[排序]],2,0)</f>
        <v>204</v>
      </c>
      <c r="C179" s="4">
        <f>IF(表_网址[[#This Row],[次要关键词]]="",10,MATCH(表_网址[[#This Row],[次要关键词]],次要关键词,0)+10)</f>
        <v>10</v>
      </c>
      <c r="D179">
        <f ca="1">IF(表_网址[[#This Row],[重点关键词]]="",10,MATCH(表_网址[[#This Row],[重点关键词]],OFFSET(重点关键词!$A$1,MATCH($J179,首要关键词,0)*50-48,MATCH($K179,次要关键词,0),重点关键词数量,1),0)+10)</f>
        <v>10</v>
      </c>
      <c r="E179">
        <f ca="1">IF(AND(表_网址[[#This Row],[1级]]=B178,表_网址[[#This Row],[2级]]=C178,表_网址[[#This Row],[3级]]=D178),E178+1,101)</f>
        <v>103</v>
      </c>
      <c r="F179" t="s">
        <v>1112</v>
      </c>
      <c r="G179" t="s">
        <v>1113</v>
      </c>
      <c r="I179" t="s">
        <v>1114</v>
      </c>
      <c r="J179" t="s">
        <v>35</v>
      </c>
      <c r="M179">
        <v>999</v>
      </c>
      <c r="N179">
        <v>999</v>
      </c>
      <c r="P179">
        <v>16</v>
      </c>
    </row>
    <row r="180" spans="1:16" x14ac:dyDescent="0.2">
      <c r="A180" t="str">
        <f ca="1">表_网址[[#This Row],[1级]]&amp;"-"&amp;表_网址[[#This Row],[2级]]&amp;"-"&amp;表_网址[[#This Row],[3级]]&amp;"-"&amp;表_网址[[#This Row],[级内]]</f>
        <v>251-10-10-101</v>
      </c>
      <c r="B180">
        <f>VLOOKUP(表_网址[[#This Row],[首要关键词]],表_首次要关键词[[首要关键词]:[排序]],2,0)</f>
        <v>251</v>
      </c>
      <c r="C180" s="4">
        <f>IF(表_网址[[#This Row],[次要关键词]]="",10,MATCH(表_网址[[#This Row],[次要关键词]],次要关键词,0)+10)</f>
        <v>10</v>
      </c>
      <c r="D180">
        <f ca="1">IF(表_网址[[#This Row],[重点关键词]]="",10,MATCH(表_网址[[#This Row],[重点关键词]],OFFSET(重点关键词!$A$1,MATCH($J180,首要关键词,0)*50-48,MATCH($K180,次要关键词,0),重点关键词数量,1),0)+10)</f>
        <v>10</v>
      </c>
      <c r="E180">
        <f ca="1">IF(AND(表_网址[[#This Row],[1级]]=B179,表_网址[[#This Row],[2级]]=C179,表_网址[[#This Row],[3级]]=D179),E179+1,101)</f>
        <v>101</v>
      </c>
      <c r="F180" t="s">
        <v>953</v>
      </c>
      <c r="G180" t="s">
        <v>954</v>
      </c>
      <c r="H180" t="s">
        <v>82</v>
      </c>
      <c r="I180" t="s">
        <v>955</v>
      </c>
      <c r="J180" t="s">
        <v>36</v>
      </c>
      <c r="M180">
        <v>999</v>
      </c>
      <c r="N180">
        <v>999</v>
      </c>
      <c r="P180">
        <v>48</v>
      </c>
    </row>
    <row r="181" spans="1:16" x14ac:dyDescent="0.2">
      <c r="A181" t="str">
        <f ca="1">表_网址[[#This Row],[1级]]&amp;"-"&amp;表_网址[[#This Row],[2级]]&amp;"-"&amp;表_网址[[#This Row],[3级]]&amp;"-"&amp;表_网址[[#This Row],[级内]]</f>
        <v>251-10-10-102</v>
      </c>
      <c r="B181">
        <f>VLOOKUP(表_网址[[#This Row],[首要关键词]],表_首次要关键词[[首要关键词]:[排序]],2,0)</f>
        <v>251</v>
      </c>
      <c r="C181" s="4">
        <f>IF(表_网址[[#This Row],[次要关键词]]="",10,MATCH(表_网址[[#This Row],[次要关键词]],次要关键词,0)+10)</f>
        <v>10</v>
      </c>
      <c r="D181">
        <f ca="1">IF(表_网址[[#This Row],[重点关键词]]="",10,MATCH(表_网址[[#This Row],[重点关键词]],OFFSET(重点关键词!$A$1,MATCH($J181,首要关键词,0)*50-48,MATCH($K181,次要关键词,0),重点关键词数量,1),0)+10)</f>
        <v>10</v>
      </c>
      <c r="E181">
        <f ca="1">IF(AND(表_网址[[#This Row],[1级]]=B180,表_网址[[#This Row],[2级]]=C180,表_网址[[#This Row],[3级]]=D180),E180+1,101)</f>
        <v>102</v>
      </c>
      <c r="F181" t="s">
        <v>956</v>
      </c>
      <c r="G181" t="s">
        <v>957</v>
      </c>
      <c r="H181" t="s">
        <v>82</v>
      </c>
      <c r="I181" t="s">
        <v>958</v>
      </c>
      <c r="J181" t="s">
        <v>36</v>
      </c>
      <c r="M181">
        <v>999</v>
      </c>
      <c r="N181">
        <v>999</v>
      </c>
      <c r="P181">
        <v>16</v>
      </c>
    </row>
    <row r="182" spans="1:16" x14ac:dyDescent="0.2">
      <c r="A182" t="str">
        <f ca="1">表_网址[[#This Row],[1级]]&amp;"-"&amp;表_网址[[#This Row],[2级]]&amp;"-"&amp;表_网址[[#This Row],[3级]]&amp;"-"&amp;表_网址[[#This Row],[级内]]</f>
        <v>251-10-10-103</v>
      </c>
      <c r="B182">
        <f>VLOOKUP(表_网址[[#This Row],[首要关键词]],表_首次要关键词[[首要关键词]:[排序]],2,0)</f>
        <v>251</v>
      </c>
      <c r="C182" s="4">
        <f>IF(表_网址[[#This Row],[次要关键词]]="",10,MATCH(表_网址[[#This Row],[次要关键词]],次要关键词,0)+10)</f>
        <v>10</v>
      </c>
      <c r="D182">
        <f ca="1">IF(表_网址[[#This Row],[重点关键词]]="",10,MATCH(表_网址[[#This Row],[重点关键词]],OFFSET(重点关键词!$A$1,MATCH($J182,首要关键词,0)*50-48,MATCH($K182,次要关键词,0),重点关键词数量,1),0)+10)</f>
        <v>10</v>
      </c>
      <c r="E182">
        <f ca="1">IF(AND(表_网址[[#This Row],[1级]]=B181,表_网址[[#This Row],[2级]]=C181,表_网址[[#This Row],[3级]]=D181),E181+1,101)</f>
        <v>103</v>
      </c>
      <c r="F182" t="s">
        <v>959</v>
      </c>
      <c r="G182" t="s">
        <v>960</v>
      </c>
      <c r="H182" t="s">
        <v>82</v>
      </c>
      <c r="I182" t="s">
        <v>961</v>
      </c>
      <c r="J182" t="s">
        <v>36</v>
      </c>
      <c r="M182">
        <v>999</v>
      </c>
      <c r="N182">
        <v>999</v>
      </c>
      <c r="P182">
        <v>32</v>
      </c>
    </row>
    <row r="183" spans="1:16" x14ac:dyDescent="0.2">
      <c r="A183" t="str">
        <f ca="1">表_网址[[#This Row],[1级]]&amp;"-"&amp;表_网址[[#This Row],[2级]]&amp;"-"&amp;表_网址[[#This Row],[3级]]&amp;"-"&amp;表_网址[[#This Row],[级内]]</f>
        <v>251-10-10-104</v>
      </c>
      <c r="B183">
        <f>VLOOKUP(表_网址[[#This Row],[首要关键词]],表_首次要关键词[[首要关键词]:[排序]],2,0)</f>
        <v>251</v>
      </c>
      <c r="C183" s="4">
        <f>IF(表_网址[[#This Row],[次要关键词]]="",10,MATCH(表_网址[[#This Row],[次要关键词]],次要关键词,0)+10)</f>
        <v>10</v>
      </c>
      <c r="D183">
        <f ca="1">IF(表_网址[[#This Row],[重点关键词]]="",10,MATCH(表_网址[[#This Row],[重点关键词]],OFFSET(重点关键词!$A$1,MATCH($J183,首要关键词,0)*50-48,MATCH($K183,次要关键词,0),重点关键词数量,1),0)+10)</f>
        <v>10</v>
      </c>
      <c r="E183">
        <f ca="1">IF(AND(表_网址[[#This Row],[1级]]=B182,表_网址[[#This Row],[2级]]=C182,表_网址[[#This Row],[3级]]=D182),E182+1,101)</f>
        <v>104</v>
      </c>
      <c r="F183" t="s">
        <v>962</v>
      </c>
      <c r="G183" t="s">
        <v>963</v>
      </c>
      <c r="H183" t="s">
        <v>82</v>
      </c>
      <c r="I183" t="s">
        <v>964</v>
      </c>
      <c r="J183" t="s">
        <v>36</v>
      </c>
      <c r="M183">
        <v>999</v>
      </c>
      <c r="N183">
        <v>999</v>
      </c>
      <c r="P183">
        <v>16</v>
      </c>
    </row>
    <row r="184" spans="1:16" x14ac:dyDescent="0.2">
      <c r="A184" t="str">
        <f ca="1">表_网址[[#This Row],[1级]]&amp;"-"&amp;表_网址[[#This Row],[2级]]&amp;"-"&amp;表_网址[[#This Row],[3级]]&amp;"-"&amp;表_网址[[#This Row],[级内]]</f>
        <v>251-10-10-105</v>
      </c>
      <c r="B184">
        <f>VLOOKUP(表_网址[[#This Row],[首要关键词]],表_首次要关键词[[首要关键词]:[排序]],2,0)</f>
        <v>251</v>
      </c>
      <c r="C184" s="4">
        <f>IF(表_网址[[#This Row],[次要关键词]]="",10,MATCH(表_网址[[#This Row],[次要关键词]],次要关键词,0)+10)</f>
        <v>10</v>
      </c>
      <c r="D184">
        <f ca="1">IF(表_网址[[#This Row],[重点关键词]]="",10,MATCH(表_网址[[#This Row],[重点关键词]],OFFSET(重点关键词!$A$1,MATCH($J184,首要关键词,0)*50-48,MATCH($K184,次要关键词,0),重点关键词数量,1),0)+10)</f>
        <v>10</v>
      </c>
      <c r="E184">
        <f ca="1">IF(AND(表_网址[[#This Row],[1级]]=B183,表_网址[[#This Row],[2级]]=C183,表_网址[[#This Row],[3级]]=D183),E183+1,101)</f>
        <v>105</v>
      </c>
      <c r="F184" t="s">
        <v>965</v>
      </c>
      <c r="G184" t="s">
        <v>966</v>
      </c>
      <c r="H184" t="s">
        <v>82</v>
      </c>
      <c r="J184" t="s">
        <v>36</v>
      </c>
      <c r="M184">
        <v>999</v>
      </c>
    </row>
    <row r="185" spans="1:16" x14ac:dyDescent="0.2">
      <c r="A185" t="str">
        <f ca="1">表_网址[[#This Row],[1级]]&amp;"-"&amp;表_网址[[#This Row],[2级]]&amp;"-"&amp;表_网址[[#This Row],[3级]]&amp;"-"&amp;表_网址[[#This Row],[级内]]</f>
        <v>251-10-10-106</v>
      </c>
      <c r="B185">
        <f>VLOOKUP(表_网址[[#This Row],[首要关键词]],表_首次要关键词[[首要关键词]:[排序]],2,0)</f>
        <v>251</v>
      </c>
      <c r="C185" s="4">
        <f>IF(表_网址[[#This Row],[次要关键词]]="",10,MATCH(表_网址[[#This Row],[次要关键词]],次要关键词,0)+10)</f>
        <v>10</v>
      </c>
      <c r="D185">
        <f ca="1">IF(表_网址[[#This Row],[重点关键词]]="",10,MATCH(表_网址[[#This Row],[重点关键词]],OFFSET(重点关键词!$A$1,MATCH($J185,首要关键词,0)*50-48,MATCH($K185,次要关键词,0),重点关键词数量,1),0)+10)</f>
        <v>10</v>
      </c>
      <c r="E185">
        <f ca="1">IF(AND(表_网址[[#This Row],[1级]]=B184,表_网址[[#This Row],[2级]]=C184,表_网址[[#This Row],[3级]]=D184),E184+1,101)</f>
        <v>106</v>
      </c>
      <c r="F185" t="s">
        <v>967</v>
      </c>
      <c r="G185" t="s">
        <v>968</v>
      </c>
      <c r="H185" t="s">
        <v>82</v>
      </c>
      <c r="J185" t="s">
        <v>36</v>
      </c>
      <c r="M185">
        <v>999</v>
      </c>
    </row>
    <row r="186" spans="1:16" x14ac:dyDescent="0.2">
      <c r="A186" t="str">
        <f ca="1">表_网址[[#This Row],[1级]]&amp;"-"&amp;表_网址[[#This Row],[2级]]&amp;"-"&amp;表_网址[[#This Row],[3级]]&amp;"-"&amp;表_网址[[#This Row],[级内]]</f>
        <v>251-10-10-107</v>
      </c>
      <c r="B186">
        <f>VLOOKUP(表_网址[[#This Row],[首要关键词]],表_首次要关键词[[首要关键词]:[排序]],2,0)</f>
        <v>251</v>
      </c>
      <c r="C186" s="4">
        <f>IF(表_网址[[#This Row],[次要关键词]]="",10,MATCH(表_网址[[#This Row],[次要关键词]],次要关键词,0)+10)</f>
        <v>10</v>
      </c>
      <c r="D186">
        <f ca="1">IF(表_网址[[#This Row],[重点关键词]]="",10,MATCH(表_网址[[#This Row],[重点关键词]],OFFSET(重点关键词!$A$1,MATCH($J186,首要关键词,0)*50-48,MATCH($K186,次要关键词,0),重点关键词数量,1),0)+10)</f>
        <v>10</v>
      </c>
      <c r="E186">
        <f ca="1">IF(AND(表_网址[[#This Row],[1级]]=B185,表_网址[[#This Row],[2级]]=C185,表_网址[[#This Row],[3级]]=D185),E185+1,101)</f>
        <v>107</v>
      </c>
      <c r="F186" t="s">
        <v>969</v>
      </c>
      <c r="G186" t="s">
        <v>970</v>
      </c>
      <c r="H186" t="s">
        <v>82</v>
      </c>
      <c r="J186" t="s">
        <v>36</v>
      </c>
      <c r="M186">
        <v>999</v>
      </c>
    </row>
    <row r="187" spans="1:16" x14ac:dyDescent="0.2">
      <c r="A187" t="str">
        <f ca="1">表_网址[[#This Row],[1级]]&amp;"-"&amp;表_网址[[#This Row],[2级]]&amp;"-"&amp;表_网址[[#This Row],[3级]]&amp;"-"&amp;表_网址[[#This Row],[级内]]</f>
        <v>251-10-10-108</v>
      </c>
      <c r="B187">
        <f>VLOOKUP(表_网址[[#This Row],[首要关键词]],表_首次要关键词[[首要关键词]:[排序]],2,0)</f>
        <v>251</v>
      </c>
      <c r="C187" s="4">
        <f>IF(表_网址[[#This Row],[次要关键词]]="",10,MATCH(表_网址[[#This Row],[次要关键词]],次要关键词,0)+10)</f>
        <v>10</v>
      </c>
      <c r="D187">
        <f ca="1">IF(表_网址[[#This Row],[重点关键词]]="",10,MATCH(表_网址[[#This Row],[重点关键词]],OFFSET(重点关键词!$A$1,MATCH($J187,首要关键词,0)*50-48,MATCH($K187,次要关键词,0),重点关键词数量,1),0)+10)</f>
        <v>10</v>
      </c>
      <c r="E187">
        <f ca="1">IF(AND(表_网址[[#This Row],[1级]]=B186,表_网址[[#This Row],[2级]]=C186,表_网址[[#This Row],[3级]]=D186),E186+1,101)</f>
        <v>108</v>
      </c>
      <c r="F187" t="s">
        <v>971</v>
      </c>
      <c r="G187" t="s">
        <v>972</v>
      </c>
      <c r="H187" t="s">
        <v>82</v>
      </c>
      <c r="I187" t="s">
        <v>973</v>
      </c>
      <c r="J187" t="s">
        <v>36</v>
      </c>
      <c r="M187">
        <v>999</v>
      </c>
      <c r="N187">
        <v>999</v>
      </c>
      <c r="P187">
        <v>32</v>
      </c>
    </row>
    <row r="188" spans="1:16" x14ac:dyDescent="0.2">
      <c r="A188" t="str">
        <f ca="1">表_网址[[#This Row],[1级]]&amp;"-"&amp;表_网址[[#This Row],[2级]]&amp;"-"&amp;表_网址[[#This Row],[3级]]&amp;"-"&amp;表_网址[[#This Row],[级内]]</f>
        <v>251-10-10-109</v>
      </c>
      <c r="B188">
        <f>VLOOKUP(表_网址[[#This Row],[首要关键词]],表_首次要关键词[[首要关键词]:[排序]],2,0)</f>
        <v>251</v>
      </c>
      <c r="C188" s="4">
        <f>IF(表_网址[[#This Row],[次要关键词]]="",10,MATCH(表_网址[[#This Row],[次要关键词]],次要关键词,0)+10)</f>
        <v>10</v>
      </c>
      <c r="D188">
        <f ca="1">IF(表_网址[[#This Row],[重点关键词]]="",10,MATCH(表_网址[[#This Row],[重点关键词]],OFFSET(重点关键词!$A$1,MATCH($J188,首要关键词,0)*50-48,MATCH($K188,次要关键词,0),重点关键词数量,1),0)+10)</f>
        <v>10</v>
      </c>
      <c r="E188">
        <f ca="1">IF(AND(表_网址[[#This Row],[1级]]=B187,表_网址[[#This Row],[2级]]=C187,表_网址[[#This Row],[3级]]=D187),E187+1,101)</f>
        <v>109</v>
      </c>
      <c r="F188" t="s">
        <v>974</v>
      </c>
      <c r="G188" t="s">
        <v>975</v>
      </c>
      <c r="H188" t="s">
        <v>82</v>
      </c>
      <c r="I188" t="s">
        <v>976</v>
      </c>
      <c r="J188" t="s">
        <v>36</v>
      </c>
      <c r="M188">
        <v>999</v>
      </c>
      <c r="N188">
        <v>999</v>
      </c>
      <c r="P188">
        <v>32</v>
      </c>
    </row>
    <row r="189" spans="1:16" x14ac:dyDescent="0.2">
      <c r="A189" t="str">
        <f ca="1">表_网址[[#This Row],[1级]]&amp;"-"&amp;表_网址[[#This Row],[2级]]&amp;"-"&amp;表_网址[[#This Row],[3级]]&amp;"-"&amp;表_网址[[#This Row],[级内]]</f>
        <v>251-10-10-110</v>
      </c>
      <c r="B189">
        <f>VLOOKUP(表_网址[[#This Row],[首要关键词]],表_首次要关键词[[首要关键词]:[排序]],2,0)</f>
        <v>251</v>
      </c>
      <c r="C189" s="4">
        <f>IF(表_网址[[#This Row],[次要关键词]]="",10,MATCH(表_网址[[#This Row],[次要关键词]],次要关键词,0)+10)</f>
        <v>10</v>
      </c>
      <c r="D189">
        <f ca="1">IF(表_网址[[#This Row],[重点关键词]]="",10,MATCH(表_网址[[#This Row],[重点关键词]],OFFSET(重点关键词!$A$1,MATCH($J189,首要关键词,0)*50-48,MATCH($K189,次要关键词,0),重点关键词数量,1),0)+10)</f>
        <v>10</v>
      </c>
      <c r="E189">
        <f ca="1">IF(AND(表_网址[[#This Row],[1级]]=B188,表_网址[[#This Row],[2级]]=C188,表_网址[[#This Row],[3级]]=D188),E188+1,101)</f>
        <v>110</v>
      </c>
      <c r="F189" t="s">
        <v>977</v>
      </c>
      <c r="G189" t="s">
        <v>978</v>
      </c>
      <c r="H189" t="s">
        <v>82</v>
      </c>
      <c r="I189" t="s">
        <v>979</v>
      </c>
      <c r="J189" t="s">
        <v>36</v>
      </c>
      <c r="M189">
        <v>999</v>
      </c>
      <c r="N189">
        <v>999</v>
      </c>
      <c r="P189">
        <v>32</v>
      </c>
    </row>
    <row r="190" spans="1:16" x14ac:dyDescent="0.2">
      <c r="A190" t="str">
        <f ca="1">表_网址[[#This Row],[1级]]&amp;"-"&amp;表_网址[[#This Row],[2级]]&amp;"-"&amp;表_网址[[#This Row],[3级]]&amp;"-"&amp;表_网址[[#This Row],[级内]]</f>
        <v>251-11-10-101</v>
      </c>
      <c r="B190">
        <f>VLOOKUP(表_网址[[#This Row],[首要关键词]],表_首次要关键词[[首要关键词]:[排序]],2,0)</f>
        <v>251</v>
      </c>
      <c r="C190" s="4">
        <f ca="1">IF(表_网址[[#This Row],[次要关键词]]="",10,MATCH(表_网址[[#This Row],[次要关键词]],次要关键词,0)+10)</f>
        <v>11</v>
      </c>
      <c r="D190">
        <f ca="1">IF(表_网址[[#This Row],[重点关键词]]="",10,MATCH(表_网址[[#This Row],[重点关键词]],OFFSET(重点关键词!$A$1,MATCH($J190,首要关键词,0)*50-48,MATCH($K190,次要关键词,0),重点关键词数量,1),0)+10)</f>
        <v>10</v>
      </c>
      <c r="E190">
        <f ca="1">IF(AND(表_网址[[#This Row],[1级]]=B189,表_网址[[#This Row],[2级]]=C189,表_网址[[#This Row],[3级]]=D189),E189+1,101)</f>
        <v>101</v>
      </c>
      <c r="F190" t="s">
        <v>980</v>
      </c>
      <c r="G190" t="s">
        <v>981</v>
      </c>
      <c r="J190" t="s">
        <v>36</v>
      </c>
      <c r="K190" t="s">
        <v>982</v>
      </c>
    </row>
    <row r="191" spans="1:16" x14ac:dyDescent="0.2">
      <c r="A191" t="str">
        <f ca="1">表_网址[[#This Row],[1级]]&amp;"-"&amp;表_网址[[#This Row],[2级]]&amp;"-"&amp;表_网址[[#This Row],[3级]]&amp;"-"&amp;表_网址[[#This Row],[级内]]</f>
        <v>252-10-10-101</v>
      </c>
      <c r="B191">
        <f>VLOOKUP(表_网址[[#This Row],[首要关键词]],表_首次要关键词[[首要关键词]:[排序]],2,0)</f>
        <v>252</v>
      </c>
      <c r="C191" s="4">
        <f>IF(表_网址[[#This Row],[次要关键词]]="",10,MATCH(表_网址[[#This Row],[次要关键词]],次要关键词,0)+10)</f>
        <v>10</v>
      </c>
      <c r="D191">
        <f ca="1">IF(表_网址[[#This Row],[重点关键词]]="",10,MATCH(表_网址[[#This Row],[重点关键词]],OFFSET(重点关键词!$A$1,MATCH($J191,首要关键词,0)*50-48,MATCH($K191,次要关键词,0),重点关键词数量,1),0)+10)</f>
        <v>10</v>
      </c>
      <c r="E191">
        <f ca="1">IF(AND(表_网址[[#This Row],[1级]]=B190,表_网址[[#This Row],[2级]]=C190,表_网址[[#This Row],[3级]]=D190),E190+1,101)</f>
        <v>101</v>
      </c>
      <c r="F191" t="s">
        <v>1052</v>
      </c>
      <c r="G191" t="s">
        <v>1053</v>
      </c>
      <c r="H191" t="s">
        <v>82</v>
      </c>
      <c r="I191" t="s">
        <v>1054</v>
      </c>
      <c r="J191" t="s">
        <v>37</v>
      </c>
      <c r="M191">
        <v>999</v>
      </c>
      <c r="N191">
        <v>999</v>
      </c>
      <c r="P191">
        <v>16</v>
      </c>
    </row>
    <row r="192" spans="1:16" x14ac:dyDescent="0.2">
      <c r="A192" t="str">
        <f ca="1">表_网址[[#This Row],[1级]]&amp;"-"&amp;表_网址[[#This Row],[2级]]&amp;"-"&amp;表_网址[[#This Row],[3级]]&amp;"-"&amp;表_网址[[#This Row],[级内]]</f>
        <v>252-10-10-102</v>
      </c>
      <c r="B192">
        <f>VLOOKUP(表_网址[[#This Row],[首要关键词]],表_首次要关键词[[首要关键词]:[排序]],2,0)</f>
        <v>252</v>
      </c>
      <c r="C192" s="4">
        <f>IF(表_网址[[#This Row],[次要关键词]]="",10,MATCH(表_网址[[#This Row],[次要关键词]],次要关键词,0)+10)</f>
        <v>10</v>
      </c>
      <c r="D192">
        <f ca="1">IF(表_网址[[#This Row],[重点关键词]]="",10,MATCH(表_网址[[#This Row],[重点关键词]],OFFSET(重点关键词!$A$1,MATCH($J192,首要关键词,0)*50-48,MATCH($K192,次要关键词,0),重点关键词数量,1),0)+10)</f>
        <v>10</v>
      </c>
      <c r="E192">
        <f ca="1">IF(AND(表_网址[[#This Row],[1级]]=B191,表_网址[[#This Row],[2级]]=C191,表_网址[[#This Row],[3级]]=D191),E191+1,101)</f>
        <v>102</v>
      </c>
      <c r="F192" t="s">
        <v>1055</v>
      </c>
      <c r="G192" t="s">
        <v>1056</v>
      </c>
      <c r="H192" t="s">
        <v>82</v>
      </c>
      <c r="I192" t="s">
        <v>1057</v>
      </c>
      <c r="J192" t="s">
        <v>37</v>
      </c>
      <c r="M192">
        <v>999</v>
      </c>
      <c r="N192">
        <v>999</v>
      </c>
      <c r="P192">
        <v>195</v>
      </c>
    </row>
    <row r="193" spans="1:16" x14ac:dyDescent="0.2">
      <c r="A193" t="str">
        <f ca="1">表_网址[[#This Row],[1级]]&amp;"-"&amp;表_网址[[#This Row],[2级]]&amp;"-"&amp;表_网址[[#This Row],[3级]]&amp;"-"&amp;表_网址[[#This Row],[级内]]</f>
        <v>252-10-10-103</v>
      </c>
      <c r="B193">
        <f>VLOOKUP(表_网址[[#This Row],[首要关键词]],表_首次要关键词[[首要关键词]:[排序]],2,0)</f>
        <v>252</v>
      </c>
      <c r="C193" s="4">
        <f>IF(表_网址[[#This Row],[次要关键词]]="",10,MATCH(表_网址[[#This Row],[次要关键词]],次要关键词,0)+10)</f>
        <v>10</v>
      </c>
      <c r="D193">
        <f ca="1">IF(表_网址[[#This Row],[重点关键词]]="",10,MATCH(表_网址[[#This Row],[重点关键词]],OFFSET(重点关键词!$A$1,MATCH($J193,首要关键词,0)*50-48,MATCH($K193,次要关键词,0),重点关键词数量,1),0)+10)</f>
        <v>10</v>
      </c>
      <c r="E193">
        <f ca="1">IF(AND(表_网址[[#This Row],[1级]]=B192,表_网址[[#This Row],[2级]]=C192,表_网址[[#This Row],[3级]]=D192),E192+1,101)</f>
        <v>103</v>
      </c>
      <c r="F193" t="s">
        <v>1058</v>
      </c>
      <c r="G193" t="s">
        <v>1059</v>
      </c>
      <c r="H193" t="s">
        <v>82</v>
      </c>
      <c r="I193" t="s">
        <v>1060</v>
      </c>
      <c r="J193" t="s">
        <v>37</v>
      </c>
      <c r="M193">
        <v>999</v>
      </c>
      <c r="N193">
        <v>999</v>
      </c>
      <c r="P193">
        <v>32</v>
      </c>
    </row>
    <row r="194" spans="1:16" x14ac:dyDescent="0.2">
      <c r="A194" t="str">
        <f ca="1">表_网址[[#This Row],[1级]]&amp;"-"&amp;表_网址[[#This Row],[2级]]&amp;"-"&amp;表_网址[[#This Row],[3级]]&amp;"-"&amp;表_网址[[#This Row],[级内]]</f>
        <v>252-10-10-104</v>
      </c>
      <c r="B194">
        <f>VLOOKUP(表_网址[[#This Row],[首要关键词]],表_首次要关键词[[首要关键词]:[排序]],2,0)</f>
        <v>252</v>
      </c>
      <c r="C194" s="4">
        <f>IF(表_网址[[#This Row],[次要关键词]]="",10,MATCH(表_网址[[#This Row],[次要关键词]],次要关键词,0)+10)</f>
        <v>10</v>
      </c>
      <c r="D194">
        <f ca="1">IF(表_网址[[#This Row],[重点关键词]]="",10,MATCH(表_网址[[#This Row],[重点关键词]],OFFSET(重点关键词!$A$1,MATCH($J194,首要关键词,0)*50-48,MATCH($K194,次要关键词,0),重点关键词数量,1),0)+10)</f>
        <v>10</v>
      </c>
      <c r="E194">
        <f ca="1">IF(AND(表_网址[[#This Row],[1级]]=B193,表_网址[[#This Row],[2级]]=C193,表_网址[[#This Row],[3级]]=D193),E193+1,101)</f>
        <v>104</v>
      </c>
      <c r="F194" t="s">
        <v>1061</v>
      </c>
      <c r="G194" t="s">
        <v>1062</v>
      </c>
      <c r="H194" t="s">
        <v>82</v>
      </c>
      <c r="I194" t="s">
        <v>1063</v>
      </c>
      <c r="J194" t="s">
        <v>37</v>
      </c>
      <c r="M194">
        <v>999</v>
      </c>
      <c r="N194">
        <v>999</v>
      </c>
      <c r="P194">
        <v>256</v>
      </c>
    </row>
    <row r="195" spans="1:16" x14ac:dyDescent="0.2">
      <c r="A195" t="str">
        <f ca="1">表_网址[[#This Row],[1级]]&amp;"-"&amp;表_网址[[#This Row],[2级]]&amp;"-"&amp;表_网址[[#This Row],[3级]]&amp;"-"&amp;表_网址[[#This Row],[级内]]</f>
        <v>252-10-10-105</v>
      </c>
      <c r="B195">
        <f>VLOOKUP(表_网址[[#This Row],[首要关键词]],表_首次要关键词[[首要关键词]:[排序]],2,0)</f>
        <v>252</v>
      </c>
      <c r="C195" s="4">
        <f>IF(表_网址[[#This Row],[次要关键词]]="",10,MATCH(表_网址[[#This Row],[次要关键词]],次要关键词,0)+10)</f>
        <v>10</v>
      </c>
      <c r="D195">
        <f ca="1">IF(表_网址[[#This Row],[重点关键词]]="",10,MATCH(表_网址[[#This Row],[重点关键词]],OFFSET(重点关键词!$A$1,MATCH($J195,首要关键词,0)*50-48,MATCH($K195,次要关键词,0),重点关键词数量,1),0)+10)</f>
        <v>10</v>
      </c>
      <c r="E195">
        <f ca="1">IF(AND(表_网址[[#This Row],[1级]]=B194,表_网址[[#This Row],[2级]]=C194,表_网址[[#This Row],[3级]]=D194),E194+1,101)</f>
        <v>105</v>
      </c>
      <c r="F195" t="s">
        <v>1064</v>
      </c>
      <c r="G195" t="s">
        <v>1065</v>
      </c>
      <c r="H195" t="s">
        <v>82</v>
      </c>
      <c r="I195" t="s">
        <v>1066</v>
      </c>
      <c r="J195" t="s">
        <v>37</v>
      </c>
      <c r="M195">
        <v>999</v>
      </c>
      <c r="N195">
        <v>999</v>
      </c>
      <c r="P195">
        <v>32</v>
      </c>
    </row>
    <row r="196" spans="1:16" x14ac:dyDescent="0.2">
      <c r="A196" t="str">
        <f ca="1">表_网址[[#This Row],[1级]]&amp;"-"&amp;表_网址[[#This Row],[2级]]&amp;"-"&amp;表_网址[[#This Row],[3级]]&amp;"-"&amp;表_网址[[#This Row],[级内]]</f>
        <v>252-10-10-106</v>
      </c>
      <c r="B196">
        <f>VLOOKUP(表_网址[[#This Row],[首要关键词]],表_首次要关键词[[首要关键词]:[排序]],2,0)</f>
        <v>252</v>
      </c>
      <c r="C196" s="4">
        <f>IF(表_网址[[#This Row],[次要关键词]]="",10,MATCH(表_网址[[#This Row],[次要关键词]],次要关键词,0)+10)</f>
        <v>10</v>
      </c>
      <c r="D196">
        <f ca="1">IF(表_网址[[#This Row],[重点关键词]]="",10,MATCH(表_网址[[#This Row],[重点关键词]],OFFSET(重点关键词!$A$1,MATCH($J196,首要关键词,0)*50-48,MATCH($K196,次要关键词,0),重点关键词数量,1),0)+10)</f>
        <v>10</v>
      </c>
      <c r="E196">
        <f ca="1">IF(AND(表_网址[[#This Row],[1级]]=B195,表_网址[[#This Row],[2级]]=C195,表_网址[[#This Row],[3级]]=D195),E195+1,101)</f>
        <v>106</v>
      </c>
      <c r="F196" t="s">
        <v>1067</v>
      </c>
      <c r="G196" t="s">
        <v>1068</v>
      </c>
      <c r="H196" t="s">
        <v>82</v>
      </c>
      <c r="I196" t="s">
        <v>1069</v>
      </c>
      <c r="J196" t="s">
        <v>37</v>
      </c>
      <c r="M196">
        <v>999</v>
      </c>
      <c r="N196">
        <v>999</v>
      </c>
      <c r="P196">
        <v>32</v>
      </c>
    </row>
    <row r="197" spans="1:16" x14ac:dyDescent="0.2">
      <c r="A197" t="str">
        <f ca="1">表_网址[[#This Row],[1级]]&amp;"-"&amp;表_网址[[#This Row],[2级]]&amp;"-"&amp;表_网址[[#This Row],[3级]]&amp;"-"&amp;表_网址[[#This Row],[级内]]</f>
        <v>252-10-10-107</v>
      </c>
      <c r="B197">
        <f>VLOOKUP(表_网址[[#This Row],[首要关键词]],表_首次要关键词[[首要关键词]:[排序]],2,0)</f>
        <v>252</v>
      </c>
      <c r="C197" s="4">
        <f>IF(表_网址[[#This Row],[次要关键词]]="",10,MATCH(表_网址[[#This Row],[次要关键词]],次要关键词,0)+10)</f>
        <v>10</v>
      </c>
      <c r="D197">
        <f ca="1">IF(表_网址[[#This Row],[重点关键词]]="",10,MATCH(表_网址[[#This Row],[重点关键词]],OFFSET(重点关键词!$A$1,MATCH($J197,首要关键词,0)*50-48,MATCH($K197,次要关键词,0),重点关键词数量,1),0)+10)</f>
        <v>10</v>
      </c>
      <c r="E197">
        <f ca="1">IF(AND(表_网址[[#This Row],[1级]]=B196,表_网址[[#This Row],[2级]]=C196,表_网址[[#This Row],[3级]]=D196),E196+1,101)</f>
        <v>107</v>
      </c>
      <c r="F197" t="s">
        <v>1070</v>
      </c>
      <c r="G197" t="s">
        <v>1071</v>
      </c>
      <c r="H197" t="s">
        <v>82</v>
      </c>
      <c r="J197" t="s">
        <v>37</v>
      </c>
      <c r="M197">
        <v>999</v>
      </c>
    </row>
    <row r="198" spans="1:16" x14ac:dyDescent="0.2">
      <c r="A198" t="str">
        <f ca="1">表_网址[[#This Row],[1级]]&amp;"-"&amp;表_网址[[#This Row],[2级]]&amp;"-"&amp;表_网址[[#This Row],[3级]]&amp;"-"&amp;表_网址[[#This Row],[级内]]</f>
        <v>252-10-10-108</v>
      </c>
      <c r="B198">
        <f>VLOOKUP(表_网址[[#This Row],[首要关键词]],表_首次要关键词[[首要关键词]:[排序]],2,0)</f>
        <v>252</v>
      </c>
      <c r="C198" s="4">
        <f>IF(表_网址[[#This Row],[次要关键词]]="",10,MATCH(表_网址[[#This Row],[次要关键词]],次要关键词,0)+10)</f>
        <v>10</v>
      </c>
      <c r="D198">
        <f ca="1">IF(表_网址[[#This Row],[重点关键词]]="",10,MATCH(表_网址[[#This Row],[重点关键词]],OFFSET(重点关键词!$A$1,MATCH($J198,首要关键词,0)*50-48,MATCH($K198,次要关键词,0),重点关键词数量,1),0)+10)</f>
        <v>10</v>
      </c>
      <c r="E198">
        <f ca="1">IF(AND(表_网址[[#This Row],[1级]]=B197,表_网址[[#This Row],[2级]]=C197,表_网址[[#This Row],[3级]]=D197),E197+1,101)</f>
        <v>108</v>
      </c>
      <c r="F198" t="s">
        <v>1072</v>
      </c>
      <c r="G198" t="s">
        <v>1073</v>
      </c>
      <c r="H198" t="s">
        <v>82</v>
      </c>
      <c r="I198" t="s">
        <v>1074</v>
      </c>
      <c r="J198" t="s">
        <v>37</v>
      </c>
      <c r="M198">
        <v>999</v>
      </c>
      <c r="N198">
        <v>999</v>
      </c>
      <c r="P198">
        <v>16</v>
      </c>
    </row>
    <row r="199" spans="1:16" x14ac:dyDescent="0.2">
      <c r="A199" t="str">
        <f ca="1">表_网址[[#This Row],[1级]]&amp;"-"&amp;表_网址[[#This Row],[2级]]&amp;"-"&amp;表_网址[[#This Row],[3级]]&amp;"-"&amp;表_网址[[#This Row],[级内]]</f>
        <v>252-10-10-109</v>
      </c>
      <c r="B199">
        <f>VLOOKUP(表_网址[[#This Row],[首要关键词]],表_首次要关键词[[首要关键词]:[排序]],2,0)</f>
        <v>252</v>
      </c>
      <c r="C199" s="4">
        <f>IF(表_网址[[#This Row],[次要关键词]]="",10,MATCH(表_网址[[#This Row],[次要关键词]],次要关键词,0)+10)</f>
        <v>10</v>
      </c>
      <c r="D199">
        <f ca="1">IF(表_网址[[#This Row],[重点关键词]]="",10,MATCH(表_网址[[#This Row],[重点关键词]],OFFSET(重点关键词!$A$1,MATCH($J199,首要关键词,0)*50-48,MATCH($K199,次要关键词,0),重点关键词数量,1),0)+10)</f>
        <v>10</v>
      </c>
      <c r="E199">
        <f ca="1">IF(AND(表_网址[[#This Row],[1级]]=B198,表_网址[[#This Row],[2级]]=C198,表_网址[[#This Row],[3级]]=D198),E198+1,101)</f>
        <v>109</v>
      </c>
      <c r="F199" t="s">
        <v>1075</v>
      </c>
      <c r="G199" t="s">
        <v>1076</v>
      </c>
      <c r="H199" t="s">
        <v>82</v>
      </c>
      <c r="I199" t="s">
        <v>1077</v>
      </c>
      <c r="J199" t="s">
        <v>37</v>
      </c>
      <c r="M199">
        <v>999</v>
      </c>
      <c r="N199">
        <v>999</v>
      </c>
      <c r="P199">
        <v>32</v>
      </c>
    </row>
    <row r="200" spans="1:16" x14ac:dyDescent="0.2">
      <c r="A200" t="str">
        <f ca="1">表_网址[[#This Row],[1级]]&amp;"-"&amp;表_网址[[#This Row],[2级]]&amp;"-"&amp;表_网址[[#This Row],[3级]]&amp;"-"&amp;表_网址[[#This Row],[级内]]</f>
        <v>252-10-10-110</v>
      </c>
      <c r="B200">
        <f>VLOOKUP(表_网址[[#This Row],[首要关键词]],表_首次要关键词[[首要关键词]:[排序]],2,0)</f>
        <v>252</v>
      </c>
      <c r="C200" s="4">
        <f>IF(表_网址[[#This Row],[次要关键词]]="",10,MATCH(表_网址[[#This Row],[次要关键词]],次要关键词,0)+10)</f>
        <v>10</v>
      </c>
      <c r="D200">
        <f ca="1">IF(表_网址[[#This Row],[重点关键词]]="",10,MATCH(表_网址[[#This Row],[重点关键词]],OFFSET(重点关键词!$A$1,MATCH($J200,首要关键词,0)*50-48,MATCH($K200,次要关键词,0),重点关键词数量,1),0)+10)</f>
        <v>10</v>
      </c>
      <c r="E200">
        <f ca="1">IF(AND(表_网址[[#This Row],[1级]]=B199,表_网址[[#This Row],[2级]]=C199,表_网址[[#This Row],[3级]]=D199),E199+1,101)</f>
        <v>110</v>
      </c>
      <c r="F200" t="s">
        <v>1078</v>
      </c>
      <c r="G200" t="s">
        <v>1079</v>
      </c>
      <c r="H200" t="s">
        <v>82</v>
      </c>
      <c r="I200" t="s">
        <v>1080</v>
      </c>
      <c r="J200" t="s">
        <v>37</v>
      </c>
      <c r="M200">
        <v>999</v>
      </c>
      <c r="N200">
        <v>999</v>
      </c>
      <c r="P200">
        <v>48</v>
      </c>
    </row>
    <row r="201" spans="1:16" x14ac:dyDescent="0.2">
      <c r="A201" t="str">
        <f ca="1">表_网址[[#This Row],[1级]]&amp;"-"&amp;表_网址[[#This Row],[2级]]&amp;"-"&amp;表_网址[[#This Row],[3级]]&amp;"-"&amp;表_网址[[#This Row],[级内]]</f>
        <v>252-10-10-111</v>
      </c>
      <c r="B201">
        <f>VLOOKUP(表_网址[[#This Row],[首要关键词]],表_首次要关键词[[首要关键词]:[排序]],2,0)</f>
        <v>252</v>
      </c>
      <c r="C201" s="4">
        <f>IF(表_网址[[#This Row],[次要关键词]]="",10,MATCH(表_网址[[#This Row],[次要关键词]],次要关键词,0)+10)</f>
        <v>10</v>
      </c>
      <c r="D201">
        <f ca="1">IF(表_网址[[#This Row],[重点关键词]]="",10,MATCH(表_网址[[#This Row],[重点关键词]],OFFSET(重点关键词!$A$1,MATCH($J201,首要关键词,0)*50-48,MATCH($K201,次要关键词,0),重点关键词数量,1),0)+10)</f>
        <v>10</v>
      </c>
      <c r="E201">
        <f ca="1">IF(AND(表_网址[[#This Row],[1级]]=B200,表_网址[[#This Row],[2级]]=C200,表_网址[[#This Row],[3级]]=D200),E200+1,101)</f>
        <v>111</v>
      </c>
      <c r="F201" t="s">
        <v>1081</v>
      </c>
      <c r="G201" t="s">
        <v>1082</v>
      </c>
      <c r="H201" t="s">
        <v>82</v>
      </c>
      <c r="I201" t="s">
        <v>1083</v>
      </c>
      <c r="J201" t="s">
        <v>37</v>
      </c>
      <c r="M201">
        <v>999</v>
      </c>
      <c r="N201">
        <v>999</v>
      </c>
      <c r="P201">
        <v>32</v>
      </c>
    </row>
    <row r="202" spans="1:16" x14ac:dyDescent="0.2">
      <c r="A202" t="str">
        <f ca="1">表_网址[[#This Row],[1级]]&amp;"-"&amp;表_网址[[#This Row],[2级]]&amp;"-"&amp;表_网址[[#This Row],[3级]]&amp;"-"&amp;表_网址[[#This Row],[级内]]</f>
        <v>252-10-10-112</v>
      </c>
      <c r="B202">
        <f>VLOOKUP(表_网址[[#This Row],[首要关键词]],表_首次要关键词[[首要关键词]:[排序]],2,0)</f>
        <v>252</v>
      </c>
      <c r="C202" s="4">
        <f>IF(表_网址[[#This Row],[次要关键词]]="",10,MATCH(表_网址[[#This Row],[次要关键词]],次要关键词,0)+10)</f>
        <v>10</v>
      </c>
      <c r="D202">
        <f ca="1">IF(表_网址[[#This Row],[重点关键词]]="",10,MATCH(表_网址[[#This Row],[重点关键词]],OFFSET(重点关键词!$A$1,MATCH($J202,首要关键词,0)*50-48,MATCH($K202,次要关键词,0),重点关键词数量,1),0)+10)</f>
        <v>10</v>
      </c>
      <c r="E202">
        <f ca="1">IF(AND(表_网址[[#This Row],[1级]]=B201,表_网址[[#This Row],[2级]]=C201,表_网址[[#This Row],[3级]]=D201),E201+1,101)</f>
        <v>112</v>
      </c>
      <c r="F202" t="s">
        <v>1084</v>
      </c>
      <c r="G202" t="s">
        <v>1085</v>
      </c>
      <c r="H202" t="s">
        <v>82</v>
      </c>
      <c r="I202" t="s">
        <v>1086</v>
      </c>
      <c r="J202" t="s">
        <v>37</v>
      </c>
      <c r="M202">
        <v>999</v>
      </c>
      <c r="N202">
        <v>999</v>
      </c>
      <c r="P202">
        <v>32</v>
      </c>
    </row>
    <row r="203" spans="1:16" x14ac:dyDescent="0.2">
      <c r="A203" t="str">
        <f ca="1">表_网址[[#This Row],[1级]]&amp;"-"&amp;表_网址[[#This Row],[2级]]&amp;"-"&amp;表_网址[[#This Row],[3级]]&amp;"-"&amp;表_网址[[#This Row],[级内]]</f>
        <v>252-10-10-113</v>
      </c>
      <c r="B203">
        <f>VLOOKUP(表_网址[[#This Row],[首要关键词]],表_首次要关键词[[首要关键词]:[排序]],2,0)</f>
        <v>252</v>
      </c>
      <c r="C203" s="4">
        <f>IF(表_网址[[#This Row],[次要关键词]]="",10,MATCH(表_网址[[#This Row],[次要关键词]],次要关键词,0)+10)</f>
        <v>10</v>
      </c>
      <c r="D203">
        <f ca="1">IF(表_网址[[#This Row],[重点关键词]]="",10,MATCH(表_网址[[#This Row],[重点关键词]],OFFSET(重点关键词!$A$1,MATCH($J203,首要关键词,0)*50-48,MATCH($K203,次要关键词,0),重点关键词数量,1),0)+10)</f>
        <v>10</v>
      </c>
      <c r="E203">
        <f ca="1">IF(AND(表_网址[[#This Row],[1级]]=B202,表_网址[[#This Row],[2级]]=C202,表_网址[[#This Row],[3级]]=D202),E202+1,101)</f>
        <v>113</v>
      </c>
      <c r="F203" t="s">
        <v>1087</v>
      </c>
      <c r="G203" t="s">
        <v>1088</v>
      </c>
      <c r="H203" t="s">
        <v>82</v>
      </c>
      <c r="J203" t="s">
        <v>37</v>
      </c>
      <c r="M203">
        <v>999</v>
      </c>
    </row>
    <row r="204" spans="1:16" x14ac:dyDescent="0.2">
      <c r="A204" t="str">
        <f ca="1">表_网址[[#This Row],[1级]]&amp;"-"&amp;表_网址[[#This Row],[2级]]&amp;"-"&amp;表_网址[[#This Row],[3级]]&amp;"-"&amp;表_网址[[#This Row],[级内]]</f>
        <v>252-10-10-114</v>
      </c>
      <c r="B204">
        <f>VLOOKUP(表_网址[[#This Row],[首要关键词]],表_首次要关键词[[首要关键词]:[排序]],2,0)</f>
        <v>252</v>
      </c>
      <c r="C204" s="4">
        <f>IF(表_网址[[#This Row],[次要关键词]]="",10,MATCH(表_网址[[#This Row],[次要关键词]],次要关键词,0)+10)</f>
        <v>10</v>
      </c>
      <c r="D204">
        <f ca="1">IF(表_网址[[#This Row],[重点关键词]]="",10,MATCH(表_网址[[#This Row],[重点关键词]],OFFSET(重点关键词!$A$1,MATCH($J204,首要关键词,0)*50-48,MATCH($K204,次要关键词,0),重点关键词数量,1),0)+10)</f>
        <v>10</v>
      </c>
      <c r="E204">
        <f ca="1">IF(AND(表_网址[[#This Row],[1级]]=B203,表_网址[[#This Row],[2级]]=C203,表_网址[[#This Row],[3级]]=D203),E203+1,101)</f>
        <v>114</v>
      </c>
      <c r="F204" t="s">
        <v>1089</v>
      </c>
      <c r="G204" t="s">
        <v>1090</v>
      </c>
      <c r="H204" t="s">
        <v>82</v>
      </c>
      <c r="I204" t="s">
        <v>1091</v>
      </c>
      <c r="J204" t="s">
        <v>37</v>
      </c>
      <c r="M204">
        <v>999</v>
      </c>
      <c r="N204">
        <v>999</v>
      </c>
      <c r="P204">
        <v>32</v>
      </c>
    </row>
    <row r="205" spans="1:16" x14ac:dyDescent="0.2">
      <c r="A205" t="str">
        <f ca="1">表_网址[[#This Row],[1级]]&amp;"-"&amp;表_网址[[#This Row],[2级]]&amp;"-"&amp;表_网址[[#This Row],[3级]]&amp;"-"&amp;表_网址[[#This Row],[级内]]</f>
        <v>252-10-10-115</v>
      </c>
      <c r="B205">
        <f>VLOOKUP(表_网址[[#This Row],[首要关键词]],表_首次要关键词[[首要关键词]:[排序]],2,0)</f>
        <v>252</v>
      </c>
      <c r="C205" s="4">
        <f>IF(表_网址[[#This Row],[次要关键词]]="",10,MATCH(表_网址[[#This Row],[次要关键词]],次要关键词,0)+10)</f>
        <v>10</v>
      </c>
      <c r="D205">
        <f ca="1">IF(表_网址[[#This Row],[重点关键词]]="",10,MATCH(表_网址[[#This Row],[重点关键词]],OFFSET(重点关键词!$A$1,MATCH($J205,首要关键词,0)*50-48,MATCH($K205,次要关键词,0),重点关键词数量,1),0)+10)</f>
        <v>10</v>
      </c>
      <c r="E205">
        <f ca="1">IF(AND(表_网址[[#This Row],[1级]]=B204,表_网址[[#This Row],[2级]]=C204,表_网址[[#This Row],[3级]]=D204),E204+1,101)</f>
        <v>115</v>
      </c>
      <c r="F205" t="s">
        <v>1092</v>
      </c>
      <c r="G205" t="s">
        <v>1093</v>
      </c>
      <c r="H205" t="s">
        <v>82</v>
      </c>
      <c r="I205" t="s">
        <v>1094</v>
      </c>
      <c r="J205" t="s">
        <v>37</v>
      </c>
      <c r="M205">
        <v>999</v>
      </c>
      <c r="N205">
        <v>999</v>
      </c>
      <c r="P205">
        <v>32</v>
      </c>
    </row>
    <row r="206" spans="1:16" x14ac:dyDescent="0.2">
      <c r="A206" t="str">
        <f ca="1">表_网址[[#This Row],[1级]]&amp;"-"&amp;表_网址[[#This Row],[2级]]&amp;"-"&amp;表_网址[[#This Row],[3级]]&amp;"-"&amp;表_网址[[#This Row],[级内]]</f>
        <v>252-10-10-116</v>
      </c>
      <c r="B206">
        <f>VLOOKUP(表_网址[[#This Row],[首要关键词]],表_首次要关键词[[首要关键词]:[排序]],2,0)</f>
        <v>252</v>
      </c>
      <c r="C206" s="4">
        <f>IF(表_网址[[#This Row],[次要关键词]]="",10,MATCH(表_网址[[#This Row],[次要关键词]],次要关键词,0)+10)</f>
        <v>10</v>
      </c>
      <c r="D206">
        <f ca="1">IF(表_网址[[#This Row],[重点关键词]]="",10,MATCH(表_网址[[#This Row],[重点关键词]],OFFSET(重点关键词!$A$1,MATCH($J206,首要关键词,0)*50-48,MATCH($K206,次要关键词,0),重点关键词数量,1),0)+10)</f>
        <v>10</v>
      </c>
      <c r="E206">
        <f ca="1">IF(AND(表_网址[[#This Row],[1级]]=B205,表_网址[[#This Row],[2级]]=C205,表_网址[[#This Row],[3级]]=D205),E205+1,101)</f>
        <v>116</v>
      </c>
      <c r="F206" t="s">
        <v>1095</v>
      </c>
      <c r="G206" t="s">
        <v>1096</v>
      </c>
      <c r="H206" t="s">
        <v>82</v>
      </c>
      <c r="I206" t="s">
        <v>1097</v>
      </c>
      <c r="J206" t="s">
        <v>37</v>
      </c>
      <c r="M206">
        <v>999</v>
      </c>
      <c r="N206">
        <v>999</v>
      </c>
      <c r="P206">
        <v>32</v>
      </c>
    </row>
    <row r="207" spans="1:16" x14ac:dyDescent="0.2">
      <c r="A207" t="str">
        <f ca="1">表_网址[[#This Row],[1级]]&amp;"-"&amp;表_网址[[#This Row],[2级]]&amp;"-"&amp;表_网址[[#This Row],[3级]]&amp;"-"&amp;表_网址[[#This Row],[级内]]</f>
        <v>253-10-10-101</v>
      </c>
      <c r="B207">
        <f>VLOOKUP(表_网址[[#This Row],[首要关键词]],表_首次要关键词[[首要关键词]:[排序]],2,0)</f>
        <v>253</v>
      </c>
      <c r="C207" s="4">
        <f>IF(表_网址[[#This Row],[次要关键词]]="",10,MATCH(表_网址[[#This Row],[次要关键词]],次要关键词,0)+10)</f>
        <v>10</v>
      </c>
      <c r="D207">
        <f ca="1">IF(表_网址[[#This Row],[重点关键词]]="",10,MATCH(表_网址[[#This Row],[重点关键词]],OFFSET(重点关键词!$A$1,MATCH($J207,首要关键词,0)*50-48,MATCH($K207,次要关键词,0),重点关键词数量,1),0)+10)</f>
        <v>10</v>
      </c>
      <c r="E207">
        <f ca="1">IF(AND(表_网址[[#This Row],[1级]]=B206,表_网址[[#This Row],[2级]]=C206,表_网址[[#This Row],[3级]]=D206),E206+1,101)</f>
        <v>101</v>
      </c>
      <c r="F207" t="s">
        <v>1043</v>
      </c>
      <c r="G207" t="s">
        <v>1044</v>
      </c>
      <c r="H207" t="s">
        <v>82</v>
      </c>
      <c r="I207" t="s">
        <v>1045</v>
      </c>
      <c r="J207" t="s">
        <v>38</v>
      </c>
      <c r="M207">
        <v>999</v>
      </c>
      <c r="N207">
        <v>999</v>
      </c>
      <c r="P207">
        <v>32</v>
      </c>
    </row>
    <row r="208" spans="1:16" x14ac:dyDescent="0.2">
      <c r="A208" t="str">
        <f ca="1">表_网址[[#This Row],[1级]]&amp;"-"&amp;表_网址[[#This Row],[2级]]&amp;"-"&amp;表_网址[[#This Row],[3级]]&amp;"-"&amp;表_网址[[#This Row],[级内]]</f>
        <v>253-10-10-102</v>
      </c>
      <c r="B208">
        <f>VLOOKUP(表_网址[[#This Row],[首要关键词]],表_首次要关键词[[首要关键词]:[排序]],2,0)</f>
        <v>253</v>
      </c>
      <c r="C208" s="4">
        <f>IF(表_网址[[#This Row],[次要关键词]]="",10,MATCH(表_网址[[#This Row],[次要关键词]],次要关键词,0)+10)</f>
        <v>10</v>
      </c>
      <c r="D208">
        <f ca="1">IF(表_网址[[#This Row],[重点关键词]]="",10,MATCH(表_网址[[#This Row],[重点关键词]],OFFSET(重点关键词!$A$1,MATCH($J208,首要关键词,0)*50-48,MATCH($K208,次要关键词,0),重点关键词数量,1),0)+10)</f>
        <v>10</v>
      </c>
      <c r="E208">
        <f ca="1">IF(AND(表_网址[[#This Row],[1级]]=B207,表_网址[[#This Row],[2级]]=C207,表_网址[[#This Row],[3级]]=D207),E207+1,101)</f>
        <v>102</v>
      </c>
      <c r="F208" t="s">
        <v>1046</v>
      </c>
      <c r="G208" t="s">
        <v>1047</v>
      </c>
      <c r="H208" t="s">
        <v>82</v>
      </c>
      <c r="I208" t="s">
        <v>1048</v>
      </c>
      <c r="J208" t="s">
        <v>38</v>
      </c>
      <c r="M208">
        <v>999</v>
      </c>
      <c r="N208">
        <v>999</v>
      </c>
      <c r="P208">
        <v>32</v>
      </c>
    </row>
    <row r="209" spans="1:17" x14ac:dyDescent="0.2">
      <c r="A209" t="str">
        <f ca="1">表_网址[[#This Row],[1级]]&amp;"-"&amp;表_网址[[#This Row],[2级]]&amp;"-"&amp;表_网址[[#This Row],[3级]]&amp;"-"&amp;表_网址[[#This Row],[级内]]</f>
        <v>253-10-10-103</v>
      </c>
      <c r="B209">
        <f>VLOOKUP(表_网址[[#This Row],[首要关键词]],表_首次要关键词[[首要关键词]:[排序]],2,0)</f>
        <v>253</v>
      </c>
      <c r="C209" s="4">
        <f>IF(表_网址[[#This Row],[次要关键词]]="",10,MATCH(表_网址[[#This Row],[次要关键词]],次要关键词,0)+10)</f>
        <v>10</v>
      </c>
      <c r="D209">
        <f ca="1">IF(表_网址[[#This Row],[重点关键词]]="",10,MATCH(表_网址[[#This Row],[重点关键词]],OFFSET(重点关键词!$A$1,MATCH($J209,首要关键词,0)*50-48,MATCH($K209,次要关键词,0),重点关键词数量,1),0)+10)</f>
        <v>10</v>
      </c>
      <c r="E209">
        <f ca="1">IF(AND(表_网址[[#This Row],[1级]]=B208,表_网址[[#This Row],[2级]]=C208,表_网址[[#This Row],[3级]]=D208),E208+1,101)</f>
        <v>103</v>
      </c>
      <c r="F209" t="s">
        <v>1049</v>
      </c>
      <c r="G209" t="s">
        <v>1050</v>
      </c>
      <c r="I209" t="s">
        <v>1051</v>
      </c>
      <c r="J209" t="s">
        <v>38</v>
      </c>
      <c r="M209">
        <v>999</v>
      </c>
      <c r="N209">
        <v>999</v>
      </c>
      <c r="P209">
        <v>16</v>
      </c>
    </row>
    <row r="210" spans="1:17" x14ac:dyDescent="0.2">
      <c r="A210" t="str">
        <f ca="1">表_网址[[#This Row],[1级]]&amp;"-"&amp;表_网址[[#This Row],[2级]]&amp;"-"&amp;表_网址[[#This Row],[3级]]&amp;"-"&amp;表_网址[[#This Row],[级内]]</f>
        <v>301-10-10-101</v>
      </c>
      <c r="B210">
        <f>VLOOKUP(表_网址[[#This Row],[首要关键词]],表_首次要关键词[[首要关键词]:[排序]],2,0)</f>
        <v>301</v>
      </c>
      <c r="C210" s="4">
        <f>IF(表_网址[[#This Row],[次要关键词]]="",10,MATCH(表_网址[[#This Row],[次要关键词]],次要关键词,0)+10)</f>
        <v>10</v>
      </c>
      <c r="D210">
        <f ca="1">IF(表_网址[[#This Row],[重点关键词]]="",10,MATCH(表_网址[[#This Row],[重点关键词]],OFFSET(重点关键词!$A$1,MATCH($J210,首要关键词,0)*50-48,MATCH($K210,次要关键词,0),重点关键词数量,1),0)+10)</f>
        <v>10</v>
      </c>
      <c r="E210">
        <f ca="1">IF(AND(表_网址[[#This Row],[1级]]=B209,表_网址[[#This Row],[2级]]=C209,表_网址[[#This Row],[3级]]=D209),E209+1,101)</f>
        <v>101</v>
      </c>
      <c r="F210" t="s">
        <v>671</v>
      </c>
      <c r="G210" t="s">
        <v>672</v>
      </c>
      <c r="H210" t="s">
        <v>82</v>
      </c>
      <c r="I210" s="6" t="s">
        <v>1727</v>
      </c>
      <c r="J210" t="s">
        <v>39</v>
      </c>
      <c r="M210">
        <v>999</v>
      </c>
      <c r="N210">
        <v>999</v>
      </c>
    </row>
    <row r="211" spans="1:17" x14ac:dyDescent="0.2">
      <c r="A211" t="str">
        <f ca="1">表_网址[[#This Row],[1级]]&amp;"-"&amp;表_网址[[#This Row],[2级]]&amp;"-"&amp;表_网址[[#This Row],[3级]]&amp;"-"&amp;表_网址[[#This Row],[级内]]</f>
        <v>301-11-10-101</v>
      </c>
      <c r="B211">
        <f>VLOOKUP(表_网址[[#This Row],[首要关键词]],表_首次要关键词[[首要关键词]:[排序]],2,0)</f>
        <v>301</v>
      </c>
      <c r="C211" s="4">
        <f ca="1">IF(表_网址[[#This Row],[次要关键词]]="",10,MATCH(表_网址[[#This Row],[次要关键词]],次要关键词,0)+10)</f>
        <v>11</v>
      </c>
      <c r="D211">
        <f ca="1">IF(表_网址[[#This Row],[重点关键词]]="",10,MATCH(表_网址[[#This Row],[重点关键词]],OFFSET(重点关键词!$A$1,MATCH($J211,首要关键词,0)*50-48,MATCH($K211,次要关键词,0),重点关键词数量,1),0)+10)</f>
        <v>10</v>
      </c>
      <c r="E211">
        <f ca="1">IF(AND(表_网址[[#This Row],[1级]]=B210,表_网址[[#This Row],[2级]]=C210,表_网址[[#This Row],[3级]]=D210),E210+1,101)</f>
        <v>101</v>
      </c>
      <c r="F211" t="s">
        <v>161</v>
      </c>
      <c r="G211" t="s">
        <v>162</v>
      </c>
      <c r="H211" t="s">
        <v>82</v>
      </c>
      <c r="I211" t="s">
        <v>163</v>
      </c>
      <c r="J211" t="s">
        <v>39</v>
      </c>
      <c r="K211" t="s">
        <v>674</v>
      </c>
      <c r="M211">
        <v>999</v>
      </c>
      <c r="P211">
        <v>16</v>
      </c>
      <c r="Q211" t="s">
        <v>557</v>
      </c>
    </row>
    <row r="212" spans="1:17" x14ac:dyDescent="0.2">
      <c r="A212" t="str">
        <f ca="1">表_网址[[#This Row],[1级]]&amp;"-"&amp;表_网址[[#This Row],[2级]]&amp;"-"&amp;表_网址[[#This Row],[3级]]&amp;"-"&amp;表_网址[[#This Row],[级内]]</f>
        <v>301-12-10-101</v>
      </c>
      <c r="B212">
        <f>VLOOKUP(表_网址[[#This Row],[首要关键词]],表_首次要关键词[[首要关键词]:[排序]],2,0)</f>
        <v>301</v>
      </c>
      <c r="C212" s="4">
        <f ca="1">IF(表_网址[[#This Row],[次要关键词]]="",10,MATCH(表_网址[[#This Row],[次要关键词]],次要关键词,0)+10)</f>
        <v>12</v>
      </c>
      <c r="D212">
        <f ca="1">IF(表_网址[[#This Row],[重点关键词]]="",10,MATCH(表_网址[[#This Row],[重点关键词]],OFFSET(重点关键词!$A$1,MATCH($J212,首要关键词,0)*50-48,MATCH($K212,次要关键词,0),重点关键词数量,1),0)+10)</f>
        <v>10</v>
      </c>
      <c r="E212">
        <f ca="1">IF(AND(表_网址[[#This Row],[1级]]=B211,表_网址[[#This Row],[2级]]=C211,表_网址[[#This Row],[3级]]=D211),E211+1,101)</f>
        <v>101</v>
      </c>
      <c r="F212" t="s">
        <v>675</v>
      </c>
      <c r="G212" t="s">
        <v>676</v>
      </c>
      <c r="H212" t="s">
        <v>82</v>
      </c>
      <c r="I212" t="s">
        <v>677</v>
      </c>
      <c r="J212" t="s">
        <v>39</v>
      </c>
      <c r="K212" t="s">
        <v>678</v>
      </c>
      <c r="M212">
        <v>999</v>
      </c>
      <c r="P212">
        <v>64</v>
      </c>
      <c r="Q212" t="s">
        <v>557</v>
      </c>
    </row>
    <row r="213" spans="1:17" x14ac:dyDescent="0.2">
      <c r="A213" t="str">
        <f ca="1">表_网址[[#This Row],[1级]]&amp;"-"&amp;表_网址[[#This Row],[2级]]&amp;"-"&amp;表_网址[[#This Row],[3级]]&amp;"-"&amp;表_网址[[#This Row],[级内]]</f>
        <v>301-12-10-102</v>
      </c>
      <c r="B213">
        <f>VLOOKUP(表_网址[[#This Row],[首要关键词]],表_首次要关键词[[首要关键词]:[排序]],2,0)</f>
        <v>301</v>
      </c>
      <c r="C213" s="4">
        <f ca="1">IF(表_网址[[#This Row],[次要关键词]]="",10,MATCH(表_网址[[#This Row],[次要关键词]],次要关键词,0)+10)</f>
        <v>12</v>
      </c>
      <c r="D213">
        <f ca="1">IF(表_网址[[#This Row],[重点关键词]]="",10,MATCH(表_网址[[#This Row],[重点关键词]],OFFSET(重点关键词!$A$1,MATCH($J213,首要关键词,0)*50-48,MATCH($K213,次要关键词,0),重点关键词数量,1),0)+10)</f>
        <v>10</v>
      </c>
      <c r="E213">
        <f ca="1">IF(AND(表_网址[[#This Row],[1级]]=B212,表_网址[[#This Row],[2级]]=C212,表_网址[[#This Row],[3级]]=D212),E212+1,101)</f>
        <v>102</v>
      </c>
      <c r="F213" t="s">
        <v>679</v>
      </c>
      <c r="G213" t="s">
        <v>680</v>
      </c>
      <c r="H213" t="s">
        <v>82</v>
      </c>
      <c r="J213" t="s">
        <v>39</v>
      </c>
      <c r="K213" t="s">
        <v>678</v>
      </c>
      <c r="M213">
        <v>999</v>
      </c>
      <c r="Q213" t="s">
        <v>557</v>
      </c>
    </row>
    <row r="214" spans="1:17" x14ac:dyDescent="0.2">
      <c r="A214" t="str">
        <f ca="1">表_网址[[#This Row],[1级]]&amp;"-"&amp;表_网址[[#This Row],[2级]]&amp;"-"&amp;表_网址[[#This Row],[3级]]&amp;"-"&amp;表_网址[[#This Row],[级内]]</f>
        <v>301-12-10-103</v>
      </c>
      <c r="B214">
        <f>VLOOKUP(表_网址[[#This Row],[首要关键词]],表_首次要关键词[[首要关键词]:[排序]],2,0)</f>
        <v>301</v>
      </c>
      <c r="C214" s="4">
        <f ca="1">IF(表_网址[[#This Row],[次要关键词]]="",10,MATCH(表_网址[[#This Row],[次要关键词]],次要关键词,0)+10)</f>
        <v>12</v>
      </c>
      <c r="D214">
        <f ca="1">IF(表_网址[[#This Row],[重点关键词]]="",10,MATCH(表_网址[[#This Row],[重点关键词]],OFFSET(重点关键词!$A$1,MATCH($J214,首要关键词,0)*50-48,MATCH($K214,次要关键词,0),重点关键词数量,1),0)+10)</f>
        <v>10</v>
      </c>
      <c r="E214">
        <f ca="1">IF(AND(表_网址[[#This Row],[1级]]=B213,表_网址[[#This Row],[2级]]=C213,表_网址[[#This Row],[3级]]=D213),E213+1,101)</f>
        <v>103</v>
      </c>
      <c r="F214" t="s">
        <v>681</v>
      </c>
      <c r="G214" t="s">
        <v>682</v>
      </c>
      <c r="H214" t="s">
        <v>82</v>
      </c>
      <c r="J214" t="s">
        <v>39</v>
      </c>
      <c r="K214" t="s">
        <v>678</v>
      </c>
      <c r="M214">
        <v>999</v>
      </c>
      <c r="Q214" t="s">
        <v>557</v>
      </c>
    </row>
    <row r="215" spans="1:17" x14ac:dyDescent="0.2">
      <c r="A215" t="str">
        <f ca="1">表_网址[[#This Row],[1级]]&amp;"-"&amp;表_网址[[#This Row],[2级]]&amp;"-"&amp;表_网址[[#This Row],[3级]]&amp;"-"&amp;表_网址[[#This Row],[级内]]</f>
        <v>301-13-10-101</v>
      </c>
      <c r="B215">
        <f>VLOOKUP(表_网址[[#This Row],[首要关键词]],表_首次要关键词[[首要关键词]:[排序]],2,0)</f>
        <v>301</v>
      </c>
      <c r="C215" s="4">
        <f ca="1">IF(表_网址[[#This Row],[次要关键词]]="",10,MATCH(表_网址[[#This Row],[次要关键词]],次要关键词,0)+10)</f>
        <v>13</v>
      </c>
      <c r="D215">
        <f ca="1">IF(表_网址[[#This Row],[重点关键词]]="",10,MATCH(表_网址[[#This Row],[重点关键词]],OFFSET(重点关键词!$A$1,MATCH($J215,首要关键词,0)*50-48,MATCH($K215,次要关键词,0),重点关键词数量,1),0)+10)</f>
        <v>10</v>
      </c>
      <c r="E215">
        <f ca="1">IF(AND(表_网址[[#This Row],[1级]]=B214,表_网址[[#This Row],[2级]]=C214,表_网址[[#This Row],[3级]]=D214),E214+1,101)</f>
        <v>101</v>
      </c>
      <c r="F215" t="s">
        <v>699</v>
      </c>
      <c r="G215" t="s">
        <v>700</v>
      </c>
      <c r="H215" t="s">
        <v>82</v>
      </c>
      <c r="I215" t="s">
        <v>701</v>
      </c>
      <c r="J215" t="s">
        <v>39</v>
      </c>
      <c r="K215" t="s">
        <v>702</v>
      </c>
      <c r="M215">
        <v>999</v>
      </c>
      <c r="Q215" t="s">
        <v>557</v>
      </c>
    </row>
    <row r="216" spans="1:17" x14ac:dyDescent="0.2">
      <c r="A216" t="str">
        <f ca="1">表_网址[[#This Row],[1级]]&amp;"-"&amp;表_网址[[#This Row],[2级]]&amp;"-"&amp;表_网址[[#This Row],[3级]]&amp;"-"&amp;表_网址[[#This Row],[级内]]</f>
        <v>301-14-10-101</v>
      </c>
      <c r="B216">
        <f>VLOOKUP(表_网址[[#This Row],[首要关键词]],表_首次要关键词[[首要关键词]:[排序]],2,0)</f>
        <v>301</v>
      </c>
      <c r="C216" s="4">
        <f ca="1">IF(表_网址[[#This Row],[次要关键词]]="",10,MATCH(表_网址[[#This Row],[次要关键词]],次要关键词,0)+10)</f>
        <v>14</v>
      </c>
      <c r="D216">
        <f ca="1">IF(表_网址[[#This Row],[重点关键词]]="",10,MATCH(表_网址[[#This Row],[重点关键词]],OFFSET(重点关键词!$A$1,MATCH($J216,首要关键词,0)*50-48,MATCH($K216,次要关键词,0),重点关键词数量,1),0)+10)</f>
        <v>10</v>
      </c>
      <c r="E216">
        <f ca="1">IF(AND(表_网址[[#This Row],[1级]]=B215,表_网址[[#This Row],[2级]]=C215,表_网址[[#This Row],[3级]]=D215),E215+1,101)</f>
        <v>101</v>
      </c>
      <c r="F216" t="s">
        <v>683</v>
      </c>
      <c r="G216" t="s">
        <v>684</v>
      </c>
      <c r="H216" t="s">
        <v>82</v>
      </c>
      <c r="I216" t="s">
        <v>685</v>
      </c>
      <c r="J216" t="s">
        <v>39</v>
      </c>
      <c r="K216" t="s">
        <v>686</v>
      </c>
      <c r="M216">
        <v>999</v>
      </c>
      <c r="N216">
        <v>999</v>
      </c>
      <c r="P216">
        <v>16</v>
      </c>
      <c r="Q216" t="s">
        <v>557</v>
      </c>
    </row>
    <row r="217" spans="1:17" x14ac:dyDescent="0.2">
      <c r="A217" t="str">
        <f ca="1">表_网址[[#This Row],[1级]]&amp;"-"&amp;表_网址[[#This Row],[2级]]&amp;"-"&amp;表_网址[[#This Row],[3级]]&amp;"-"&amp;表_网址[[#This Row],[级内]]</f>
        <v>301-14-10-102</v>
      </c>
      <c r="B217">
        <f>VLOOKUP(表_网址[[#This Row],[首要关键词]],表_首次要关键词[[首要关键词]:[排序]],2,0)</f>
        <v>301</v>
      </c>
      <c r="C217" s="4">
        <f ca="1">IF(表_网址[[#This Row],[次要关键词]]="",10,MATCH(表_网址[[#This Row],[次要关键词]],次要关键词,0)+10)</f>
        <v>14</v>
      </c>
      <c r="D217">
        <f ca="1">IF(表_网址[[#This Row],[重点关键词]]="",10,MATCH(表_网址[[#This Row],[重点关键词]],OFFSET(重点关键词!$A$1,MATCH($J217,首要关键词,0)*50-48,MATCH($K217,次要关键词,0),重点关键词数量,1),0)+10)</f>
        <v>10</v>
      </c>
      <c r="E217">
        <f ca="1">IF(AND(表_网址[[#This Row],[1级]]=B216,表_网址[[#This Row],[2级]]=C216,表_网址[[#This Row],[3级]]=D216),E216+1,101)</f>
        <v>102</v>
      </c>
      <c r="F217" t="s">
        <v>687</v>
      </c>
      <c r="G217" t="s">
        <v>688</v>
      </c>
      <c r="H217" t="s">
        <v>82</v>
      </c>
      <c r="I217" t="s">
        <v>689</v>
      </c>
      <c r="J217" t="s">
        <v>39</v>
      </c>
      <c r="K217" t="s">
        <v>686</v>
      </c>
      <c r="M217">
        <v>999</v>
      </c>
      <c r="Q217" t="s">
        <v>557</v>
      </c>
    </row>
    <row r="218" spans="1:17" x14ac:dyDescent="0.2">
      <c r="A218" t="str">
        <f ca="1">表_网址[[#This Row],[1级]]&amp;"-"&amp;表_网址[[#This Row],[2级]]&amp;"-"&amp;表_网址[[#This Row],[3级]]&amp;"-"&amp;表_网址[[#This Row],[级内]]</f>
        <v>301-14-10-103</v>
      </c>
      <c r="B218">
        <f>VLOOKUP(表_网址[[#This Row],[首要关键词]],表_首次要关键词[[首要关键词]:[排序]],2,0)</f>
        <v>301</v>
      </c>
      <c r="C218" s="4">
        <f ca="1">IF(表_网址[[#This Row],[次要关键词]]="",10,MATCH(表_网址[[#This Row],[次要关键词]],次要关键词,0)+10)</f>
        <v>14</v>
      </c>
      <c r="D218">
        <f ca="1">IF(表_网址[[#This Row],[重点关键词]]="",10,MATCH(表_网址[[#This Row],[重点关键词]],OFFSET(重点关键词!$A$1,MATCH($J218,首要关键词,0)*50-48,MATCH($K218,次要关键词,0),重点关键词数量,1),0)+10)</f>
        <v>10</v>
      </c>
      <c r="E218">
        <f ca="1">IF(AND(表_网址[[#This Row],[1级]]=B217,表_网址[[#This Row],[2级]]=C217,表_网址[[#This Row],[3级]]=D217),E217+1,101)</f>
        <v>103</v>
      </c>
      <c r="F218" t="s">
        <v>690</v>
      </c>
      <c r="G218" t="s">
        <v>691</v>
      </c>
      <c r="H218" t="s">
        <v>82</v>
      </c>
      <c r="I218" t="s">
        <v>692</v>
      </c>
      <c r="J218" t="s">
        <v>39</v>
      </c>
      <c r="K218" t="s">
        <v>686</v>
      </c>
      <c r="M218">
        <v>999</v>
      </c>
      <c r="P218">
        <v>16</v>
      </c>
      <c r="Q218" t="s">
        <v>557</v>
      </c>
    </row>
    <row r="219" spans="1:17" x14ac:dyDescent="0.2">
      <c r="A219" t="str">
        <f ca="1">表_网址[[#This Row],[1级]]&amp;"-"&amp;表_网址[[#This Row],[2级]]&amp;"-"&amp;表_网址[[#This Row],[3级]]&amp;"-"&amp;表_网址[[#This Row],[级内]]</f>
        <v>301-14-10-104</v>
      </c>
      <c r="B219">
        <f>VLOOKUP(表_网址[[#This Row],[首要关键词]],表_首次要关键词[[首要关键词]:[排序]],2,0)</f>
        <v>301</v>
      </c>
      <c r="C219" s="4">
        <f ca="1">IF(表_网址[[#This Row],[次要关键词]]="",10,MATCH(表_网址[[#This Row],[次要关键词]],次要关键词,0)+10)</f>
        <v>14</v>
      </c>
      <c r="D219">
        <f ca="1">IF(表_网址[[#This Row],[重点关键词]]="",10,MATCH(表_网址[[#This Row],[重点关键词]],OFFSET(重点关键词!$A$1,MATCH($J219,首要关键词,0)*50-48,MATCH($K219,次要关键词,0),重点关键词数量,1),0)+10)</f>
        <v>10</v>
      </c>
      <c r="E219">
        <f ca="1">IF(AND(表_网址[[#This Row],[1级]]=B218,表_网址[[#This Row],[2级]]=C218,表_网址[[#This Row],[3级]]=D218),E218+1,101)</f>
        <v>104</v>
      </c>
      <c r="F219" t="s">
        <v>693</v>
      </c>
      <c r="G219" t="s">
        <v>694</v>
      </c>
      <c r="H219" t="s">
        <v>82</v>
      </c>
      <c r="I219" t="s">
        <v>695</v>
      </c>
      <c r="J219" t="s">
        <v>39</v>
      </c>
      <c r="K219" t="s">
        <v>686</v>
      </c>
      <c r="M219">
        <v>999</v>
      </c>
      <c r="P219">
        <v>16</v>
      </c>
      <c r="Q219" t="s">
        <v>557</v>
      </c>
    </row>
    <row r="220" spans="1:17" x14ac:dyDescent="0.2">
      <c r="A220" t="str">
        <f ca="1">表_网址[[#This Row],[1级]]&amp;"-"&amp;表_网址[[#This Row],[2级]]&amp;"-"&amp;表_网址[[#This Row],[3级]]&amp;"-"&amp;表_网址[[#This Row],[级内]]</f>
        <v>301-14-10-105</v>
      </c>
      <c r="B220">
        <f>VLOOKUP(表_网址[[#This Row],[首要关键词]],表_首次要关键词[[首要关键词]:[排序]],2,0)</f>
        <v>301</v>
      </c>
      <c r="C220" s="4">
        <f ca="1">IF(表_网址[[#This Row],[次要关键词]]="",10,MATCH(表_网址[[#This Row],[次要关键词]],次要关键词,0)+10)</f>
        <v>14</v>
      </c>
      <c r="D220">
        <f ca="1">IF(表_网址[[#This Row],[重点关键词]]="",10,MATCH(表_网址[[#This Row],[重点关键词]],OFFSET(重点关键词!$A$1,MATCH($J220,首要关键词,0)*50-48,MATCH($K220,次要关键词,0),重点关键词数量,1),0)+10)</f>
        <v>10</v>
      </c>
      <c r="E220">
        <f ca="1">IF(AND(表_网址[[#This Row],[1级]]=B219,表_网址[[#This Row],[2级]]=C219,表_网址[[#This Row],[3级]]=D219),E219+1,101)</f>
        <v>105</v>
      </c>
      <c r="F220" t="s">
        <v>696</v>
      </c>
      <c r="G220" t="s">
        <v>697</v>
      </c>
      <c r="H220" t="s">
        <v>82</v>
      </c>
      <c r="I220" t="s">
        <v>698</v>
      </c>
      <c r="J220" t="s">
        <v>39</v>
      </c>
      <c r="K220" t="s">
        <v>686</v>
      </c>
      <c r="M220">
        <v>999</v>
      </c>
      <c r="N220">
        <v>999</v>
      </c>
      <c r="P220">
        <v>16</v>
      </c>
      <c r="Q220" t="s">
        <v>557</v>
      </c>
    </row>
    <row r="221" spans="1:17" x14ac:dyDescent="0.2">
      <c r="A221" t="str">
        <f ca="1">表_网址[[#This Row],[1级]]&amp;"-"&amp;表_网址[[#This Row],[2级]]&amp;"-"&amp;表_网址[[#This Row],[3级]]&amp;"-"&amp;表_网址[[#This Row],[级内]]</f>
        <v>301-15-10-101</v>
      </c>
      <c r="B221">
        <f>VLOOKUP(表_网址[[#This Row],[首要关键词]],表_首次要关键词[[首要关键词]:[排序]],2,0)</f>
        <v>301</v>
      </c>
      <c r="C221" s="4">
        <f ca="1">IF(表_网址[[#This Row],[次要关键词]]="",10,MATCH(表_网址[[#This Row],[次要关键词]],次要关键词,0)+10)</f>
        <v>15</v>
      </c>
      <c r="D221">
        <f ca="1">IF(表_网址[[#This Row],[重点关键词]]="",10,MATCH(表_网址[[#This Row],[重点关键词]],OFFSET(重点关键词!$A$1,MATCH($J221,首要关键词,0)*50-48,MATCH($K221,次要关键词,0),重点关键词数量,1),0)+10)</f>
        <v>10</v>
      </c>
      <c r="E221">
        <f ca="1">IF(AND(表_网址[[#This Row],[1级]]=B220,表_网址[[#This Row],[2级]]=C220,表_网址[[#This Row],[3级]]=D220),E220+1,101)</f>
        <v>101</v>
      </c>
      <c r="F221" t="s">
        <v>671</v>
      </c>
      <c r="G221" t="s">
        <v>672</v>
      </c>
      <c r="H221" t="s">
        <v>82</v>
      </c>
      <c r="I221" t="s">
        <v>673</v>
      </c>
      <c r="J221" t="s">
        <v>39</v>
      </c>
      <c r="K221" t="s">
        <v>703</v>
      </c>
      <c r="M221">
        <v>999</v>
      </c>
      <c r="N221">
        <v>999</v>
      </c>
      <c r="P221">
        <v>48</v>
      </c>
      <c r="Q221" t="s">
        <v>557</v>
      </c>
    </row>
    <row r="222" spans="1:17" x14ac:dyDescent="0.2">
      <c r="A222" t="str">
        <f ca="1">表_网址[[#This Row],[1级]]&amp;"-"&amp;表_网址[[#This Row],[2级]]&amp;"-"&amp;表_网址[[#This Row],[3级]]&amp;"-"&amp;表_网址[[#This Row],[级内]]</f>
        <v>301-15-10-102</v>
      </c>
      <c r="B222">
        <f>VLOOKUP(表_网址[[#This Row],[首要关键词]],表_首次要关键词[[首要关键词]:[排序]],2,0)</f>
        <v>301</v>
      </c>
      <c r="C222" s="4">
        <f ca="1">IF(表_网址[[#This Row],[次要关键词]]="",10,MATCH(表_网址[[#This Row],[次要关键词]],次要关键词,0)+10)</f>
        <v>15</v>
      </c>
      <c r="D222">
        <f ca="1">IF(表_网址[[#This Row],[重点关键词]]="",10,MATCH(表_网址[[#This Row],[重点关键词]],OFFSET(重点关键词!$A$1,MATCH($J222,首要关键词,0)*50-48,MATCH($K222,次要关键词,0),重点关键词数量,1),0)+10)</f>
        <v>10</v>
      </c>
      <c r="E222">
        <f ca="1">IF(AND(表_网址[[#This Row],[1级]]=B221,表_网址[[#This Row],[2级]]=C221,表_网址[[#This Row],[3级]]=D221),E221+1,101)</f>
        <v>102</v>
      </c>
      <c r="F222" t="s">
        <v>791</v>
      </c>
      <c r="G222" t="s">
        <v>792</v>
      </c>
      <c r="H222" t="s">
        <v>82</v>
      </c>
      <c r="I222" t="s">
        <v>793</v>
      </c>
      <c r="J222" t="s">
        <v>39</v>
      </c>
      <c r="K222" t="s">
        <v>703</v>
      </c>
      <c r="M222">
        <v>999</v>
      </c>
      <c r="Q222" t="s">
        <v>557</v>
      </c>
    </row>
    <row r="223" spans="1:17" x14ac:dyDescent="0.2">
      <c r="A223" t="str">
        <f ca="1">表_网址[[#This Row],[1级]]&amp;"-"&amp;表_网址[[#This Row],[2级]]&amp;"-"&amp;表_网址[[#This Row],[3级]]&amp;"-"&amp;表_网址[[#This Row],[级内]]</f>
        <v>301-15-10-103</v>
      </c>
      <c r="B223">
        <f>VLOOKUP(表_网址[[#This Row],[首要关键词]],表_首次要关键词[[首要关键词]:[排序]],2,0)</f>
        <v>301</v>
      </c>
      <c r="C223" s="4">
        <f ca="1">IF(表_网址[[#This Row],[次要关键词]]="",10,MATCH(表_网址[[#This Row],[次要关键词]],次要关键词,0)+10)</f>
        <v>15</v>
      </c>
      <c r="D223">
        <f ca="1">IF(表_网址[[#This Row],[重点关键词]]="",10,MATCH(表_网址[[#This Row],[重点关键词]],OFFSET(重点关键词!$A$1,MATCH($J223,首要关键词,0)*50-48,MATCH($K223,次要关键词,0),重点关键词数量,1),0)+10)</f>
        <v>10</v>
      </c>
      <c r="E223">
        <f ca="1">IF(AND(表_网址[[#This Row],[1级]]=B222,表_网址[[#This Row],[2级]]=C222,表_网址[[#This Row],[3级]]=D222),E222+1,101)</f>
        <v>103</v>
      </c>
      <c r="F223" t="s">
        <v>794</v>
      </c>
      <c r="G223" t="s">
        <v>795</v>
      </c>
      <c r="H223" t="s">
        <v>82</v>
      </c>
      <c r="I223" t="s">
        <v>796</v>
      </c>
      <c r="J223" t="s">
        <v>39</v>
      </c>
      <c r="K223" t="s">
        <v>703</v>
      </c>
      <c r="M223">
        <v>999</v>
      </c>
      <c r="P223">
        <v>16</v>
      </c>
      <c r="Q223" t="s">
        <v>557</v>
      </c>
    </row>
    <row r="224" spans="1:17" x14ac:dyDescent="0.2">
      <c r="A224" t="str">
        <f ca="1">表_网址[[#This Row],[1级]]&amp;"-"&amp;表_网址[[#This Row],[2级]]&amp;"-"&amp;表_网址[[#This Row],[3级]]&amp;"-"&amp;表_网址[[#This Row],[级内]]</f>
        <v>301-15-10-104</v>
      </c>
      <c r="B224">
        <f>VLOOKUP(表_网址[[#This Row],[首要关键词]],表_首次要关键词[[首要关键词]:[排序]],2,0)</f>
        <v>301</v>
      </c>
      <c r="C224" s="4">
        <f ca="1">IF(表_网址[[#This Row],[次要关键词]]="",10,MATCH(表_网址[[#This Row],[次要关键词]],次要关键词,0)+10)</f>
        <v>15</v>
      </c>
      <c r="D224">
        <f ca="1">IF(表_网址[[#This Row],[重点关键词]]="",10,MATCH(表_网址[[#This Row],[重点关键词]],OFFSET(重点关键词!$A$1,MATCH($J224,首要关键词,0)*50-48,MATCH($K224,次要关键词,0),重点关键词数量,1),0)+10)</f>
        <v>10</v>
      </c>
      <c r="E224">
        <f ca="1">IF(AND(表_网址[[#This Row],[1级]]=B223,表_网址[[#This Row],[2级]]=C223,表_网址[[#This Row],[3级]]=D223),E223+1,101)</f>
        <v>104</v>
      </c>
      <c r="F224" t="s">
        <v>704</v>
      </c>
      <c r="G224" t="s">
        <v>705</v>
      </c>
      <c r="H224" t="s">
        <v>82</v>
      </c>
      <c r="I224" t="s">
        <v>706</v>
      </c>
      <c r="J224" t="s">
        <v>39</v>
      </c>
      <c r="K224" t="s">
        <v>703</v>
      </c>
      <c r="M224">
        <v>999</v>
      </c>
      <c r="N224">
        <v>999</v>
      </c>
      <c r="P224">
        <v>16</v>
      </c>
      <c r="Q224" t="s">
        <v>557</v>
      </c>
    </row>
    <row r="225" spans="1:17" x14ac:dyDescent="0.2">
      <c r="A225" t="str">
        <f ca="1">表_网址[[#This Row],[1级]]&amp;"-"&amp;表_网址[[#This Row],[2级]]&amp;"-"&amp;表_网址[[#This Row],[3级]]&amp;"-"&amp;表_网址[[#This Row],[级内]]</f>
        <v>301-15-10-105</v>
      </c>
      <c r="B225">
        <f>VLOOKUP(表_网址[[#This Row],[首要关键词]],表_首次要关键词[[首要关键词]:[排序]],2,0)</f>
        <v>301</v>
      </c>
      <c r="C225" s="4">
        <f ca="1">IF(表_网址[[#This Row],[次要关键词]]="",10,MATCH(表_网址[[#This Row],[次要关键词]],次要关键词,0)+10)</f>
        <v>15</v>
      </c>
      <c r="D225">
        <f ca="1">IF(表_网址[[#This Row],[重点关键词]]="",10,MATCH(表_网址[[#This Row],[重点关键词]],OFFSET(重点关键词!$A$1,MATCH($J225,首要关键词,0)*50-48,MATCH($K225,次要关键词,0),重点关键词数量,1),0)+10)</f>
        <v>10</v>
      </c>
      <c r="E225">
        <f ca="1">IF(AND(表_网址[[#This Row],[1级]]=B224,表_网址[[#This Row],[2级]]=C224,表_网址[[#This Row],[3级]]=D224),E224+1,101)</f>
        <v>105</v>
      </c>
      <c r="F225" t="s">
        <v>707</v>
      </c>
      <c r="G225" t="s">
        <v>708</v>
      </c>
      <c r="H225" t="s">
        <v>82</v>
      </c>
      <c r="I225" t="s">
        <v>709</v>
      </c>
      <c r="J225" t="s">
        <v>39</v>
      </c>
      <c r="K225" t="s">
        <v>703</v>
      </c>
      <c r="M225">
        <v>999</v>
      </c>
      <c r="N225">
        <v>999</v>
      </c>
      <c r="P225">
        <v>16</v>
      </c>
      <c r="Q225" t="s">
        <v>557</v>
      </c>
    </row>
    <row r="226" spans="1:17" x14ac:dyDescent="0.2">
      <c r="A226" t="str">
        <f ca="1">表_网址[[#This Row],[1级]]&amp;"-"&amp;表_网址[[#This Row],[2级]]&amp;"-"&amp;表_网址[[#This Row],[3级]]&amp;"-"&amp;表_网址[[#This Row],[级内]]</f>
        <v>301-15-10-106</v>
      </c>
      <c r="B226">
        <f>VLOOKUP(表_网址[[#This Row],[首要关键词]],表_首次要关键词[[首要关键词]:[排序]],2,0)</f>
        <v>301</v>
      </c>
      <c r="C226" s="4">
        <f ca="1">IF(表_网址[[#This Row],[次要关键词]]="",10,MATCH(表_网址[[#This Row],[次要关键词]],次要关键词,0)+10)</f>
        <v>15</v>
      </c>
      <c r="D226">
        <f ca="1">IF(表_网址[[#This Row],[重点关键词]]="",10,MATCH(表_网址[[#This Row],[重点关键词]],OFFSET(重点关键词!$A$1,MATCH($J226,首要关键词,0)*50-48,MATCH($K226,次要关键词,0),重点关键词数量,1),0)+10)</f>
        <v>10</v>
      </c>
      <c r="E226">
        <f ca="1">IF(AND(表_网址[[#This Row],[1级]]=B225,表_网址[[#This Row],[2级]]=C225,表_网址[[#This Row],[3级]]=D225),E225+1,101)</f>
        <v>106</v>
      </c>
      <c r="F226" t="s">
        <v>710</v>
      </c>
      <c r="G226" t="s">
        <v>711</v>
      </c>
      <c r="H226" t="s">
        <v>82</v>
      </c>
      <c r="I226" t="s">
        <v>712</v>
      </c>
      <c r="J226" t="s">
        <v>39</v>
      </c>
      <c r="K226" t="s">
        <v>703</v>
      </c>
      <c r="M226">
        <v>999</v>
      </c>
      <c r="N226">
        <v>999</v>
      </c>
      <c r="P226">
        <v>16</v>
      </c>
      <c r="Q226" t="s">
        <v>557</v>
      </c>
    </row>
    <row r="227" spans="1:17" x14ac:dyDescent="0.2">
      <c r="A227" t="str">
        <f ca="1">表_网址[[#This Row],[1级]]&amp;"-"&amp;表_网址[[#This Row],[2级]]&amp;"-"&amp;表_网址[[#This Row],[3级]]&amp;"-"&amp;表_网址[[#This Row],[级内]]</f>
        <v>301-15-10-107</v>
      </c>
      <c r="B227">
        <f>VLOOKUP(表_网址[[#This Row],[首要关键词]],表_首次要关键词[[首要关键词]:[排序]],2,0)</f>
        <v>301</v>
      </c>
      <c r="C227" s="4">
        <f ca="1">IF(表_网址[[#This Row],[次要关键词]]="",10,MATCH(表_网址[[#This Row],[次要关键词]],次要关键词,0)+10)</f>
        <v>15</v>
      </c>
      <c r="D227">
        <f ca="1">IF(表_网址[[#This Row],[重点关键词]]="",10,MATCH(表_网址[[#This Row],[重点关键词]],OFFSET(重点关键词!$A$1,MATCH($J227,首要关键词,0)*50-48,MATCH($K227,次要关键词,0),重点关键词数量,1),0)+10)</f>
        <v>10</v>
      </c>
      <c r="E227">
        <f ca="1">IF(AND(表_网址[[#This Row],[1级]]=B226,表_网址[[#This Row],[2级]]=C226,表_网址[[#This Row],[3级]]=D226),E226+1,101)</f>
        <v>107</v>
      </c>
      <c r="F227" t="s">
        <v>713</v>
      </c>
      <c r="G227" t="s">
        <v>714</v>
      </c>
      <c r="H227" t="s">
        <v>82</v>
      </c>
      <c r="I227" t="s">
        <v>715</v>
      </c>
      <c r="J227" t="s">
        <v>39</v>
      </c>
      <c r="K227" t="s">
        <v>703</v>
      </c>
      <c r="M227">
        <v>999</v>
      </c>
      <c r="N227">
        <v>999</v>
      </c>
      <c r="P227">
        <v>48</v>
      </c>
      <c r="Q227" t="s">
        <v>557</v>
      </c>
    </row>
    <row r="228" spans="1:17" x14ac:dyDescent="0.2">
      <c r="A228" t="str">
        <f ca="1">表_网址[[#This Row],[1级]]&amp;"-"&amp;表_网址[[#This Row],[2级]]&amp;"-"&amp;表_网址[[#This Row],[3级]]&amp;"-"&amp;表_网址[[#This Row],[级内]]</f>
        <v>301-15-10-108</v>
      </c>
      <c r="B228">
        <f>VLOOKUP(表_网址[[#This Row],[首要关键词]],表_首次要关键词[[首要关键词]:[排序]],2,0)</f>
        <v>301</v>
      </c>
      <c r="C228" s="4">
        <f ca="1">IF(表_网址[[#This Row],[次要关键词]]="",10,MATCH(表_网址[[#This Row],[次要关键词]],次要关键词,0)+10)</f>
        <v>15</v>
      </c>
      <c r="D228">
        <f ca="1">IF(表_网址[[#This Row],[重点关键词]]="",10,MATCH(表_网址[[#This Row],[重点关键词]],OFFSET(重点关键词!$A$1,MATCH($J228,首要关键词,0)*50-48,MATCH($K228,次要关键词,0),重点关键词数量,1),0)+10)</f>
        <v>10</v>
      </c>
      <c r="E228">
        <f ca="1">IF(AND(表_网址[[#This Row],[1级]]=B227,表_网址[[#This Row],[2级]]=C227,表_网址[[#This Row],[3级]]=D227),E227+1,101)</f>
        <v>108</v>
      </c>
      <c r="F228" t="s">
        <v>716</v>
      </c>
      <c r="G228" t="s">
        <v>717</v>
      </c>
      <c r="H228" t="s">
        <v>82</v>
      </c>
      <c r="I228" t="s">
        <v>718</v>
      </c>
      <c r="J228" t="s">
        <v>39</v>
      </c>
      <c r="K228" t="s">
        <v>703</v>
      </c>
      <c r="M228">
        <v>999</v>
      </c>
      <c r="P228">
        <v>16</v>
      </c>
      <c r="Q228" t="s">
        <v>557</v>
      </c>
    </row>
    <row r="229" spans="1:17" x14ac:dyDescent="0.2">
      <c r="A229" t="str">
        <f ca="1">表_网址[[#This Row],[1级]]&amp;"-"&amp;表_网址[[#This Row],[2级]]&amp;"-"&amp;表_网址[[#This Row],[3级]]&amp;"-"&amp;表_网址[[#This Row],[级内]]</f>
        <v>301-15-10-109</v>
      </c>
      <c r="B229">
        <f>VLOOKUP(表_网址[[#This Row],[首要关键词]],表_首次要关键词[[首要关键词]:[排序]],2,0)</f>
        <v>301</v>
      </c>
      <c r="C229" s="4">
        <f ca="1">IF(表_网址[[#This Row],[次要关键词]]="",10,MATCH(表_网址[[#This Row],[次要关键词]],次要关键词,0)+10)</f>
        <v>15</v>
      </c>
      <c r="D229">
        <f ca="1">IF(表_网址[[#This Row],[重点关键词]]="",10,MATCH(表_网址[[#This Row],[重点关键词]],OFFSET(重点关键词!$A$1,MATCH($J229,首要关键词,0)*50-48,MATCH($K229,次要关键词,0),重点关键词数量,1),0)+10)</f>
        <v>10</v>
      </c>
      <c r="E229">
        <f ca="1">IF(AND(表_网址[[#This Row],[1级]]=B228,表_网址[[#This Row],[2级]]=C228,表_网址[[#This Row],[3级]]=D228),E228+1,101)</f>
        <v>109</v>
      </c>
      <c r="F229" t="s">
        <v>719</v>
      </c>
      <c r="G229" t="s">
        <v>720</v>
      </c>
      <c r="H229" t="s">
        <v>82</v>
      </c>
      <c r="I229" t="s">
        <v>721</v>
      </c>
      <c r="J229" t="s">
        <v>39</v>
      </c>
      <c r="K229" t="s">
        <v>703</v>
      </c>
      <c r="M229">
        <v>999</v>
      </c>
      <c r="N229">
        <v>999</v>
      </c>
      <c r="P229">
        <v>16</v>
      </c>
      <c r="Q229" t="s">
        <v>557</v>
      </c>
    </row>
    <row r="230" spans="1:17" x14ac:dyDescent="0.2">
      <c r="A230" t="str">
        <f ca="1">表_网址[[#This Row],[1级]]&amp;"-"&amp;表_网址[[#This Row],[2级]]&amp;"-"&amp;表_网址[[#This Row],[3级]]&amp;"-"&amp;表_网址[[#This Row],[级内]]</f>
        <v>301-15-10-110</v>
      </c>
      <c r="B230">
        <f>VLOOKUP(表_网址[[#This Row],[首要关键词]],表_首次要关键词[[首要关键词]:[排序]],2,0)</f>
        <v>301</v>
      </c>
      <c r="C230" s="4">
        <f ca="1">IF(表_网址[[#This Row],[次要关键词]]="",10,MATCH(表_网址[[#This Row],[次要关键词]],次要关键词,0)+10)</f>
        <v>15</v>
      </c>
      <c r="D230">
        <f ca="1">IF(表_网址[[#This Row],[重点关键词]]="",10,MATCH(表_网址[[#This Row],[重点关键词]],OFFSET(重点关键词!$A$1,MATCH($J230,首要关键词,0)*50-48,MATCH($K230,次要关键词,0),重点关键词数量,1),0)+10)</f>
        <v>10</v>
      </c>
      <c r="E230">
        <f ca="1">IF(AND(表_网址[[#This Row],[1级]]=B229,表_网址[[#This Row],[2级]]=C229,表_网址[[#This Row],[3级]]=D229),E229+1,101)</f>
        <v>110</v>
      </c>
      <c r="F230" t="s">
        <v>722</v>
      </c>
      <c r="G230" t="s">
        <v>723</v>
      </c>
      <c r="H230" t="s">
        <v>82</v>
      </c>
      <c r="I230" t="s">
        <v>724</v>
      </c>
      <c r="J230" t="s">
        <v>39</v>
      </c>
      <c r="K230" t="s">
        <v>703</v>
      </c>
      <c r="M230">
        <v>999</v>
      </c>
      <c r="Q230" t="s">
        <v>557</v>
      </c>
    </row>
    <row r="231" spans="1:17" x14ac:dyDescent="0.2">
      <c r="A231" t="str">
        <f ca="1">表_网址[[#This Row],[1级]]&amp;"-"&amp;表_网址[[#This Row],[2级]]&amp;"-"&amp;表_网址[[#This Row],[3级]]&amp;"-"&amp;表_网址[[#This Row],[级内]]</f>
        <v>301-15-10-111</v>
      </c>
      <c r="B231">
        <f>VLOOKUP(表_网址[[#This Row],[首要关键词]],表_首次要关键词[[首要关键词]:[排序]],2,0)</f>
        <v>301</v>
      </c>
      <c r="C231" s="4">
        <f ca="1">IF(表_网址[[#This Row],[次要关键词]]="",10,MATCH(表_网址[[#This Row],[次要关键词]],次要关键词,0)+10)</f>
        <v>15</v>
      </c>
      <c r="D231">
        <f ca="1">IF(表_网址[[#This Row],[重点关键词]]="",10,MATCH(表_网址[[#This Row],[重点关键词]],OFFSET(重点关键词!$A$1,MATCH($J231,首要关键词,0)*50-48,MATCH($K231,次要关键词,0),重点关键词数量,1),0)+10)</f>
        <v>10</v>
      </c>
      <c r="E231">
        <f ca="1">IF(AND(表_网址[[#This Row],[1级]]=B230,表_网址[[#This Row],[2级]]=C230,表_网址[[#This Row],[3级]]=D230),E230+1,101)</f>
        <v>111</v>
      </c>
      <c r="F231" t="s">
        <v>725</v>
      </c>
      <c r="G231" t="s">
        <v>726</v>
      </c>
      <c r="H231" t="s">
        <v>82</v>
      </c>
      <c r="I231" t="s">
        <v>727</v>
      </c>
      <c r="J231" t="s">
        <v>39</v>
      </c>
      <c r="K231" t="s">
        <v>703</v>
      </c>
      <c r="M231">
        <v>999</v>
      </c>
      <c r="Q231" t="s">
        <v>557</v>
      </c>
    </row>
    <row r="232" spans="1:17" x14ac:dyDescent="0.2">
      <c r="A232" t="str">
        <f ca="1">表_网址[[#This Row],[1级]]&amp;"-"&amp;表_网址[[#This Row],[2级]]&amp;"-"&amp;表_网址[[#This Row],[3级]]&amp;"-"&amp;表_网址[[#This Row],[级内]]</f>
        <v>301-15-10-112</v>
      </c>
      <c r="B232">
        <f>VLOOKUP(表_网址[[#This Row],[首要关键词]],表_首次要关键词[[首要关键词]:[排序]],2,0)</f>
        <v>301</v>
      </c>
      <c r="C232" s="4">
        <f ca="1">IF(表_网址[[#This Row],[次要关键词]]="",10,MATCH(表_网址[[#This Row],[次要关键词]],次要关键词,0)+10)</f>
        <v>15</v>
      </c>
      <c r="D232">
        <f ca="1">IF(表_网址[[#This Row],[重点关键词]]="",10,MATCH(表_网址[[#This Row],[重点关键词]],OFFSET(重点关键词!$A$1,MATCH($J232,首要关键词,0)*50-48,MATCH($K232,次要关键词,0),重点关键词数量,1),0)+10)</f>
        <v>10</v>
      </c>
      <c r="E232">
        <f ca="1">IF(AND(表_网址[[#This Row],[1级]]=B231,表_网址[[#This Row],[2级]]=C231,表_网址[[#This Row],[3级]]=D231),E231+1,101)</f>
        <v>112</v>
      </c>
      <c r="F232" t="s">
        <v>728</v>
      </c>
      <c r="G232" t="s">
        <v>729</v>
      </c>
      <c r="H232" t="s">
        <v>82</v>
      </c>
      <c r="I232" t="s">
        <v>730</v>
      </c>
      <c r="J232" t="s">
        <v>39</v>
      </c>
      <c r="K232" t="s">
        <v>703</v>
      </c>
      <c r="M232">
        <v>999</v>
      </c>
      <c r="P232">
        <v>48</v>
      </c>
      <c r="Q232" t="s">
        <v>557</v>
      </c>
    </row>
    <row r="233" spans="1:17" x14ac:dyDescent="0.2">
      <c r="A233" t="str">
        <f ca="1">表_网址[[#This Row],[1级]]&amp;"-"&amp;表_网址[[#This Row],[2级]]&amp;"-"&amp;表_网址[[#This Row],[3级]]&amp;"-"&amp;表_网址[[#This Row],[级内]]</f>
        <v>301-15-10-113</v>
      </c>
      <c r="B233">
        <f>VLOOKUP(表_网址[[#This Row],[首要关键词]],表_首次要关键词[[首要关键词]:[排序]],2,0)</f>
        <v>301</v>
      </c>
      <c r="C233" s="4">
        <f ca="1">IF(表_网址[[#This Row],[次要关键词]]="",10,MATCH(表_网址[[#This Row],[次要关键词]],次要关键词,0)+10)</f>
        <v>15</v>
      </c>
      <c r="D233">
        <f ca="1">IF(表_网址[[#This Row],[重点关键词]]="",10,MATCH(表_网址[[#This Row],[重点关键词]],OFFSET(重点关键词!$A$1,MATCH($J233,首要关键词,0)*50-48,MATCH($K233,次要关键词,0),重点关键词数量,1),0)+10)</f>
        <v>10</v>
      </c>
      <c r="E233">
        <f ca="1">IF(AND(表_网址[[#This Row],[1级]]=B232,表_网址[[#This Row],[2级]]=C232,表_网址[[#This Row],[3级]]=D232),E232+1,101)</f>
        <v>113</v>
      </c>
      <c r="F233" t="s">
        <v>731</v>
      </c>
      <c r="G233" t="s">
        <v>732</v>
      </c>
      <c r="H233" t="s">
        <v>82</v>
      </c>
      <c r="I233" t="s">
        <v>733</v>
      </c>
      <c r="J233" t="s">
        <v>39</v>
      </c>
      <c r="K233" t="s">
        <v>703</v>
      </c>
      <c r="M233">
        <v>999</v>
      </c>
      <c r="Q233" t="s">
        <v>557</v>
      </c>
    </row>
    <row r="234" spans="1:17" x14ac:dyDescent="0.2">
      <c r="A234" t="str">
        <f ca="1">表_网址[[#This Row],[1级]]&amp;"-"&amp;表_网址[[#This Row],[2级]]&amp;"-"&amp;表_网址[[#This Row],[3级]]&amp;"-"&amp;表_网址[[#This Row],[级内]]</f>
        <v>301-15-10-114</v>
      </c>
      <c r="B234">
        <f>VLOOKUP(表_网址[[#This Row],[首要关键词]],表_首次要关键词[[首要关键词]:[排序]],2,0)</f>
        <v>301</v>
      </c>
      <c r="C234" s="4">
        <f ca="1">IF(表_网址[[#This Row],[次要关键词]]="",10,MATCH(表_网址[[#This Row],[次要关键词]],次要关键词,0)+10)</f>
        <v>15</v>
      </c>
      <c r="D234">
        <f ca="1">IF(表_网址[[#This Row],[重点关键词]]="",10,MATCH(表_网址[[#This Row],[重点关键词]],OFFSET(重点关键词!$A$1,MATCH($J234,首要关键词,0)*50-48,MATCH($K234,次要关键词,0),重点关键词数量,1),0)+10)</f>
        <v>10</v>
      </c>
      <c r="E234">
        <f ca="1">IF(AND(表_网址[[#This Row],[1级]]=B233,表_网址[[#This Row],[2级]]=C233,表_网址[[#This Row],[3级]]=D233),E233+1,101)</f>
        <v>114</v>
      </c>
      <c r="F234" t="s">
        <v>734</v>
      </c>
      <c r="G234" t="s">
        <v>735</v>
      </c>
      <c r="H234" t="s">
        <v>82</v>
      </c>
      <c r="I234" t="s">
        <v>736</v>
      </c>
      <c r="J234" t="s">
        <v>39</v>
      </c>
      <c r="K234" t="s">
        <v>703</v>
      </c>
      <c r="M234">
        <v>999</v>
      </c>
      <c r="P234">
        <v>32</v>
      </c>
      <c r="Q234" t="s">
        <v>557</v>
      </c>
    </row>
    <row r="235" spans="1:17" x14ac:dyDescent="0.2">
      <c r="A235" t="str">
        <f ca="1">表_网址[[#This Row],[1级]]&amp;"-"&amp;表_网址[[#This Row],[2级]]&amp;"-"&amp;表_网址[[#This Row],[3级]]&amp;"-"&amp;表_网址[[#This Row],[级内]]</f>
        <v>301-15-10-115</v>
      </c>
      <c r="B235">
        <f>VLOOKUP(表_网址[[#This Row],[首要关键词]],表_首次要关键词[[首要关键词]:[排序]],2,0)</f>
        <v>301</v>
      </c>
      <c r="C235" s="4">
        <f ca="1">IF(表_网址[[#This Row],[次要关键词]]="",10,MATCH(表_网址[[#This Row],[次要关键词]],次要关键词,0)+10)</f>
        <v>15</v>
      </c>
      <c r="D235">
        <f ca="1">IF(表_网址[[#This Row],[重点关键词]]="",10,MATCH(表_网址[[#This Row],[重点关键词]],OFFSET(重点关键词!$A$1,MATCH($J235,首要关键词,0)*50-48,MATCH($K235,次要关键词,0),重点关键词数量,1),0)+10)</f>
        <v>10</v>
      </c>
      <c r="E235">
        <f ca="1">IF(AND(表_网址[[#This Row],[1级]]=B234,表_网址[[#This Row],[2级]]=C234,表_网址[[#This Row],[3级]]=D234),E234+1,101)</f>
        <v>115</v>
      </c>
      <c r="F235" t="s">
        <v>737</v>
      </c>
      <c r="G235" t="s">
        <v>738</v>
      </c>
      <c r="H235" t="s">
        <v>82</v>
      </c>
      <c r="I235" t="s">
        <v>739</v>
      </c>
      <c r="J235" t="s">
        <v>39</v>
      </c>
      <c r="K235" t="s">
        <v>703</v>
      </c>
      <c r="M235">
        <v>999</v>
      </c>
      <c r="P235">
        <v>126</v>
      </c>
      <c r="Q235" t="s">
        <v>557</v>
      </c>
    </row>
    <row r="236" spans="1:17" x14ac:dyDescent="0.2">
      <c r="A236" t="str">
        <f ca="1">表_网址[[#This Row],[1级]]&amp;"-"&amp;表_网址[[#This Row],[2级]]&amp;"-"&amp;表_网址[[#This Row],[3级]]&amp;"-"&amp;表_网址[[#This Row],[级内]]</f>
        <v>301-15-10-116</v>
      </c>
      <c r="B236">
        <f>VLOOKUP(表_网址[[#This Row],[首要关键词]],表_首次要关键词[[首要关键词]:[排序]],2,0)</f>
        <v>301</v>
      </c>
      <c r="C236" s="4">
        <f ca="1">IF(表_网址[[#This Row],[次要关键词]]="",10,MATCH(表_网址[[#This Row],[次要关键词]],次要关键词,0)+10)</f>
        <v>15</v>
      </c>
      <c r="D236">
        <f ca="1">IF(表_网址[[#This Row],[重点关键词]]="",10,MATCH(表_网址[[#This Row],[重点关键词]],OFFSET(重点关键词!$A$1,MATCH($J236,首要关键词,0)*50-48,MATCH($K236,次要关键词,0),重点关键词数量,1),0)+10)</f>
        <v>10</v>
      </c>
      <c r="E236">
        <f ca="1">IF(AND(表_网址[[#This Row],[1级]]=B235,表_网址[[#This Row],[2级]]=C235,表_网址[[#This Row],[3级]]=D235),E235+1,101)</f>
        <v>116</v>
      </c>
      <c r="F236" t="s">
        <v>740</v>
      </c>
      <c r="G236" t="s">
        <v>741</v>
      </c>
      <c r="H236" t="s">
        <v>82</v>
      </c>
      <c r="I236" t="s">
        <v>742</v>
      </c>
      <c r="J236" t="s">
        <v>39</v>
      </c>
      <c r="K236" t="s">
        <v>703</v>
      </c>
      <c r="M236">
        <v>999</v>
      </c>
      <c r="N236">
        <v>999</v>
      </c>
      <c r="P236">
        <v>16</v>
      </c>
      <c r="Q236" t="s">
        <v>557</v>
      </c>
    </row>
    <row r="237" spans="1:17" x14ac:dyDescent="0.2">
      <c r="A237" t="str">
        <f ca="1">表_网址[[#This Row],[1级]]&amp;"-"&amp;表_网址[[#This Row],[2级]]&amp;"-"&amp;表_网址[[#This Row],[3级]]&amp;"-"&amp;表_网址[[#This Row],[级内]]</f>
        <v>301-15-10-117</v>
      </c>
      <c r="B237">
        <f>VLOOKUP(表_网址[[#This Row],[首要关键词]],表_首次要关键词[[首要关键词]:[排序]],2,0)</f>
        <v>301</v>
      </c>
      <c r="C237" s="4">
        <f ca="1">IF(表_网址[[#This Row],[次要关键词]]="",10,MATCH(表_网址[[#This Row],[次要关键词]],次要关键词,0)+10)</f>
        <v>15</v>
      </c>
      <c r="D237">
        <f ca="1">IF(表_网址[[#This Row],[重点关键词]]="",10,MATCH(表_网址[[#This Row],[重点关键词]],OFFSET(重点关键词!$A$1,MATCH($J237,首要关键词,0)*50-48,MATCH($K237,次要关键词,0),重点关键词数量,1),0)+10)</f>
        <v>10</v>
      </c>
      <c r="E237">
        <f ca="1">IF(AND(表_网址[[#This Row],[1级]]=B236,表_网址[[#This Row],[2级]]=C236,表_网址[[#This Row],[3级]]=D236),E236+1,101)</f>
        <v>117</v>
      </c>
      <c r="F237" t="s">
        <v>743</v>
      </c>
      <c r="G237" t="s">
        <v>744</v>
      </c>
      <c r="H237" t="s">
        <v>82</v>
      </c>
      <c r="I237" t="s">
        <v>745</v>
      </c>
      <c r="J237" t="s">
        <v>39</v>
      </c>
      <c r="K237" t="s">
        <v>703</v>
      </c>
      <c r="M237">
        <v>999</v>
      </c>
      <c r="P237">
        <v>32</v>
      </c>
      <c r="Q237" t="s">
        <v>557</v>
      </c>
    </row>
    <row r="238" spans="1:17" x14ac:dyDescent="0.2">
      <c r="A238" t="str">
        <f ca="1">表_网址[[#This Row],[1级]]&amp;"-"&amp;表_网址[[#This Row],[2级]]&amp;"-"&amp;表_网址[[#This Row],[3级]]&amp;"-"&amp;表_网址[[#This Row],[级内]]</f>
        <v>301-15-10-118</v>
      </c>
      <c r="B238">
        <f>VLOOKUP(表_网址[[#This Row],[首要关键词]],表_首次要关键词[[首要关键词]:[排序]],2,0)</f>
        <v>301</v>
      </c>
      <c r="C238" s="4">
        <f ca="1">IF(表_网址[[#This Row],[次要关键词]]="",10,MATCH(表_网址[[#This Row],[次要关键词]],次要关键词,0)+10)</f>
        <v>15</v>
      </c>
      <c r="D238">
        <f ca="1">IF(表_网址[[#This Row],[重点关键词]]="",10,MATCH(表_网址[[#This Row],[重点关键词]],OFFSET(重点关键词!$A$1,MATCH($J238,首要关键词,0)*50-48,MATCH($K238,次要关键词,0),重点关键词数量,1),0)+10)</f>
        <v>10</v>
      </c>
      <c r="E238">
        <f ca="1">IF(AND(表_网址[[#This Row],[1级]]=B237,表_网址[[#This Row],[2级]]=C237,表_网址[[#This Row],[3级]]=D237),E237+1,101)</f>
        <v>118</v>
      </c>
      <c r="F238" t="s">
        <v>746</v>
      </c>
      <c r="G238" t="s">
        <v>747</v>
      </c>
      <c r="H238" t="s">
        <v>82</v>
      </c>
      <c r="I238" t="s">
        <v>748</v>
      </c>
      <c r="J238" t="s">
        <v>39</v>
      </c>
      <c r="K238" t="s">
        <v>703</v>
      </c>
      <c r="M238">
        <v>999</v>
      </c>
      <c r="N238">
        <v>999</v>
      </c>
      <c r="P238">
        <v>16</v>
      </c>
      <c r="Q238" t="s">
        <v>557</v>
      </c>
    </row>
    <row r="239" spans="1:17" x14ac:dyDescent="0.2">
      <c r="A239" t="str">
        <f ca="1">表_网址[[#This Row],[1级]]&amp;"-"&amp;表_网址[[#This Row],[2级]]&amp;"-"&amp;表_网址[[#This Row],[3级]]&amp;"-"&amp;表_网址[[#This Row],[级内]]</f>
        <v>301-15-10-119</v>
      </c>
      <c r="B239">
        <f>VLOOKUP(表_网址[[#This Row],[首要关键词]],表_首次要关键词[[首要关键词]:[排序]],2,0)</f>
        <v>301</v>
      </c>
      <c r="C239" s="4">
        <f ca="1">IF(表_网址[[#This Row],[次要关键词]]="",10,MATCH(表_网址[[#This Row],[次要关键词]],次要关键词,0)+10)</f>
        <v>15</v>
      </c>
      <c r="D239">
        <f ca="1">IF(表_网址[[#This Row],[重点关键词]]="",10,MATCH(表_网址[[#This Row],[重点关键词]],OFFSET(重点关键词!$A$1,MATCH($J239,首要关键词,0)*50-48,MATCH($K239,次要关键词,0),重点关键词数量,1),0)+10)</f>
        <v>10</v>
      </c>
      <c r="E239">
        <f ca="1">IF(AND(表_网址[[#This Row],[1级]]=B238,表_网址[[#This Row],[2级]]=C238,表_网址[[#This Row],[3级]]=D238),E238+1,101)</f>
        <v>119</v>
      </c>
      <c r="F239" t="s">
        <v>749</v>
      </c>
      <c r="G239" t="s">
        <v>750</v>
      </c>
      <c r="H239" t="s">
        <v>82</v>
      </c>
      <c r="I239" t="s">
        <v>751</v>
      </c>
      <c r="J239" t="s">
        <v>39</v>
      </c>
      <c r="K239" t="s">
        <v>703</v>
      </c>
      <c r="M239">
        <v>999</v>
      </c>
      <c r="Q239" t="s">
        <v>557</v>
      </c>
    </row>
    <row r="240" spans="1:17" x14ac:dyDescent="0.2">
      <c r="A240" t="str">
        <f ca="1">表_网址[[#This Row],[1级]]&amp;"-"&amp;表_网址[[#This Row],[2级]]&amp;"-"&amp;表_网址[[#This Row],[3级]]&amp;"-"&amp;表_网址[[#This Row],[级内]]</f>
        <v>301-15-10-120</v>
      </c>
      <c r="B240">
        <f>VLOOKUP(表_网址[[#This Row],[首要关键词]],表_首次要关键词[[首要关键词]:[排序]],2,0)</f>
        <v>301</v>
      </c>
      <c r="C240" s="4">
        <f ca="1">IF(表_网址[[#This Row],[次要关键词]]="",10,MATCH(表_网址[[#This Row],[次要关键词]],次要关键词,0)+10)</f>
        <v>15</v>
      </c>
      <c r="D240">
        <f ca="1">IF(表_网址[[#This Row],[重点关键词]]="",10,MATCH(表_网址[[#This Row],[重点关键词]],OFFSET(重点关键词!$A$1,MATCH($J240,首要关键词,0)*50-48,MATCH($K240,次要关键词,0),重点关键词数量,1),0)+10)</f>
        <v>10</v>
      </c>
      <c r="E240">
        <f ca="1">IF(AND(表_网址[[#This Row],[1级]]=B239,表_网址[[#This Row],[2级]]=C239,表_网址[[#This Row],[3级]]=D239),E239+1,101)</f>
        <v>120</v>
      </c>
      <c r="F240" t="s">
        <v>752</v>
      </c>
      <c r="G240" t="s">
        <v>753</v>
      </c>
      <c r="H240" t="s">
        <v>82</v>
      </c>
      <c r="I240" t="s">
        <v>754</v>
      </c>
      <c r="J240" t="s">
        <v>39</v>
      </c>
      <c r="K240" t="s">
        <v>703</v>
      </c>
      <c r="M240">
        <v>999</v>
      </c>
      <c r="P240">
        <v>31</v>
      </c>
      <c r="Q240" t="s">
        <v>557</v>
      </c>
    </row>
    <row r="241" spans="1:17" x14ac:dyDescent="0.2">
      <c r="A241" t="str">
        <f ca="1">表_网址[[#This Row],[1级]]&amp;"-"&amp;表_网址[[#This Row],[2级]]&amp;"-"&amp;表_网址[[#This Row],[3级]]&amp;"-"&amp;表_网址[[#This Row],[级内]]</f>
        <v>301-15-10-121</v>
      </c>
      <c r="B241">
        <f>VLOOKUP(表_网址[[#This Row],[首要关键词]],表_首次要关键词[[首要关键词]:[排序]],2,0)</f>
        <v>301</v>
      </c>
      <c r="C241" s="4">
        <f ca="1">IF(表_网址[[#This Row],[次要关键词]]="",10,MATCH(表_网址[[#This Row],[次要关键词]],次要关键词,0)+10)</f>
        <v>15</v>
      </c>
      <c r="D241">
        <f ca="1">IF(表_网址[[#This Row],[重点关键词]]="",10,MATCH(表_网址[[#This Row],[重点关键词]],OFFSET(重点关键词!$A$1,MATCH($J241,首要关键词,0)*50-48,MATCH($K241,次要关键词,0),重点关键词数量,1),0)+10)</f>
        <v>10</v>
      </c>
      <c r="E241">
        <f ca="1">IF(AND(表_网址[[#This Row],[1级]]=B240,表_网址[[#This Row],[2级]]=C240,表_网址[[#This Row],[3级]]=D240),E240+1,101)</f>
        <v>121</v>
      </c>
      <c r="F241" t="s">
        <v>755</v>
      </c>
      <c r="G241" t="s">
        <v>756</v>
      </c>
      <c r="H241" t="s">
        <v>82</v>
      </c>
      <c r="I241" t="s">
        <v>757</v>
      </c>
      <c r="J241" t="s">
        <v>39</v>
      </c>
      <c r="K241" t="s">
        <v>703</v>
      </c>
      <c r="M241">
        <v>999</v>
      </c>
      <c r="P241">
        <v>16</v>
      </c>
      <c r="Q241" t="s">
        <v>557</v>
      </c>
    </row>
    <row r="242" spans="1:17" x14ac:dyDescent="0.2">
      <c r="A242" t="str">
        <f ca="1">表_网址[[#This Row],[1级]]&amp;"-"&amp;表_网址[[#This Row],[2级]]&amp;"-"&amp;表_网址[[#This Row],[3级]]&amp;"-"&amp;表_网址[[#This Row],[级内]]</f>
        <v>301-15-10-122</v>
      </c>
      <c r="B242">
        <f>VLOOKUP(表_网址[[#This Row],[首要关键词]],表_首次要关键词[[首要关键词]:[排序]],2,0)</f>
        <v>301</v>
      </c>
      <c r="C242" s="4">
        <f ca="1">IF(表_网址[[#This Row],[次要关键词]]="",10,MATCH(表_网址[[#This Row],[次要关键词]],次要关键词,0)+10)</f>
        <v>15</v>
      </c>
      <c r="D242">
        <f ca="1">IF(表_网址[[#This Row],[重点关键词]]="",10,MATCH(表_网址[[#This Row],[重点关键词]],OFFSET(重点关键词!$A$1,MATCH($J242,首要关键词,0)*50-48,MATCH($K242,次要关键词,0),重点关键词数量,1),0)+10)</f>
        <v>10</v>
      </c>
      <c r="E242">
        <f ca="1">IF(AND(表_网址[[#This Row],[1级]]=B241,表_网址[[#This Row],[2级]]=C241,表_网址[[#This Row],[3级]]=D241),E241+1,101)</f>
        <v>122</v>
      </c>
      <c r="F242" t="s">
        <v>758</v>
      </c>
      <c r="G242" t="s">
        <v>759</v>
      </c>
      <c r="H242" t="s">
        <v>82</v>
      </c>
      <c r="I242" t="s">
        <v>760</v>
      </c>
      <c r="J242" t="s">
        <v>39</v>
      </c>
      <c r="K242" t="s">
        <v>703</v>
      </c>
      <c r="M242">
        <v>999</v>
      </c>
      <c r="Q242" t="s">
        <v>557</v>
      </c>
    </row>
    <row r="243" spans="1:17" x14ac:dyDescent="0.2">
      <c r="A243" t="str">
        <f ca="1">表_网址[[#This Row],[1级]]&amp;"-"&amp;表_网址[[#This Row],[2级]]&amp;"-"&amp;表_网址[[#This Row],[3级]]&amp;"-"&amp;表_网址[[#This Row],[级内]]</f>
        <v>301-15-10-123</v>
      </c>
      <c r="B243">
        <f>VLOOKUP(表_网址[[#This Row],[首要关键词]],表_首次要关键词[[首要关键词]:[排序]],2,0)</f>
        <v>301</v>
      </c>
      <c r="C243" s="4">
        <f ca="1">IF(表_网址[[#This Row],[次要关键词]]="",10,MATCH(表_网址[[#This Row],[次要关键词]],次要关键词,0)+10)</f>
        <v>15</v>
      </c>
      <c r="D243">
        <f ca="1">IF(表_网址[[#This Row],[重点关键词]]="",10,MATCH(表_网址[[#This Row],[重点关键词]],OFFSET(重点关键词!$A$1,MATCH($J243,首要关键词,0)*50-48,MATCH($K243,次要关键词,0),重点关键词数量,1),0)+10)</f>
        <v>10</v>
      </c>
      <c r="E243">
        <f ca="1">IF(AND(表_网址[[#This Row],[1级]]=B242,表_网址[[#This Row],[2级]]=C242,表_网址[[#This Row],[3级]]=D242),E242+1,101)</f>
        <v>123</v>
      </c>
      <c r="F243" t="s">
        <v>761</v>
      </c>
      <c r="G243" t="s">
        <v>762</v>
      </c>
      <c r="H243" t="s">
        <v>82</v>
      </c>
      <c r="I243" t="s">
        <v>763</v>
      </c>
      <c r="J243" t="s">
        <v>39</v>
      </c>
      <c r="K243" t="s">
        <v>703</v>
      </c>
      <c r="M243">
        <v>999</v>
      </c>
      <c r="N243">
        <v>999</v>
      </c>
      <c r="Q243" t="s">
        <v>557</v>
      </c>
    </row>
    <row r="244" spans="1:17" x14ac:dyDescent="0.2">
      <c r="A244" t="str">
        <f ca="1">表_网址[[#This Row],[1级]]&amp;"-"&amp;表_网址[[#This Row],[2级]]&amp;"-"&amp;表_网址[[#This Row],[3级]]&amp;"-"&amp;表_网址[[#This Row],[级内]]</f>
        <v>301-15-10-124</v>
      </c>
      <c r="B244">
        <f>VLOOKUP(表_网址[[#This Row],[首要关键词]],表_首次要关键词[[首要关键词]:[排序]],2,0)</f>
        <v>301</v>
      </c>
      <c r="C244" s="4">
        <f ca="1">IF(表_网址[[#This Row],[次要关键词]]="",10,MATCH(表_网址[[#This Row],[次要关键词]],次要关键词,0)+10)</f>
        <v>15</v>
      </c>
      <c r="D244">
        <f ca="1">IF(表_网址[[#This Row],[重点关键词]]="",10,MATCH(表_网址[[#This Row],[重点关键词]],OFFSET(重点关键词!$A$1,MATCH($J244,首要关键词,0)*50-48,MATCH($K244,次要关键词,0),重点关键词数量,1),0)+10)</f>
        <v>10</v>
      </c>
      <c r="E244">
        <f ca="1">IF(AND(表_网址[[#This Row],[1级]]=B243,表_网址[[#This Row],[2级]]=C243,表_网址[[#This Row],[3级]]=D243),E243+1,101)</f>
        <v>124</v>
      </c>
      <c r="F244" t="s">
        <v>764</v>
      </c>
      <c r="G244" t="s">
        <v>765</v>
      </c>
      <c r="H244" t="s">
        <v>82</v>
      </c>
      <c r="I244" t="s">
        <v>766</v>
      </c>
      <c r="J244" t="s">
        <v>39</v>
      </c>
      <c r="K244" t="s">
        <v>703</v>
      </c>
      <c r="M244">
        <v>999</v>
      </c>
      <c r="Q244" t="s">
        <v>557</v>
      </c>
    </row>
    <row r="245" spans="1:17" x14ac:dyDescent="0.2">
      <c r="A245" t="str">
        <f ca="1">表_网址[[#This Row],[1级]]&amp;"-"&amp;表_网址[[#This Row],[2级]]&amp;"-"&amp;表_网址[[#This Row],[3级]]&amp;"-"&amp;表_网址[[#This Row],[级内]]</f>
        <v>301-15-10-125</v>
      </c>
      <c r="B245">
        <f>VLOOKUP(表_网址[[#This Row],[首要关键词]],表_首次要关键词[[首要关键词]:[排序]],2,0)</f>
        <v>301</v>
      </c>
      <c r="C245" s="4">
        <f ca="1">IF(表_网址[[#This Row],[次要关键词]]="",10,MATCH(表_网址[[#This Row],[次要关键词]],次要关键词,0)+10)</f>
        <v>15</v>
      </c>
      <c r="D245">
        <f ca="1">IF(表_网址[[#This Row],[重点关键词]]="",10,MATCH(表_网址[[#This Row],[重点关键词]],OFFSET(重点关键词!$A$1,MATCH($J245,首要关键词,0)*50-48,MATCH($K245,次要关键词,0),重点关键词数量,1),0)+10)</f>
        <v>10</v>
      </c>
      <c r="E245">
        <f ca="1">IF(AND(表_网址[[#This Row],[1级]]=B244,表_网址[[#This Row],[2级]]=C244,表_网址[[#This Row],[3级]]=D244),E244+1,101)</f>
        <v>125</v>
      </c>
      <c r="F245" t="s">
        <v>767</v>
      </c>
      <c r="G245" t="s">
        <v>768</v>
      </c>
      <c r="H245" t="s">
        <v>82</v>
      </c>
      <c r="I245" t="s">
        <v>769</v>
      </c>
      <c r="J245" t="s">
        <v>39</v>
      </c>
      <c r="K245" t="s">
        <v>703</v>
      </c>
      <c r="M245">
        <v>999</v>
      </c>
      <c r="Q245" t="s">
        <v>557</v>
      </c>
    </row>
    <row r="246" spans="1:17" x14ac:dyDescent="0.2">
      <c r="A246" t="str">
        <f ca="1">表_网址[[#This Row],[1级]]&amp;"-"&amp;表_网址[[#This Row],[2级]]&amp;"-"&amp;表_网址[[#This Row],[3级]]&amp;"-"&amp;表_网址[[#This Row],[级内]]</f>
        <v>301-15-10-126</v>
      </c>
      <c r="B246">
        <f>VLOOKUP(表_网址[[#This Row],[首要关键词]],表_首次要关键词[[首要关键词]:[排序]],2,0)</f>
        <v>301</v>
      </c>
      <c r="C246" s="4">
        <f ca="1">IF(表_网址[[#This Row],[次要关键词]]="",10,MATCH(表_网址[[#This Row],[次要关键词]],次要关键词,0)+10)</f>
        <v>15</v>
      </c>
      <c r="D246">
        <f ca="1">IF(表_网址[[#This Row],[重点关键词]]="",10,MATCH(表_网址[[#This Row],[重点关键词]],OFFSET(重点关键词!$A$1,MATCH($J246,首要关键词,0)*50-48,MATCH($K246,次要关键词,0),重点关键词数量,1),0)+10)</f>
        <v>10</v>
      </c>
      <c r="E246">
        <f ca="1">IF(AND(表_网址[[#This Row],[1级]]=B245,表_网址[[#This Row],[2级]]=C245,表_网址[[#This Row],[3级]]=D245),E245+1,101)</f>
        <v>126</v>
      </c>
      <c r="F246" t="s">
        <v>770</v>
      </c>
      <c r="G246" t="s">
        <v>771</v>
      </c>
      <c r="H246" t="s">
        <v>82</v>
      </c>
      <c r="I246" t="s">
        <v>772</v>
      </c>
      <c r="J246" t="s">
        <v>39</v>
      </c>
      <c r="K246" t="s">
        <v>703</v>
      </c>
      <c r="M246">
        <v>999</v>
      </c>
      <c r="P246">
        <v>64</v>
      </c>
      <c r="Q246" t="s">
        <v>557</v>
      </c>
    </row>
    <row r="247" spans="1:17" x14ac:dyDescent="0.2">
      <c r="A247" t="str">
        <f ca="1">表_网址[[#This Row],[1级]]&amp;"-"&amp;表_网址[[#This Row],[2级]]&amp;"-"&amp;表_网址[[#This Row],[3级]]&amp;"-"&amp;表_网址[[#This Row],[级内]]</f>
        <v>301-15-10-127</v>
      </c>
      <c r="B247">
        <f>VLOOKUP(表_网址[[#This Row],[首要关键词]],表_首次要关键词[[首要关键词]:[排序]],2,0)</f>
        <v>301</v>
      </c>
      <c r="C247" s="4">
        <f ca="1">IF(表_网址[[#This Row],[次要关键词]]="",10,MATCH(表_网址[[#This Row],[次要关键词]],次要关键词,0)+10)</f>
        <v>15</v>
      </c>
      <c r="D247">
        <f ca="1">IF(表_网址[[#This Row],[重点关键词]]="",10,MATCH(表_网址[[#This Row],[重点关键词]],OFFSET(重点关键词!$A$1,MATCH($J247,首要关键词,0)*50-48,MATCH($K247,次要关键词,0),重点关键词数量,1),0)+10)</f>
        <v>10</v>
      </c>
      <c r="E247">
        <f ca="1">IF(AND(表_网址[[#This Row],[1级]]=B246,表_网址[[#This Row],[2级]]=C246,表_网址[[#This Row],[3级]]=D246),E246+1,101)</f>
        <v>127</v>
      </c>
      <c r="F247" t="s">
        <v>773</v>
      </c>
      <c r="G247" t="s">
        <v>774</v>
      </c>
      <c r="H247" t="s">
        <v>82</v>
      </c>
      <c r="I247" t="s">
        <v>775</v>
      </c>
      <c r="J247" t="s">
        <v>39</v>
      </c>
      <c r="K247" t="s">
        <v>703</v>
      </c>
      <c r="M247">
        <v>999</v>
      </c>
      <c r="Q247" t="s">
        <v>557</v>
      </c>
    </row>
    <row r="248" spans="1:17" x14ac:dyDescent="0.2">
      <c r="A248" t="str">
        <f ca="1">表_网址[[#This Row],[1级]]&amp;"-"&amp;表_网址[[#This Row],[2级]]&amp;"-"&amp;表_网址[[#This Row],[3级]]&amp;"-"&amp;表_网址[[#This Row],[级内]]</f>
        <v>301-15-10-128</v>
      </c>
      <c r="B248">
        <f>VLOOKUP(表_网址[[#This Row],[首要关键词]],表_首次要关键词[[首要关键词]:[排序]],2,0)</f>
        <v>301</v>
      </c>
      <c r="C248" s="4">
        <f ca="1">IF(表_网址[[#This Row],[次要关键词]]="",10,MATCH(表_网址[[#This Row],[次要关键词]],次要关键词,0)+10)</f>
        <v>15</v>
      </c>
      <c r="D248">
        <f ca="1">IF(表_网址[[#This Row],[重点关键词]]="",10,MATCH(表_网址[[#This Row],[重点关键词]],OFFSET(重点关键词!$A$1,MATCH($J248,首要关键词,0)*50-48,MATCH($K248,次要关键词,0),重点关键词数量,1),0)+10)</f>
        <v>10</v>
      </c>
      <c r="E248">
        <f ca="1">IF(AND(表_网址[[#This Row],[1级]]=B247,表_网址[[#This Row],[2级]]=C247,表_网址[[#This Row],[3级]]=D247),E247+1,101)</f>
        <v>128</v>
      </c>
      <c r="F248" t="s">
        <v>776</v>
      </c>
      <c r="G248" t="s">
        <v>777</v>
      </c>
      <c r="H248" t="s">
        <v>82</v>
      </c>
      <c r="I248" t="s">
        <v>778</v>
      </c>
      <c r="J248" t="s">
        <v>39</v>
      </c>
      <c r="K248" t="s">
        <v>703</v>
      </c>
      <c r="M248">
        <v>999</v>
      </c>
      <c r="P248">
        <v>32</v>
      </c>
      <c r="Q248" t="s">
        <v>557</v>
      </c>
    </row>
    <row r="249" spans="1:17" x14ac:dyDescent="0.2">
      <c r="A249" t="str">
        <f ca="1">表_网址[[#This Row],[1级]]&amp;"-"&amp;表_网址[[#This Row],[2级]]&amp;"-"&amp;表_网址[[#This Row],[3级]]&amp;"-"&amp;表_网址[[#This Row],[级内]]</f>
        <v>301-15-10-129</v>
      </c>
      <c r="B249">
        <f>VLOOKUP(表_网址[[#This Row],[首要关键词]],表_首次要关键词[[首要关键词]:[排序]],2,0)</f>
        <v>301</v>
      </c>
      <c r="C249" s="4">
        <f ca="1">IF(表_网址[[#This Row],[次要关键词]]="",10,MATCH(表_网址[[#This Row],[次要关键词]],次要关键词,0)+10)</f>
        <v>15</v>
      </c>
      <c r="D249">
        <f ca="1">IF(表_网址[[#This Row],[重点关键词]]="",10,MATCH(表_网址[[#This Row],[重点关键词]],OFFSET(重点关键词!$A$1,MATCH($J249,首要关键词,0)*50-48,MATCH($K249,次要关键词,0),重点关键词数量,1),0)+10)</f>
        <v>10</v>
      </c>
      <c r="E249">
        <f ca="1">IF(AND(表_网址[[#This Row],[1级]]=B248,表_网址[[#This Row],[2级]]=C248,表_网址[[#This Row],[3级]]=D248),E248+1,101)</f>
        <v>129</v>
      </c>
      <c r="F249" t="s">
        <v>779</v>
      </c>
      <c r="G249" t="s">
        <v>780</v>
      </c>
      <c r="H249" t="s">
        <v>82</v>
      </c>
      <c r="I249" t="s">
        <v>781</v>
      </c>
      <c r="J249" t="s">
        <v>39</v>
      </c>
      <c r="K249" t="s">
        <v>703</v>
      </c>
      <c r="M249">
        <v>999</v>
      </c>
      <c r="N249">
        <v>999</v>
      </c>
      <c r="P249">
        <v>32</v>
      </c>
      <c r="Q249" t="s">
        <v>557</v>
      </c>
    </row>
    <row r="250" spans="1:17" x14ac:dyDescent="0.2">
      <c r="A250" t="str">
        <f ca="1">表_网址[[#This Row],[1级]]&amp;"-"&amp;表_网址[[#This Row],[2级]]&amp;"-"&amp;表_网址[[#This Row],[3级]]&amp;"-"&amp;表_网址[[#This Row],[级内]]</f>
        <v>301-15-10-130</v>
      </c>
      <c r="B250">
        <f>VLOOKUP(表_网址[[#This Row],[首要关键词]],表_首次要关键词[[首要关键词]:[排序]],2,0)</f>
        <v>301</v>
      </c>
      <c r="C250" s="4">
        <f ca="1">IF(表_网址[[#This Row],[次要关键词]]="",10,MATCH(表_网址[[#This Row],[次要关键词]],次要关键词,0)+10)</f>
        <v>15</v>
      </c>
      <c r="D250">
        <f ca="1">IF(表_网址[[#This Row],[重点关键词]]="",10,MATCH(表_网址[[#This Row],[重点关键词]],OFFSET(重点关键词!$A$1,MATCH($J250,首要关键词,0)*50-48,MATCH($K250,次要关键词,0),重点关键词数量,1),0)+10)</f>
        <v>10</v>
      </c>
      <c r="E250">
        <f ca="1">IF(AND(表_网址[[#This Row],[1级]]=B249,表_网址[[#This Row],[2级]]=C249,表_网址[[#This Row],[3级]]=D249),E249+1,101)</f>
        <v>130</v>
      </c>
      <c r="F250" t="s">
        <v>782</v>
      </c>
      <c r="G250" t="s">
        <v>783</v>
      </c>
      <c r="H250" t="s">
        <v>82</v>
      </c>
      <c r="I250" t="s">
        <v>784</v>
      </c>
      <c r="J250" t="s">
        <v>39</v>
      </c>
      <c r="K250" t="s">
        <v>703</v>
      </c>
      <c r="M250">
        <v>999</v>
      </c>
      <c r="Q250" t="s">
        <v>557</v>
      </c>
    </row>
    <row r="251" spans="1:17" x14ac:dyDescent="0.2">
      <c r="A251" t="str">
        <f ca="1">表_网址[[#This Row],[1级]]&amp;"-"&amp;表_网址[[#This Row],[2级]]&amp;"-"&amp;表_网址[[#This Row],[3级]]&amp;"-"&amp;表_网址[[#This Row],[级内]]</f>
        <v>301-15-10-131</v>
      </c>
      <c r="B251">
        <f>VLOOKUP(表_网址[[#This Row],[首要关键词]],表_首次要关键词[[首要关键词]:[排序]],2,0)</f>
        <v>301</v>
      </c>
      <c r="C251" s="4">
        <f ca="1">IF(表_网址[[#This Row],[次要关键词]]="",10,MATCH(表_网址[[#This Row],[次要关键词]],次要关键词,0)+10)</f>
        <v>15</v>
      </c>
      <c r="D251">
        <f ca="1">IF(表_网址[[#This Row],[重点关键词]]="",10,MATCH(表_网址[[#This Row],[重点关键词]],OFFSET(重点关键词!$A$1,MATCH($J251,首要关键词,0)*50-48,MATCH($K251,次要关键词,0),重点关键词数量,1),0)+10)</f>
        <v>10</v>
      </c>
      <c r="E251">
        <f ca="1">IF(AND(表_网址[[#This Row],[1级]]=B250,表_网址[[#This Row],[2级]]=C250,表_网址[[#This Row],[3级]]=D250),E250+1,101)</f>
        <v>131</v>
      </c>
      <c r="F251" t="s">
        <v>785</v>
      </c>
      <c r="G251" t="s">
        <v>786</v>
      </c>
      <c r="H251" t="s">
        <v>82</v>
      </c>
      <c r="I251" t="s">
        <v>787</v>
      </c>
      <c r="J251" t="s">
        <v>39</v>
      </c>
      <c r="K251" t="s">
        <v>703</v>
      </c>
      <c r="M251">
        <v>999</v>
      </c>
      <c r="Q251" t="s">
        <v>557</v>
      </c>
    </row>
    <row r="252" spans="1:17" x14ac:dyDescent="0.2">
      <c r="A252" t="str">
        <f ca="1">表_网址[[#This Row],[1级]]&amp;"-"&amp;表_网址[[#This Row],[2级]]&amp;"-"&amp;表_网址[[#This Row],[3级]]&amp;"-"&amp;表_网址[[#This Row],[级内]]</f>
        <v>301-15-10-132</v>
      </c>
      <c r="B252">
        <f>VLOOKUP(表_网址[[#This Row],[首要关键词]],表_首次要关键词[[首要关键词]:[排序]],2,0)</f>
        <v>301</v>
      </c>
      <c r="C252" s="4">
        <f ca="1">IF(表_网址[[#This Row],[次要关键词]]="",10,MATCH(表_网址[[#This Row],[次要关键词]],次要关键词,0)+10)</f>
        <v>15</v>
      </c>
      <c r="D252">
        <f ca="1">IF(表_网址[[#This Row],[重点关键词]]="",10,MATCH(表_网址[[#This Row],[重点关键词]],OFFSET(重点关键词!$A$1,MATCH($J252,首要关键词,0)*50-48,MATCH($K252,次要关键词,0),重点关键词数量,1),0)+10)</f>
        <v>10</v>
      </c>
      <c r="E252">
        <f ca="1">IF(AND(表_网址[[#This Row],[1级]]=B251,表_网址[[#This Row],[2级]]=C251,表_网址[[#This Row],[3级]]=D251),E251+1,101)</f>
        <v>132</v>
      </c>
      <c r="F252" t="s">
        <v>788</v>
      </c>
      <c r="G252" t="s">
        <v>789</v>
      </c>
      <c r="H252" t="s">
        <v>82</v>
      </c>
      <c r="I252" t="s">
        <v>790</v>
      </c>
      <c r="J252" t="s">
        <v>39</v>
      </c>
      <c r="K252" t="s">
        <v>703</v>
      </c>
      <c r="M252">
        <v>999</v>
      </c>
      <c r="P252">
        <v>48</v>
      </c>
      <c r="Q252" t="s">
        <v>557</v>
      </c>
    </row>
    <row r="253" spans="1:17" x14ac:dyDescent="0.2">
      <c r="A253" t="str">
        <f ca="1">表_网址[[#This Row],[1级]]&amp;"-"&amp;表_网址[[#This Row],[2级]]&amp;"-"&amp;表_网址[[#This Row],[3级]]&amp;"-"&amp;表_网址[[#This Row],[级内]]</f>
        <v>302-10-10-101</v>
      </c>
      <c r="B253">
        <f>VLOOKUP(表_网址[[#This Row],[首要关键词]],表_首次要关键词[[首要关键词]:[排序]],2,0)</f>
        <v>302</v>
      </c>
      <c r="C253" s="4">
        <f>IF(表_网址[[#This Row],[次要关键词]]="",10,MATCH(表_网址[[#This Row],[次要关键词]],次要关键词,0)+10)</f>
        <v>10</v>
      </c>
      <c r="D253">
        <f ca="1">IF(表_网址[[#This Row],[重点关键词]]="",10,MATCH(表_网址[[#This Row],[重点关键词]],OFFSET(重点关键词!$A$1,MATCH($J253,首要关键词,0)*50-48,MATCH($K253,次要关键词,0),重点关键词数量,1),0)+10)</f>
        <v>10</v>
      </c>
      <c r="E253">
        <f ca="1">IF(AND(表_网址[[#This Row],[1级]]=B252,表_网址[[#This Row],[2级]]=C252,表_网址[[#This Row],[3级]]=D252),E252+1,101)</f>
        <v>101</v>
      </c>
      <c r="F253" t="s">
        <v>797</v>
      </c>
      <c r="G253" t="s">
        <v>798</v>
      </c>
      <c r="H253" t="s">
        <v>82</v>
      </c>
      <c r="I253" t="s">
        <v>799</v>
      </c>
      <c r="J253" t="s">
        <v>40</v>
      </c>
      <c r="M253">
        <v>999</v>
      </c>
      <c r="N253">
        <v>999</v>
      </c>
      <c r="P253">
        <v>32</v>
      </c>
      <c r="Q253" t="s">
        <v>557</v>
      </c>
    </row>
    <row r="254" spans="1:17" x14ac:dyDescent="0.2">
      <c r="A254" t="str">
        <f ca="1">表_网址[[#This Row],[1级]]&amp;"-"&amp;表_网址[[#This Row],[2级]]&amp;"-"&amp;表_网址[[#This Row],[3级]]&amp;"-"&amp;表_网址[[#This Row],[级内]]</f>
        <v>302-10-10-102</v>
      </c>
      <c r="B254">
        <f>VLOOKUP(表_网址[[#This Row],[首要关键词]],表_首次要关键词[[首要关键词]:[排序]],2,0)</f>
        <v>302</v>
      </c>
      <c r="C254" s="4">
        <f>IF(表_网址[[#This Row],[次要关键词]]="",10,MATCH(表_网址[[#This Row],[次要关键词]],次要关键词,0)+10)</f>
        <v>10</v>
      </c>
      <c r="D254">
        <f ca="1">IF(表_网址[[#This Row],[重点关键词]]="",10,MATCH(表_网址[[#This Row],[重点关键词]],OFFSET(重点关键词!$A$1,MATCH($J254,首要关键词,0)*50-48,MATCH($K254,次要关键词,0),重点关键词数量,1),0)+10)</f>
        <v>10</v>
      </c>
      <c r="E254">
        <f ca="1">IF(AND(表_网址[[#This Row],[1级]]=B253,表_网址[[#This Row],[2级]]=C253,表_网址[[#This Row],[3级]]=D253),E253+1,101)</f>
        <v>102</v>
      </c>
      <c r="F254" t="s">
        <v>800</v>
      </c>
      <c r="G254" t="s">
        <v>801</v>
      </c>
      <c r="H254" t="s">
        <v>82</v>
      </c>
      <c r="I254" t="s">
        <v>802</v>
      </c>
      <c r="J254" t="s">
        <v>40</v>
      </c>
      <c r="M254">
        <v>999</v>
      </c>
      <c r="Q254" t="s">
        <v>557</v>
      </c>
    </row>
    <row r="255" spans="1:17" x14ac:dyDescent="0.2">
      <c r="A255" t="str">
        <f ca="1">表_网址[[#This Row],[1级]]&amp;"-"&amp;表_网址[[#This Row],[2级]]&amp;"-"&amp;表_网址[[#This Row],[3级]]&amp;"-"&amp;表_网址[[#This Row],[级内]]</f>
        <v>302-10-10-103</v>
      </c>
      <c r="B255">
        <f>VLOOKUP(表_网址[[#This Row],[首要关键词]],表_首次要关键词[[首要关键词]:[排序]],2,0)</f>
        <v>302</v>
      </c>
      <c r="C255" s="4">
        <f>IF(表_网址[[#This Row],[次要关键词]]="",10,MATCH(表_网址[[#This Row],[次要关键词]],次要关键词,0)+10)</f>
        <v>10</v>
      </c>
      <c r="D255">
        <f ca="1">IF(表_网址[[#This Row],[重点关键词]]="",10,MATCH(表_网址[[#This Row],[重点关键词]],OFFSET(重点关键词!$A$1,MATCH($J255,首要关键词,0)*50-48,MATCH($K255,次要关键词,0),重点关键词数量,1),0)+10)</f>
        <v>10</v>
      </c>
      <c r="E255">
        <f ca="1">IF(AND(表_网址[[#This Row],[1级]]=B254,表_网址[[#This Row],[2级]]=C254,表_网址[[#This Row],[3级]]=D254),E254+1,101)</f>
        <v>103</v>
      </c>
      <c r="F255" t="s">
        <v>803</v>
      </c>
      <c r="G255" t="s">
        <v>804</v>
      </c>
      <c r="H255" t="s">
        <v>82</v>
      </c>
      <c r="I255" t="s">
        <v>805</v>
      </c>
      <c r="J255" t="s">
        <v>40</v>
      </c>
      <c r="M255">
        <v>999</v>
      </c>
      <c r="N255">
        <v>999</v>
      </c>
      <c r="P255">
        <v>16</v>
      </c>
      <c r="Q255" t="s">
        <v>557</v>
      </c>
    </row>
    <row r="256" spans="1:17" x14ac:dyDescent="0.2">
      <c r="A256" t="str">
        <f ca="1">表_网址[[#This Row],[1级]]&amp;"-"&amp;表_网址[[#This Row],[2级]]&amp;"-"&amp;表_网址[[#This Row],[3级]]&amp;"-"&amp;表_网址[[#This Row],[级内]]</f>
        <v>302-10-10-104</v>
      </c>
      <c r="B256">
        <f>VLOOKUP(表_网址[[#This Row],[首要关键词]],表_首次要关键词[[首要关键词]:[排序]],2,0)</f>
        <v>302</v>
      </c>
      <c r="C256" s="4">
        <f>IF(表_网址[[#This Row],[次要关键词]]="",10,MATCH(表_网址[[#This Row],[次要关键词]],次要关键词,0)+10)</f>
        <v>10</v>
      </c>
      <c r="D256">
        <f ca="1">IF(表_网址[[#This Row],[重点关键词]]="",10,MATCH(表_网址[[#This Row],[重点关键词]],OFFSET(重点关键词!$A$1,MATCH($J256,首要关键词,0)*50-48,MATCH($K256,次要关键词,0),重点关键词数量,1),0)+10)</f>
        <v>10</v>
      </c>
      <c r="E256">
        <f ca="1">IF(AND(表_网址[[#This Row],[1级]]=B255,表_网址[[#This Row],[2级]]=C255,表_网址[[#This Row],[3级]]=D255),E255+1,101)</f>
        <v>104</v>
      </c>
      <c r="F256" t="s">
        <v>806</v>
      </c>
      <c r="G256" t="s">
        <v>807</v>
      </c>
      <c r="H256" t="s">
        <v>82</v>
      </c>
      <c r="I256" t="s">
        <v>808</v>
      </c>
      <c r="J256" t="s">
        <v>40</v>
      </c>
      <c r="M256">
        <v>999</v>
      </c>
      <c r="N256">
        <v>999</v>
      </c>
      <c r="Q256" t="s">
        <v>557</v>
      </c>
    </row>
    <row r="257" spans="1:17" x14ac:dyDescent="0.2">
      <c r="A257" t="str">
        <f ca="1">表_网址[[#This Row],[1级]]&amp;"-"&amp;表_网址[[#This Row],[2级]]&amp;"-"&amp;表_网址[[#This Row],[3级]]&amp;"-"&amp;表_网址[[#This Row],[级内]]</f>
        <v>302-10-10-105</v>
      </c>
      <c r="B257">
        <f>VLOOKUP(表_网址[[#This Row],[首要关键词]],表_首次要关键词[[首要关键词]:[排序]],2,0)</f>
        <v>302</v>
      </c>
      <c r="C257" s="4">
        <f>IF(表_网址[[#This Row],[次要关键词]]="",10,MATCH(表_网址[[#This Row],[次要关键词]],次要关键词,0)+10)</f>
        <v>10</v>
      </c>
      <c r="D257">
        <f ca="1">IF(表_网址[[#This Row],[重点关键词]]="",10,MATCH(表_网址[[#This Row],[重点关键词]],OFFSET(重点关键词!$A$1,MATCH($J257,首要关键词,0)*50-48,MATCH($K257,次要关键词,0),重点关键词数量,1),0)+10)</f>
        <v>10</v>
      </c>
      <c r="E257">
        <f ca="1">IF(AND(表_网址[[#This Row],[1级]]=B256,表_网址[[#This Row],[2级]]=C256,表_网址[[#This Row],[3级]]=D256),E256+1,101)</f>
        <v>105</v>
      </c>
      <c r="F257" t="s">
        <v>809</v>
      </c>
      <c r="G257" t="s">
        <v>810</v>
      </c>
      <c r="H257" t="s">
        <v>82</v>
      </c>
      <c r="I257" t="s">
        <v>811</v>
      </c>
      <c r="J257" t="s">
        <v>40</v>
      </c>
      <c r="M257">
        <v>999</v>
      </c>
      <c r="N257">
        <v>999</v>
      </c>
      <c r="P257">
        <v>16</v>
      </c>
      <c r="Q257" t="s">
        <v>557</v>
      </c>
    </row>
    <row r="258" spans="1:17" x14ac:dyDescent="0.2">
      <c r="A258" t="str">
        <f ca="1">表_网址[[#This Row],[1级]]&amp;"-"&amp;表_网址[[#This Row],[2级]]&amp;"-"&amp;表_网址[[#This Row],[3级]]&amp;"-"&amp;表_网址[[#This Row],[级内]]</f>
        <v>302-10-10-106</v>
      </c>
      <c r="B258">
        <f>VLOOKUP(表_网址[[#This Row],[首要关键词]],表_首次要关键词[[首要关键词]:[排序]],2,0)</f>
        <v>302</v>
      </c>
      <c r="C258" s="4">
        <f>IF(表_网址[[#This Row],[次要关键词]]="",10,MATCH(表_网址[[#This Row],[次要关键词]],次要关键词,0)+10)</f>
        <v>10</v>
      </c>
      <c r="D258">
        <f ca="1">IF(表_网址[[#This Row],[重点关键词]]="",10,MATCH(表_网址[[#This Row],[重点关键词]],OFFSET(重点关键词!$A$1,MATCH($J258,首要关键词,0)*50-48,MATCH($K258,次要关键词,0),重点关键词数量,1),0)+10)</f>
        <v>10</v>
      </c>
      <c r="E258">
        <f ca="1">IF(AND(表_网址[[#This Row],[1级]]=B257,表_网址[[#This Row],[2级]]=C257,表_网址[[#This Row],[3级]]=D257),E257+1,101)</f>
        <v>106</v>
      </c>
      <c r="F258" t="s">
        <v>812</v>
      </c>
      <c r="G258" t="s">
        <v>813</v>
      </c>
      <c r="H258" t="s">
        <v>82</v>
      </c>
      <c r="I258" t="s">
        <v>814</v>
      </c>
      <c r="J258" t="s">
        <v>40</v>
      </c>
      <c r="M258">
        <v>999</v>
      </c>
      <c r="N258">
        <v>999</v>
      </c>
      <c r="P258">
        <v>37</v>
      </c>
      <c r="Q258" t="s">
        <v>557</v>
      </c>
    </row>
    <row r="259" spans="1:17" x14ac:dyDescent="0.2">
      <c r="A259" t="str">
        <f ca="1">表_网址[[#This Row],[1级]]&amp;"-"&amp;表_网址[[#This Row],[2级]]&amp;"-"&amp;表_网址[[#This Row],[3级]]&amp;"-"&amp;表_网址[[#This Row],[级内]]</f>
        <v>302-10-10-107</v>
      </c>
      <c r="B259">
        <f>VLOOKUP(表_网址[[#This Row],[首要关键词]],表_首次要关键词[[首要关键词]:[排序]],2,0)</f>
        <v>302</v>
      </c>
      <c r="C259" s="4">
        <f>IF(表_网址[[#This Row],[次要关键词]]="",10,MATCH(表_网址[[#This Row],[次要关键词]],次要关键词,0)+10)</f>
        <v>10</v>
      </c>
      <c r="D259">
        <f ca="1">IF(表_网址[[#This Row],[重点关键词]]="",10,MATCH(表_网址[[#This Row],[重点关键词]],OFFSET(重点关键词!$A$1,MATCH($J259,首要关键词,0)*50-48,MATCH($K259,次要关键词,0),重点关键词数量,1),0)+10)</f>
        <v>10</v>
      </c>
      <c r="E259">
        <f ca="1">IF(AND(表_网址[[#This Row],[1级]]=B258,表_网址[[#This Row],[2级]]=C258,表_网址[[#This Row],[3级]]=D258),E258+1,101)</f>
        <v>107</v>
      </c>
      <c r="F259" t="s">
        <v>815</v>
      </c>
      <c r="G259" t="s">
        <v>816</v>
      </c>
      <c r="H259" t="s">
        <v>82</v>
      </c>
      <c r="I259" t="s">
        <v>817</v>
      </c>
      <c r="J259" t="s">
        <v>40</v>
      </c>
      <c r="M259">
        <v>999</v>
      </c>
      <c r="N259">
        <v>999</v>
      </c>
      <c r="P259">
        <v>16</v>
      </c>
      <c r="Q259" t="s">
        <v>557</v>
      </c>
    </row>
    <row r="260" spans="1:17" x14ac:dyDescent="0.2">
      <c r="A260" t="str">
        <f ca="1">表_网址[[#This Row],[1级]]&amp;"-"&amp;表_网址[[#This Row],[2级]]&amp;"-"&amp;表_网址[[#This Row],[3级]]&amp;"-"&amp;表_网址[[#This Row],[级内]]</f>
        <v>303-10-10-101</v>
      </c>
      <c r="B260">
        <f>VLOOKUP(表_网址[[#This Row],[首要关键词]],表_首次要关键词[[首要关键词]:[排序]],2,0)</f>
        <v>303</v>
      </c>
      <c r="C260" s="4">
        <f>IF(表_网址[[#This Row],[次要关键词]]="",10,MATCH(表_网址[[#This Row],[次要关键词]],次要关键词,0)+10)</f>
        <v>10</v>
      </c>
      <c r="D260">
        <f ca="1">IF(表_网址[[#This Row],[重点关键词]]="",10,MATCH(表_网址[[#This Row],[重点关键词]],OFFSET(重点关键词!$A$1,MATCH($J260,首要关键词,0)*50-48,MATCH($K260,次要关键词,0),重点关键词数量,1),0)+10)</f>
        <v>10</v>
      </c>
      <c r="E260">
        <f ca="1">IF(AND(表_网址[[#This Row],[1级]]=B259,表_网址[[#This Row],[2级]]=C259,表_网址[[#This Row],[3级]]=D259),E259+1,101)</f>
        <v>101</v>
      </c>
      <c r="F260" t="s">
        <v>818</v>
      </c>
      <c r="G260" t="s">
        <v>819</v>
      </c>
      <c r="H260" t="s">
        <v>82</v>
      </c>
      <c r="I260" t="s">
        <v>820</v>
      </c>
      <c r="J260" t="s">
        <v>41</v>
      </c>
      <c r="M260">
        <v>999</v>
      </c>
      <c r="N260">
        <v>999</v>
      </c>
      <c r="P260">
        <v>64</v>
      </c>
      <c r="Q260" t="s">
        <v>557</v>
      </c>
    </row>
    <row r="261" spans="1:17" x14ac:dyDescent="0.2">
      <c r="A261" t="str">
        <f ca="1">表_网址[[#This Row],[1级]]&amp;"-"&amp;表_网址[[#This Row],[2级]]&amp;"-"&amp;表_网址[[#This Row],[3级]]&amp;"-"&amp;表_网址[[#This Row],[级内]]</f>
        <v>303-10-10-102</v>
      </c>
      <c r="B261">
        <f>VLOOKUP(表_网址[[#This Row],[首要关键词]],表_首次要关键词[[首要关键词]:[排序]],2,0)</f>
        <v>303</v>
      </c>
      <c r="C261" s="4">
        <f>IF(表_网址[[#This Row],[次要关键词]]="",10,MATCH(表_网址[[#This Row],[次要关键词]],次要关键词,0)+10)</f>
        <v>10</v>
      </c>
      <c r="D261">
        <f ca="1">IF(表_网址[[#This Row],[重点关键词]]="",10,MATCH(表_网址[[#This Row],[重点关键词]],OFFSET(重点关键词!$A$1,MATCH($J261,首要关键词,0)*50-48,MATCH($K261,次要关键词,0),重点关键词数量,1),0)+10)</f>
        <v>10</v>
      </c>
      <c r="E261">
        <f ca="1">IF(AND(表_网址[[#This Row],[1级]]=B260,表_网址[[#This Row],[2级]]=C260,表_网址[[#This Row],[3级]]=D260),E260+1,101)</f>
        <v>102</v>
      </c>
      <c r="F261" t="s">
        <v>821</v>
      </c>
      <c r="G261" t="s">
        <v>822</v>
      </c>
      <c r="H261" t="s">
        <v>82</v>
      </c>
      <c r="I261" t="s">
        <v>823</v>
      </c>
      <c r="J261" t="s">
        <v>41</v>
      </c>
      <c r="M261">
        <v>999</v>
      </c>
      <c r="Q261" t="s">
        <v>557</v>
      </c>
    </row>
    <row r="262" spans="1:17" x14ac:dyDescent="0.2">
      <c r="A262" t="str">
        <f ca="1">表_网址[[#This Row],[1级]]&amp;"-"&amp;表_网址[[#This Row],[2级]]&amp;"-"&amp;表_网址[[#This Row],[3级]]&amp;"-"&amp;表_网址[[#This Row],[级内]]</f>
        <v>303-10-10-103</v>
      </c>
      <c r="B262">
        <f>VLOOKUP(表_网址[[#This Row],[首要关键词]],表_首次要关键词[[首要关键词]:[排序]],2,0)</f>
        <v>303</v>
      </c>
      <c r="C262" s="4">
        <f>IF(表_网址[[#This Row],[次要关键词]]="",10,MATCH(表_网址[[#This Row],[次要关键词]],次要关键词,0)+10)</f>
        <v>10</v>
      </c>
      <c r="D262">
        <f ca="1">IF(表_网址[[#This Row],[重点关键词]]="",10,MATCH(表_网址[[#This Row],[重点关键词]],OFFSET(重点关键词!$A$1,MATCH($J262,首要关键词,0)*50-48,MATCH($K262,次要关键词,0),重点关键词数量,1),0)+10)</f>
        <v>10</v>
      </c>
      <c r="E262">
        <f ca="1">IF(AND(表_网址[[#This Row],[1级]]=B261,表_网址[[#This Row],[2级]]=C261,表_网址[[#This Row],[3级]]=D261),E261+1,101)</f>
        <v>103</v>
      </c>
      <c r="F262" t="s">
        <v>824</v>
      </c>
      <c r="G262" t="s">
        <v>825</v>
      </c>
      <c r="H262" t="s">
        <v>82</v>
      </c>
      <c r="I262" t="s">
        <v>826</v>
      </c>
      <c r="J262" t="s">
        <v>41</v>
      </c>
      <c r="M262">
        <v>999</v>
      </c>
      <c r="P262">
        <v>32</v>
      </c>
      <c r="Q262" t="s">
        <v>557</v>
      </c>
    </row>
    <row r="263" spans="1:17" x14ac:dyDescent="0.2">
      <c r="A263" t="str">
        <f ca="1">表_网址[[#This Row],[1级]]&amp;"-"&amp;表_网址[[#This Row],[2级]]&amp;"-"&amp;表_网址[[#This Row],[3级]]&amp;"-"&amp;表_网址[[#This Row],[级内]]</f>
        <v>303-10-10-104</v>
      </c>
      <c r="B263">
        <f>VLOOKUP(表_网址[[#This Row],[首要关键词]],表_首次要关键词[[首要关键词]:[排序]],2,0)</f>
        <v>303</v>
      </c>
      <c r="C263" s="4">
        <f>IF(表_网址[[#This Row],[次要关键词]]="",10,MATCH(表_网址[[#This Row],[次要关键词]],次要关键词,0)+10)</f>
        <v>10</v>
      </c>
      <c r="D263">
        <f ca="1">IF(表_网址[[#This Row],[重点关键词]]="",10,MATCH(表_网址[[#This Row],[重点关键词]],OFFSET(重点关键词!$A$1,MATCH($J263,首要关键词,0)*50-48,MATCH($K263,次要关键词,0),重点关键词数量,1),0)+10)</f>
        <v>10</v>
      </c>
      <c r="E263">
        <f ca="1">IF(AND(表_网址[[#This Row],[1级]]=B262,表_网址[[#This Row],[2级]]=C262,表_网址[[#This Row],[3级]]=D262),E262+1,101)</f>
        <v>104</v>
      </c>
      <c r="F263" t="s">
        <v>827</v>
      </c>
      <c r="G263" t="s">
        <v>828</v>
      </c>
      <c r="H263" t="s">
        <v>82</v>
      </c>
      <c r="I263" t="s">
        <v>829</v>
      </c>
      <c r="J263" t="s">
        <v>41</v>
      </c>
      <c r="M263">
        <v>999</v>
      </c>
      <c r="N263">
        <v>999</v>
      </c>
      <c r="Q263" t="s">
        <v>557</v>
      </c>
    </row>
    <row r="264" spans="1:17" x14ac:dyDescent="0.2">
      <c r="A264" t="str">
        <f ca="1">表_网址[[#This Row],[1级]]&amp;"-"&amp;表_网址[[#This Row],[2级]]&amp;"-"&amp;表_网址[[#This Row],[3级]]&amp;"-"&amp;表_网址[[#This Row],[级内]]</f>
        <v>303-10-10-105</v>
      </c>
      <c r="B264">
        <f>VLOOKUP(表_网址[[#This Row],[首要关键词]],表_首次要关键词[[首要关键词]:[排序]],2,0)</f>
        <v>303</v>
      </c>
      <c r="C264" s="4">
        <f>IF(表_网址[[#This Row],[次要关键词]]="",10,MATCH(表_网址[[#This Row],[次要关键词]],次要关键词,0)+10)</f>
        <v>10</v>
      </c>
      <c r="D264">
        <f ca="1">IF(表_网址[[#This Row],[重点关键词]]="",10,MATCH(表_网址[[#This Row],[重点关键词]],OFFSET(重点关键词!$A$1,MATCH($J264,首要关键词,0)*50-48,MATCH($K264,次要关键词,0),重点关键词数量,1),0)+10)</f>
        <v>10</v>
      </c>
      <c r="E264">
        <f ca="1">IF(AND(表_网址[[#This Row],[1级]]=B263,表_网址[[#This Row],[2级]]=C263,表_网址[[#This Row],[3级]]=D263),E263+1,101)</f>
        <v>105</v>
      </c>
      <c r="F264" t="s">
        <v>830</v>
      </c>
      <c r="G264" t="s">
        <v>831</v>
      </c>
      <c r="H264" t="s">
        <v>82</v>
      </c>
      <c r="I264" t="s">
        <v>832</v>
      </c>
      <c r="J264" t="s">
        <v>41</v>
      </c>
      <c r="M264">
        <v>999</v>
      </c>
      <c r="N264">
        <v>999</v>
      </c>
      <c r="P264">
        <v>16</v>
      </c>
      <c r="Q264" t="s">
        <v>557</v>
      </c>
    </row>
    <row r="265" spans="1:17" x14ac:dyDescent="0.2">
      <c r="A265" t="str">
        <f ca="1">表_网址[[#This Row],[1级]]&amp;"-"&amp;表_网址[[#This Row],[2级]]&amp;"-"&amp;表_网址[[#This Row],[3级]]&amp;"-"&amp;表_网址[[#This Row],[级内]]</f>
        <v>303-10-10-106</v>
      </c>
      <c r="B265">
        <f>VLOOKUP(表_网址[[#This Row],[首要关键词]],表_首次要关键词[[首要关键词]:[排序]],2,0)</f>
        <v>303</v>
      </c>
      <c r="C265" s="4">
        <f>IF(表_网址[[#This Row],[次要关键词]]="",10,MATCH(表_网址[[#This Row],[次要关键词]],次要关键词,0)+10)</f>
        <v>10</v>
      </c>
      <c r="D265">
        <f ca="1">IF(表_网址[[#This Row],[重点关键词]]="",10,MATCH(表_网址[[#This Row],[重点关键词]],OFFSET(重点关键词!$A$1,MATCH($J265,首要关键词,0)*50-48,MATCH($K265,次要关键词,0),重点关键词数量,1),0)+10)</f>
        <v>10</v>
      </c>
      <c r="E265">
        <f ca="1">IF(AND(表_网址[[#This Row],[1级]]=B264,表_网址[[#This Row],[2级]]=C264,表_网址[[#This Row],[3级]]=D264),E264+1,101)</f>
        <v>106</v>
      </c>
      <c r="F265" t="s">
        <v>833</v>
      </c>
      <c r="G265" t="s">
        <v>834</v>
      </c>
      <c r="H265" t="s">
        <v>82</v>
      </c>
      <c r="I265" t="s">
        <v>835</v>
      </c>
      <c r="J265" t="s">
        <v>41</v>
      </c>
      <c r="M265">
        <v>999</v>
      </c>
      <c r="P265">
        <v>16</v>
      </c>
      <c r="Q265" t="s">
        <v>557</v>
      </c>
    </row>
    <row r="266" spans="1:17" x14ac:dyDescent="0.2">
      <c r="A266" t="str">
        <f ca="1">表_网址[[#This Row],[1级]]&amp;"-"&amp;表_网址[[#This Row],[2级]]&amp;"-"&amp;表_网址[[#This Row],[3级]]&amp;"-"&amp;表_网址[[#This Row],[级内]]</f>
        <v>303-10-10-107</v>
      </c>
      <c r="B266">
        <f>VLOOKUP(表_网址[[#This Row],[首要关键词]],表_首次要关键词[[首要关键词]:[排序]],2,0)</f>
        <v>303</v>
      </c>
      <c r="C266" s="4">
        <f>IF(表_网址[[#This Row],[次要关键词]]="",10,MATCH(表_网址[[#This Row],[次要关键词]],次要关键词,0)+10)</f>
        <v>10</v>
      </c>
      <c r="D266">
        <f ca="1">IF(表_网址[[#This Row],[重点关键词]]="",10,MATCH(表_网址[[#This Row],[重点关键词]],OFFSET(重点关键词!$A$1,MATCH($J266,首要关键词,0)*50-48,MATCH($K266,次要关键词,0),重点关键词数量,1),0)+10)</f>
        <v>10</v>
      </c>
      <c r="E266">
        <f ca="1">IF(AND(表_网址[[#This Row],[1级]]=B265,表_网址[[#This Row],[2级]]=C265,表_网址[[#This Row],[3级]]=D265),E265+1,101)</f>
        <v>107</v>
      </c>
      <c r="F266" t="s">
        <v>836</v>
      </c>
      <c r="G266" t="s">
        <v>837</v>
      </c>
      <c r="H266" t="s">
        <v>82</v>
      </c>
      <c r="I266" t="s">
        <v>838</v>
      </c>
      <c r="J266" t="s">
        <v>41</v>
      </c>
      <c r="M266">
        <v>999</v>
      </c>
      <c r="N266">
        <v>999</v>
      </c>
      <c r="P266">
        <v>16</v>
      </c>
      <c r="Q266" t="s">
        <v>557</v>
      </c>
    </row>
    <row r="267" spans="1:17" x14ac:dyDescent="0.2">
      <c r="A267" t="str">
        <f ca="1">表_网址[[#This Row],[1级]]&amp;"-"&amp;表_网址[[#This Row],[2级]]&amp;"-"&amp;表_网址[[#This Row],[3级]]&amp;"-"&amp;表_网址[[#This Row],[级内]]</f>
        <v>303-10-10-108</v>
      </c>
      <c r="B267">
        <f>VLOOKUP(表_网址[[#This Row],[首要关键词]],表_首次要关键词[[首要关键词]:[排序]],2,0)</f>
        <v>303</v>
      </c>
      <c r="C267" s="4">
        <f>IF(表_网址[[#This Row],[次要关键词]]="",10,MATCH(表_网址[[#This Row],[次要关键词]],次要关键词,0)+10)</f>
        <v>10</v>
      </c>
      <c r="D267">
        <f ca="1">IF(表_网址[[#This Row],[重点关键词]]="",10,MATCH(表_网址[[#This Row],[重点关键词]],OFFSET(重点关键词!$A$1,MATCH($J267,首要关键词,0)*50-48,MATCH($K267,次要关键词,0),重点关键词数量,1),0)+10)</f>
        <v>10</v>
      </c>
      <c r="E267">
        <f ca="1">IF(AND(表_网址[[#This Row],[1级]]=B266,表_网址[[#This Row],[2级]]=C266,表_网址[[#This Row],[3级]]=D266),E266+1,101)</f>
        <v>108</v>
      </c>
      <c r="F267" t="s">
        <v>839</v>
      </c>
      <c r="G267" t="s">
        <v>840</v>
      </c>
      <c r="H267" t="s">
        <v>82</v>
      </c>
      <c r="I267" t="s">
        <v>841</v>
      </c>
      <c r="J267" t="s">
        <v>41</v>
      </c>
      <c r="M267">
        <v>999</v>
      </c>
      <c r="N267">
        <v>999</v>
      </c>
      <c r="P267">
        <v>16</v>
      </c>
      <c r="Q267" t="s">
        <v>557</v>
      </c>
    </row>
    <row r="268" spans="1:17" x14ac:dyDescent="0.2">
      <c r="A268" t="str">
        <f ca="1">表_网址[[#This Row],[1级]]&amp;"-"&amp;表_网址[[#This Row],[2级]]&amp;"-"&amp;表_网址[[#This Row],[3级]]&amp;"-"&amp;表_网址[[#This Row],[级内]]</f>
        <v>303-10-10-109</v>
      </c>
      <c r="B268">
        <f>VLOOKUP(表_网址[[#This Row],[首要关键词]],表_首次要关键词[[首要关键词]:[排序]],2,0)</f>
        <v>303</v>
      </c>
      <c r="C268" s="4">
        <f>IF(表_网址[[#This Row],[次要关键词]]="",10,MATCH(表_网址[[#This Row],[次要关键词]],次要关键词,0)+10)</f>
        <v>10</v>
      </c>
      <c r="D268">
        <f ca="1">IF(表_网址[[#This Row],[重点关键词]]="",10,MATCH(表_网址[[#This Row],[重点关键词]],OFFSET(重点关键词!$A$1,MATCH($J268,首要关键词,0)*50-48,MATCH($K268,次要关键词,0),重点关键词数量,1),0)+10)</f>
        <v>10</v>
      </c>
      <c r="E268">
        <f ca="1">IF(AND(表_网址[[#This Row],[1级]]=B267,表_网址[[#This Row],[2级]]=C267,表_网址[[#This Row],[3级]]=D267),E267+1,101)</f>
        <v>109</v>
      </c>
      <c r="F268" t="s">
        <v>842</v>
      </c>
      <c r="G268" t="s">
        <v>843</v>
      </c>
      <c r="H268" t="s">
        <v>82</v>
      </c>
      <c r="I268" t="s">
        <v>844</v>
      </c>
      <c r="J268" t="s">
        <v>41</v>
      </c>
      <c r="M268">
        <v>999</v>
      </c>
      <c r="N268">
        <v>999</v>
      </c>
      <c r="P268">
        <v>32</v>
      </c>
      <c r="Q268" t="s">
        <v>557</v>
      </c>
    </row>
    <row r="269" spans="1:17" x14ac:dyDescent="0.2">
      <c r="A269" t="str">
        <f ca="1">表_网址[[#This Row],[1级]]&amp;"-"&amp;表_网址[[#This Row],[2级]]&amp;"-"&amp;表_网址[[#This Row],[3级]]&amp;"-"&amp;表_网址[[#This Row],[级内]]</f>
        <v>303-10-10-110</v>
      </c>
      <c r="B269">
        <f>VLOOKUP(表_网址[[#This Row],[首要关键词]],表_首次要关键词[[首要关键词]:[排序]],2,0)</f>
        <v>303</v>
      </c>
      <c r="C269" s="4">
        <f>IF(表_网址[[#This Row],[次要关键词]]="",10,MATCH(表_网址[[#This Row],[次要关键词]],次要关键词,0)+10)</f>
        <v>10</v>
      </c>
      <c r="D269">
        <f ca="1">IF(表_网址[[#This Row],[重点关键词]]="",10,MATCH(表_网址[[#This Row],[重点关键词]],OFFSET(重点关键词!$A$1,MATCH($J269,首要关键词,0)*50-48,MATCH($K269,次要关键词,0),重点关键词数量,1),0)+10)</f>
        <v>10</v>
      </c>
      <c r="E269">
        <f ca="1">IF(AND(表_网址[[#This Row],[1级]]=B268,表_网址[[#This Row],[2级]]=C268,表_网址[[#This Row],[3级]]=D268),E268+1,101)</f>
        <v>110</v>
      </c>
      <c r="F269" t="s">
        <v>845</v>
      </c>
      <c r="G269" t="s">
        <v>846</v>
      </c>
      <c r="H269" t="s">
        <v>82</v>
      </c>
      <c r="I269" t="s">
        <v>847</v>
      </c>
      <c r="J269" t="s">
        <v>41</v>
      </c>
      <c r="M269">
        <v>999</v>
      </c>
      <c r="P269">
        <v>16</v>
      </c>
      <c r="Q269" t="s">
        <v>557</v>
      </c>
    </row>
    <row r="270" spans="1:17" x14ac:dyDescent="0.2">
      <c r="A270" t="str">
        <f ca="1">表_网址[[#This Row],[1级]]&amp;"-"&amp;表_网址[[#This Row],[2级]]&amp;"-"&amp;表_网址[[#This Row],[3级]]&amp;"-"&amp;表_网址[[#This Row],[级内]]</f>
        <v>303-10-10-111</v>
      </c>
      <c r="B270">
        <f>VLOOKUP(表_网址[[#This Row],[首要关键词]],表_首次要关键词[[首要关键词]:[排序]],2,0)</f>
        <v>303</v>
      </c>
      <c r="C270" s="4">
        <f>IF(表_网址[[#This Row],[次要关键词]]="",10,MATCH(表_网址[[#This Row],[次要关键词]],次要关键词,0)+10)</f>
        <v>10</v>
      </c>
      <c r="D270">
        <f ca="1">IF(表_网址[[#This Row],[重点关键词]]="",10,MATCH(表_网址[[#This Row],[重点关键词]],OFFSET(重点关键词!$A$1,MATCH($J270,首要关键词,0)*50-48,MATCH($K270,次要关键词,0),重点关键词数量,1),0)+10)</f>
        <v>10</v>
      </c>
      <c r="E270">
        <f ca="1">IF(AND(表_网址[[#This Row],[1级]]=B269,表_网址[[#This Row],[2级]]=C269,表_网址[[#This Row],[3级]]=D269),E269+1,101)</f>
        <v>111</v>
      </c>
      <c r="F270" t="s">
        <v>848</v>
      </c>
      <c r="G270" t="s">
        <v>849</v>
      </c>
      <c r="H270" t="s">
        <v>82</v>
      </c>
      <c r="I270" t="s">
        <v>850</v>
      </c>
      <c r="J270" t="s">
        <v>41</v>
      </c>
      <c r="M270">
        <v>999</v>
      </c>
      <c r="N270">
        <v>999</v>
      </c>
      <c r="Q270" t="s">
        <v>557</v>
      </c>
    </row>
    <row r="271" spans="1:17" x14ac:dyDescent="0.2">
      <c r="A271" t="str">
        <f ca="1">表_网址[[#This Row],[1级]]&amp;"-"&amp;表_网址[[#This Row],[2级]]&amp;"-"&amp;表_网址[[#This Row],[3级]]&amp;"-"&amp;表_网址[[#This Row],[级内]]</f>
        <v>601-10-10-101</v>
      </c>
      <c r="B271">
        <f>VLOOKUP(表_网址[[#This Row],[首要关键词]],表_首次要关键词[[首要关键词]:[排序]],2,0)</f>
        <v>601</v>
      </c>
      <c r="C271" s="4">
        <f>IF(表_网址[[#This Row],[次要关键词]]="",10,MATCH(表_网址[[#This Row],[次要关键词]],次要关键词,0)+10)</f>
        <v>10</v>
      </c>
      <c r="D271">
        <f ca="1">IF(表_网址[[#This Row],[重点关键词]]="",10,MATCH(表_网址[[#This Row],[重点关键词]],OFFSET(重点关键词!$A$1,MATCH($J271,首要关键词,0)*50-48,MATCH($K271,次要关键词,0),重点关键词数量,1),0)+10)</f>
        <v>10</v>
      </c>
      <c r="E271">
        <f ca="1">IF(AND(表_网址[[#This Row],[1级]]=B270,表_网址[[#This Row],[2级]]=C270,表_网址[[#This Row],[3级]]=D270),E270+1,101)</f>
        <v>101</v>
      </c>
      <c r="F271" t="s">
        <v>1115</v>
      </c>
      <c r="G271" t="s">
        <v>1116</v>
      </c>
      <c r="H271" t="s">
        <v>1117</v>
      </c>
      <c r="I271" t="s">
        <v>1118</v>
      </c>
      <c r="J271" t="s">
        <v>42</v>
      </c>
      <c r="M271">
        <v>999</v>
      </c>
      <c r="N271">
        <v>999</v>
      </c>
      <c r="P271">
        <v>152</v>
      </c>
    </row>
    <row r="272" spans="1:17" x14ac:dyDescent="0.2">
      <c r="A272" t="str">
        <f ca="1">表_网址[[#This Row],[1级]]&amp;"-"&amp;表_网址[[#This Row],[2级]]&amp;"-"&amp;表_网址[[#This Row],[3级]]&amp;"-"&amp;表_网址[[#This Row],[级内]]</f>
        <v>601-10-10-102</v>
      </c>
      <c r="B272">
        <f>VLOOKUP(表_网址[[#This Row],[首要关键词]],表_首次要关键词[[首要关键词]:[排序]],2,0)</f>
        <v>601</v>
      </c>
      <c r="C272" s="4">
        <f>IF(表_网址[[#This Row],[次要关键词]]="",10,MATCH(表_网址[[#This Row],[次要关键词]],次要关键词,0)+10)</f>
        <v>10</v>
      </c>
      <c r="D272">
        <f ca="1">IF(表_网址[[#This Row],[重点关键词]]="",10,MATCH(表_网址[[#This Row],[重点关键词]],OFFSET(重点关键词!$A$1,MATCH($J272,首要关键词,0)*50-48,MATCH($K272,次要关键词,0),重点关键词数量,1),0)+10)</f>
        <v>10</v>
      </c>
      <c r="E272">
        <f ca="1">IF(AND(表_网址[[#This Row],[1级]]=B271,表_网址[[#This Row],[2级]]=C271,表_网址[[#This Row],[3级]]=D271),E271+1,101)</f>
        <v>102</v>
      </c>
      <c r="F272" t="s">
        <v>1119</v>
      </c>
      <c r="G272" t="s">
        <v>1120</v>
      </c>
      <c r="H272" t="s">
        <v>1121</v>
      </c>
      <c r="J272" t="s">
        <v>42</v>
      </c>
      <c r="M272">
        <v>999</v>
      </c>
    </row>
    <row r="273" spans="1:13" x14ac:dyDescent="0.2">
      <c r="A273" t="str">
        <f ca="1">表_网址[[#This Row],[1级]]&amp;"-"&amp;表_网址[[#This Row],[2级]]&amp;"-"&amp;表_网址[[#This Row],[3级]]&amp;"-"&amp;表_网址[[#This Row],[级内]]</f>
        <v>601-10-10-103</v>
      </c>
      <c r="B273">
        <f>VLOOKUP(表_网址[[#This Row],[首要关键词]],表_首次要关键词[[首要关键词]:[排序]],2,0)</f>
        <v>601</v>
      </c>
      <c r="C273" s="4">
        <f>IF(表_网址[[#This Row],[次要关键词]]="",10,MATCH(表_网址[[#This Row],[次要关键词]],次要关键词,0)+10)</f>
        <v>10</v>
      </c>
      <c r="D273">
        <f ca="1">IF(表_网址[[#This Row],[重点关键词]]="",10,MATCH(表_网址[[#This Row],[重点关键词]],OFFSET(重点关键词!$A$1,MATCH($J273,首要关键词,0)*50-48,MATCH($K273,次要关键词,0),重点关键词数量,1),0)+10)</f>
        <v>10</v>
      </c>
      <c r="E273">
        <f ca="1">IF(AND(表_网址[[#This Row],[1级]]=B272,表_网址[[#This Row],[2级]]=C272,表_网址[[#This Row],[3级]]=D272),E272+1,101)</f>
        <v>103</v>
      </c>
      <c r="F273" t="s">
        <v>1122</v>
      </c>
      <c r="G273" t="s">
        <v>1123</v>
      </c>
      <c r="J273" t="s">
        <v>42</v>
      </c>
      <c r="M273">
        <v>999</v>
      </c>
    </row>
    <row r="274" spans="1:13" x14ac:dyDescent="0.2">
      <c r="A274" t="str">
        <f ca="1">表_网址[[#This Row],[1级]]&amp;"-"&amp;表_网址[[#This Row],[2级]]&amp;"-"&amp;表_网址[[#This Row],[3级]]&amp;"-"&amp;表_网址[[#This Row],[级内]]</f>
        <v>601-10-10-104</v>
      </c>
      <c r="B274">
        <f>VLOOKUP(表_网址[[#This Row],[首要关键词]],表_首次要关键词[[首要关键词]:[排序]],2,0)</f>
        <v>601</v>
      </c>
      <c r="C274" s="4">
        <f>IF(表_网址[[#This Row],[次要关键词]]="",10,MATCH(表_网址[[#This Row],[次要关键词]],次要关键词,0)+10)</f>
        <v>10</v>
      </c>
      <c r="D274">
        <f ca="1">IF(表_网址[[#This Row],[重点关键词]]="",10,MATCH(表_网址[[#This Row],[重点关键词]],OFFSET(重点关键词!$A$1,MATCH($J274,首要关键词,0)*50-48,MATCH($K274,次要关键词,0),重点关键词数量,1),0)+10)</f>
        <v>10</v>
      </c>
      <c r="E274">
        <f ca="1">IF(AND(表_网址[[#This Row],[1级]]=B273,表_网址[[#This Row],[2级]]=C273,表_网址[[#This Row],[3级]]=D273),E273+1,101)</f>
        <v>104</v>
      </c>
      <c r="F274" t="s">
        <v>1124</v>
      </c>
      <c r="G274" t="s">
        <v>1125</v>
      </c>
      <c r="J274" t="s">
        <v>42</v>
      </c>
      <c r="M274">
        <v>999</v>
      </c>
    </row>
    <row r="275" spans="1:13" x14ac:dyDescent="0.2">
      <c r="A275" t="str">
        <f ca="1">表_网址[[#This Row],[1级]]&amp;"-"&amp;表_网址[[#This Row],[2级]]&amp;"-"&amp;表_网址[[#This Row],[3级]]&amp;"-"&amp;表_网址[[#This Row],[级内]]</f>
        <v>601-10-10-105</v>
      </c>
      <c r="B275">
        <f>VLOOKUP(表_网址[[#This Row],[首要关键词]],表_首次要关键词[[首要关键词]:[排序]],2,0)</f>
        <v>601</v>
      </c>
      <c r="C275" s="4">
        <f>IF(表_网址[[#This Row],[次要关键词]]="",10,MATCH(表_网址[[#This Row],[次要关键词]],次要关键词,0)+10)</f>
        <v>10</v>
      </c>
      <c r="D275">
        <f ca="1">IF(表_网址[[#This Row],[重点关键词]]="",10,MATCH(表_网址[[#This Row],[重点关键词]],OFFSET(重点关键词!$A$1,MATCH($J275,首要关键词,0)*50-48,MATCH($K275,次要关键词,0),重点关键词数量,1),0)+10)</f>
        <v>10</v>
      </c>
      <c r="E275">
        <f ca="1">IF(AND(表_网址[[#This Row],[1级]]=B274,表_网址[[#This Row],[2级]]=C274,表_网址[[#This Row],[3级]]=D274),E274+1,101)</f>
        <v>105</v>
      </c>
      <c r="F275" t="s">
        <v>1126</v>
      </c>
      <c r="G275" t="s">
        <v>1127</v>
      </c>
      <c r="J275" t="s">
        <v>42</v>
      </c>
      <c r="M275">
        <v>999</v>
      </c>
    </row>
    <row r="276" spans="1:13" x14ac:dyDescent="0.2">
      <c r="A276" t="str">
        <f ca="1">表_网址[[#This Row],[1级]]&amp;"-"&amp;表_网址[[#This Row],[2级]]&amp;"-"&amp;表_网址[[#This Row],[3级]]&amp;"-"&amp;表_网址[[#This Row],[级内]]</f>
        <v>601-10-10-106</v>
      </c>
      <c r="B276">
        <f>VLOOKUP(表_网址[[#This Row],[首要关键词]],表_首次要关键词[[首要关键词]:[排序]],2,0)</f>
        <v>601</v>
      </c>
      <c r="C276" s="4">
        <f>IF(表_网址[[#This Row],[次要关键词]]="",10,MATCH(表_网址[[#This Row],[次要关键词]],次要关键词,0)+10)</f>
        <v>10</v>
      </c>
      <c r="D276">
        <f ca="1">IF(表_网址[[#This Row],[重点关键词]]="",10,MATCH(表_网址[[#This Row],[重点关键词]],OFFSET(重点关键词!$A$1,MATCH($J276,首要关键词,0)*50-48,MATCH($K276,次要关键词,0),重点关键词数量,1),0)+10)</f>
        <v>10</v>
      </c>
      <c r="E276">
        <f ca="1">IF(AND(表_网址[[#This Row],[1级]]=B275,表_网址[[#This Row],[2级]]=C275,表_网址[[#This Row],[3级]]=D275),E275+1,101)</f>
        <v>106</v>
      </c>
      <c r="F276" t="s">
        <v>1128</v>
      </c>
      <c r="G276" t="s">
        <v>1129</v>
      </c>
      <c r="J276" t="s">
        <v>42</v>
      </c>
      <c r="M276">
        <v>999</v>
      </c>
    </row>
    <row r="277" spans="1:13" x14ac:dyDescent="0.2">
      <c r="A277" t="str">
        <f ca="1">表_网址[[#This Row],[1级]]&amp;"-"&amp;表_网址[[#This Row],[2级]]&amp;"-"&amp;表_网址[[#This Row],[3级]]&amp;"-"&amp;表_网址[[#This Row],[级内]]</f>
        <v>601-10-10-107</v>
      </c>
      <c r="B277">
        <f>VLOOKUP(表_网址[[#This Row],[首要关键词]],表_首次要关键词[[首要关键词]:[排序]],2,0)</f>
        <v>601</v>
      </c>
      <c r="C277" s="4">
        <f>IF(表_网址[[#This Row],[次要关键词]]="",10,MATCH(表_网址[[#This Row],[次要关键词]],次要关键词,0)+10)</f>
        <v>10</v>
      </c>
      <c r="D277">
        <f ca="1">IF(表_网址[[#This Row],[重点关键词]]="",10,MATCH(表_网址[[#This Row],[重点关键词]],OFFSET(重点关键词!$A$1,MATCH($J277,首要关键词,0)*50-48,MATCH($K277,次要关键词,0),重点关键词数量,1),0)+10)</f>
        <v>10</v>
      </c>
      <c r="E277">
        <f ca="1">IF(AND(表_网址[[#This Row],[1级]]=B276,表_网址[[#This Row],[2级]]=C276,表_网址[[#This Row],[3级]]=D276),E276+1,101)</f>
        <v>107</v>
      </c>
      <c r="F277" t="s">
        <v>1130</v>
      </c>
      <c r="G277" t="s">
        <v>1131</v>
      </c>
      <c r="J277" t="s">
        <v>42</v>
      </c>
      <c r="M277">
        <v>999</v>
      </c>
    </row>
    <row r="278" spans="1:13" x14ac:dyDescent="0.2">
      <c r="A278" t="str">
        <f ca="1">表_网址[[#This Row],[1级]]&amp;"-"&amp;表_网址[[#This Row],[2级]]&amp;"-"&amp;表_网址[[#This Row],[3级]]&amp;"-"&amp;表_网址[[#This Row],[级内]]</f>
        <v>601-10-10-108</v>
      </c>
      <c r="B278">
        <f>VLOOKUP(表_网址[[#This Row],[首要关键词]],表_首次要关键词[[首要关键词]:[排序]],2,0)</f>
        <v>601</v>
      </c>
      <c r="C278" s="4">
        <f>IF(表_网址[[#This Row],[次要关键词]]="",10,MATCH(表_网址[[#This Row],[次要关键词]],次要关键词,0)+10)</f>
        <v>10</v>
      </c>
      <c r="D278">
        <f ca="1">IF(表_网址[[#This Row],[重点关键词]]="",10,MATCH(表_网址[[#This Row],[重点关键词]],OFFSET(重点关键词!$A$1,MATCH($J278,首要关键词,0)*50-48,MATCH($K278,次要关键词,0),重点关键词数量,1),0)+10)</f>
        <v>10</v>
      </c>
      <c r="E278">
        <f ca="1">IF(AND(表_网址[[#This Row],[1级]]=B277,表_网址[[#This Row],[2级]]=C277,表_网址[[#This Row],[3级]]=D277),E277+1,101)</f>
        <v>108</v>
      </c>
      <c r="F278" t="s">
        <v>1132</v>
      </c>
      <c r="G278" t="s">
        <v>1133</v>
      </c>
      <c r="J278" t="s">
        <v>42</v>
      </c>
      <c r="M278">
        <v>999</v>
      </c>
    </row>
    <row r="279" spans="1:13" x14ac:dyDescent="0.2">
      <c r="A279" t="str">
        <f ca="1">表_网址[[#This Row],[1级]]&amp;"-"&amp;表_网址[[#This Row],[2级]]&amp;"-"&amp;表_网址[[#This Row],[3级]]&amp;"-"&amp;表_网址[[#This Row],[级内]]</f>
        <v>601-10-10-109</v>
      </c>
      <c r="B279">
        <f>VLOOKUP(表_网址[[#This Row],[首要关键词]],表_首次要关键词[[首要关键词]:[排序]],2,0)</f>
        <v>601</v>
      </c>
      <c r="C279" s="4">
        <f>IF(表_网址[[#This Row],[次要关键词]]="",10,MATCH(表_网址[[#This Row],[次要关键词]],次要关键词,0)+10)</f>
        <v>10</v>
      </c>
      <c r="D279">
        <f ca="1">IF(表_网址[[#This Row],[重点关键词]]="",10,MATCH(表_网址[[#This Row],[重点关键词]],OFFSET(重点关键词!$A$1,MATCH($J279,首要关键词,0)*50-48,MATCH($K279,次要关键词,0),重点关键词数量,1),0)+10)</f>
        <v>10</v>
      </c>
      <c r="E279">
        <f ca="1">IF(AND(表_网址[[#This Row],[1级]]=B278,表_网址[[#This Row],[2级]]=C278,表_网址[[#This Row],[3级]]=D278),E278+1,101)</f>
        <v>109</v>
      </c>
      <c r="F279" t="s">
        <v>1134</v>
      </c>
      <c r="G279" t="s">
        <v>1135</v>
      </c>
      <c r="J279" t="s">
        <v>42</v>
      </c>
      <c r="M279">
        <v>999</v>
      </c>
    </row>
    <row r="280" spans="1:13" x14ac:dyDescent="0.2">
      <c r="A280" t="str">
        <f ca="1">表_网址[[#This Row],[1级]]&amp;"-"&amp;表_网址[[#This Row],[2级]]&amp;"-"&amp;表_网址[[#This Row],[3级]]&amp;"-"&amp;表_网址[[#This Row],[级内]]</f>
        <v>601-10-10-110</v>
      </c>
      <c r="B280">
        <f>VLOOKUP(表_网址[[#This Row],[首要关键词]],表_首次要关键词[[首要关键词]:[排序]],2,0)</f>
        <v>601</v>
      </c>
      <c r="C280" s="4">
        <f>IF(表_网址[[#This Row],[次要关键词]]="",10,MATCH(表_网址[[#This Row],[次要关键词]],次要关键词,0)+10)</f>
        <v>10</v>
      </c>
      <c r="D280">
        <f ca="1">IF(表_网址[[#This Row],[重点关键词]]="",10,MATCH(表_网址[[#This Row],[重点关键词]],OFFSET(重点关键词!$A$1,MATCH($J280,首要关键词,0)*50-48,MATCH($K280,次要关键词,0),重点关键词数量,1),0)+10)</f>
        <v>10</v>
      </c>
      <c r="E280">
        <f ca="1">IF(AND(表_网址[[#This Row],[1级]]=B279,表_网址[[#This Row],[2级]]=C279,表_网址[[#This Row],[3级]]=D279),E279+1,101)</f>
        <v>110</v>
      </c>
      <c r="F280" t="s">
        <v>1136</v>
      </c>
      <c r="G280" t="s">
        <v>1137</v>
      </c>
      <c r="J280" t="s">
        <v>42</v>
      </c>
      <c r="M280">
        <v>999</v>
      </c>
    </row>
    <row r="281" spans="1:13" x14ac:dyDescent="0.2">
      <c r="A281" t="str">
        <f ca="1">表_网址[[#This Row],[1级]]&amp;"-"&amp;表_网址[[#This Row],[2级]]&amp;"-"&amp;表_网址[[#This Row],[3级]]&amp;"-"&amp;表_网址[[#This Row],[级内]]</f>
        <v>601-10-10-111</v>
      </c>
      <c r="B281">
        <f>VLOOKUP(表_网址[[#This Row],[首要关键词]],表_首次要关键词[[首要关键词]:[排序]],2,0)</f>
        <v>601</v>
      </c>
      <c r="C281" s="4">
        <f>IF(表_网址[[#This Row],[次要关键词]]="",10,MATCH(表_网址[[#This Row],[次要关键词]],次要关键词,0)+10)</f>
        <v>10</v>
      </c>
      <c r="D281">
        <f ca="1">IF(表_网址[[#This Row],[重点关键词]]="",10,MATCH(表_网址[[#This Row],[重点关键词]],OFFSET(重点关键词!$A$1,MATCH($J281,首要关键词,0)*50-48,MATCH($K281,次要关键词,0),重点关键词数量,1),0)+10)</f>
        <v>10</v>
      </c>
      <c r="E281">
        <f ca="1">IF(AND(表_网址[[#This Row],[1级]]=B280,表_网址[[#This Row],[2级]]=C280,表_网址[[#This Row],[3级]]=D280),E280+1,101)</f>
        <v>111</v>
      </c>
      <c r="F281" t="s">
        <v>1138</v>
      </c>
      <c r="G281" t="s">
        <v>1139</v>
      </c>
      <c r="J281" t="s">
        <v>42</v>
      </c>
      <c r="M281">
        <v>999</v>
      </c>
    </row>
    <row r="282" spans="1:13" x14ac:dyDescent="0.2">
      <c r="A282" t="str">
        <f ca="1">表_网址[[#This Row],[1级]]&amp;"-"&amp;表_网址[[#This Row],[2级]]&amp;"-"&amp;表_网址[[#This Row],[3级]]&amp;"-"&amp;表_网址[[#This Row],[级内]]</f>
        <v>601-10-10-112</v>
      </c>
      <c r="B282">
        <f>VLOOKUP(表_网址[[#This Row],[首要关键词]],表_首次要关键词[[首要关键词]:[排序]],2,0)</f>
        <v>601</v>
      </c>
      <c r="C282" s="4">
        <f>IF(表_网址[[#This Row],[次要关键词]]="",10,MATCH(表_网址[[#This Row],[次要关键词]],次要关键词,0)+10)</f>
        <v>10</v>
      </c>
      <c r="D282">
        <f ca="1">IF(表_网址[[#This Row],[重点关键词]]="",10,MATCH(表_网址[[#This Row],[重点关键词]],OFFSET(重点关键词!$A$1,MATCH($J282,首要关键词,0)*50-48,MATCH($K282,次要关键词,0),重点关键词数量,1),0)+10)</f>
        <v>10</v>
      </c>
      <c r="E282">
        <f ca="1">IF(AND(表_网址[[#This Row],[1级]]=B281,表_网址[[#This Row],[2级]]=C281,表_网址[[#This Row],[3级]]=D281),E281+1,101)</f>
        <v>112</v>
      </c>
      <c r="F282" t="s">
        <v>1140</v>
      </c>
      <c r="G282" t="s">
        <v>1141</v>
      </c>
      <c r="H282" t="s">
        <v>1142</v>
      </c>
      <c r="J282" t="s">
        <v>42</v>
      </c>
      <c r="M282">
        <v>999</v>
      </c>
    </row>
    <row r="283" spans="1:13" x14ac:dyDescent="0.2">
      <c r="A283" t="str">
        <f ca="1">表_网址[[#This Row],[1级]]&amp;"-"&amp;表_网址[[#This Row],[2级]]&amp;"-"&amp;表_网址[[#This Row],[3级]]&amp;"-"&amp;表_网址[[#This Row],[级内]]</f>
        <v>601-10-10-113</v>
      </c>
      <c r="B283">
        <f>VLOOKUP(表_网址[[#This Row],[首要关键词]],表_首次要关键词[[首要关键词]:[排序]],2,0)</f>
        <v>601</v>
      </c>
      <c r="C283" s="4">
        <f>IF(表_网址[[#This Row],[次要关键词]]="",10,MATCH(表_网址[[#This Row],[次要关键词]],次要关键词,0)+10)</f>
        <v>10</v>
      </c>
      <c r="D283">
        <f ca="1">IF(表_网址[[#This Row],[重点关键词]]="",10,MATCH(表_网址[[#This Row],[重点关键词]],OFFSET(重点关键词!$A$1,MATCH($J283,首要关键词,0)*50-48,MATCH($K283,次要关键词,0),重点关键词数量,1),0)+10)</f>
        <v>10</v>
      </c>
      <c r="E283">
        <f ca="1">IF(AND(表_网址[[#This Row],[1级]]=B282,表_网址[[#This Row],[2级]]=C282,表_网址[[#This Row],[3级]]=D282),E282+1,101)</f>
        <v>113</v>
      </c>
      <c r="F283" t="s">
        <v>1143</v>
      </c>
      <c r="G283" t="s">
        <v>1144</v>
      </c>
      <c r="J283" t="s">
        <v>42</v>
      </c>
      <c r="M283">
        <v>999</v>
      </c>
    </row>
    <row r="284" spans="1:13" x14ac:dyDescent="0.2">
      <c r="A284" t="str">
        <f ca="1">表_网址[[#This Row],[1级]]&amp;"-"&amp;表_网址[[#This Row],[2级]]&amp;"-"&amp;表_网址[[#This Row],[3级]]&amp;"-"&amp;表_网址[[#This Row],[级内]]</f>
        <v>601-10-10-114</v>
      </c>
      <c r="B284">
        <f>VLOOKUP(表_网址[[#This Row],[首要关键词]],表_首次要关键词[[首要关键词]:[排序]],2,0)</f>
        <v>601</v>
      </c>
      <c r="C284" s="4">
        <f>IF(表_网址[[#This Row],[次要关键词]]="",10,MATCH(表_网址[[#This Row],[次要关键词]],次要关键词,0)+10)</f>
        <v>10</v>
      </c>
      <c r="D284">
        <f ca="1">IF(表_网址[[#This Row],[重点关键词]]="",10,MATCH(表_网址[[#This Row],[重点关键词]],OFFSET(重点关键词!$A$1,MATCH($J284,首要关键词,0)*50-48,MATCH($K284,次要关键词,0),重点关键词数量,1),0)+10)</f>
        <v>10</v>
      </c>
      <c r="E284">
        <f ca="1">IF(AND(表_网址[[#This Row],[1级]]=B283,表_网址[[#This Row],[2级]]=C283,表_网址[[#This Row],[3级]]=D283),E283+1,101)</f>
        <v>114</v>
      </c>
      <c r="F284" t="s">
        <v>1145</v>
      </c>
      <c r="G284" t="s">
        <v>1146</v>
      </c>
      <c r="H284" t="s">
        <v>1147</v>
      </c>
      <c r="J284" t="s">
        <v>42</v>
      </c>
      <c r="M284">
        <v>999</v>
      </c>
    </row>
    <row r="285" spans="1:13" x14ac:dyDescent="0.2">
      <c r="A285" t="str">
        <f ca="1">表_网址[[#This Row],[1级]]&amp;"-"&amp;表_网址[[#This Row],[2级]]&amp;"-"&amp;表_网址[[#This Row],[3级]]&amp;"-"&amp;表_网址[[#This Row],[级内]]</f>
        <v>601-10-10-115</v>
      </c>
      <c r="B285">
        <f>VLOOKUP(表_网址[[#This Row],[首要关键词]],表_首次要关键词[[首要关键词]:[排序]],2,0)</f>
        <v>601</v>
      </c>
      <c r="C285" s="4">
        <f>IF(表_网址[[#This Row],[次要关键词]]="",10,MATCH(表_网址[[#This Row],[次要关键词]],次要关键词,0)+10)</f>
        <v>10</v>
      </c>
      <c r="D285">
        <f ca="1">IF(表_网址[[#This Row],[重点关键词]]="",10,MATCH(表_网址[[#This Row],[重点关键词]],OFFSET(重点关键词!$A$1,MATCH($J285,首要关键词,0)*50-48,MATCH($K285,次要关键词,0),重点关键词数量,1),0)+10)</f>
        <v>10</v>
      </c>
      <c r="E285">
        <f ca="1">IF(AND(表_网址[[#This Row],[1级]]=B284,表_网址[[#This Row],[2级]]=C284,表_网址[[#This Row],[3级]]=D284),E284+1,101)</f>
        <v>115</v>
      </c>
      <c r="F285" t="s">
        <v>1148</v>
      </c>
      <c r="G285" t="s">
        <v>1149</v>
      </c>
      <c r="H285" t="s">
        <v>1150</v>
      </c>
      <c r="J285" t="s">
        <v>42</v>
      </c>
      <c r="M285">
        <v>999</v>
      </c>
    </row>
    <row r="286" spans="1:13" x14ac:dyDescent="0.2">
      <c r="A286" t="str">
        <f ca="1">表_网址[[#This Row],[1级]]&amp;"-"&amp;表_网址[[#This Row],[2级]]&amp;"-"&amp;表_网址[[#This Row],[3级]]&amp;"-"&amp;表_网址[[#This Row],[级内]]</f>
        <v>601-10-10-116</v>
      </c>
      <c r="B286">
        <f>VLOOKUP(表_网址[[#This Row],[首要关键词]],表_首次要关键词[[首要关键词]:[排序]],2,0)</f>
        <v>601</v>
      </c>
      <c r="C286" s="4">
        <f>IF(表_网址[[#This Row],[次要关键词]]="",10,MATCH(表_网址[[#This Row],[次要关键词]],次要关键词,0)+10)</f>
        <v>10</v>
      </c>
      <c r="D286">
        <f ca="1">IF(表_网址[[#This Row],[重点关键词]]="",10,MATCH(表_网址[[#This Row],[重点关键词]],OFFSET(重点关键词!$A$1,MATCH($J286,首要关键词,0)*50-48,MATCH($K286,次要关键词,0),重点关键词数量,1),0)+10)</f>
        <v>10</v>
      </c>
      <c r="E286">
        <f ca="1">IF(AND(表_网址[[#This Row],[1级]]=B285,表_网址[[#This Row],[2级]]=C285,表_网址[[#This Row],[3级]]=D285),E285+1,101)</f>
        <v>116</v>
      </c>
      <c r="F286" t="s">
        <v>1151</v>
      </c>
      <c r="G286" t="s">
        <v>1152</v>
      </c>
      <c r="H286" t="s">
        <v>1153</v>
      </c>
      <c r="J286" t="s">
        <v>42</v>
      </c>
      <c r="M286">
        <v>999</v>
      </c>
    </row>
    <row r="287" spans="1:13" x14ac:dyDescent="0.2">
      <c r="A287" t="str">
        <f ca="1">表_网址[[#This Row],[1级]]&amp;"-"&amp;表_网址[[#This Row],[2级]]&amp;"-"&amp;表_网址[[#This Row],[3级]]&amp;"-"&amp;表_网址[[#This Row],[级内]]</f>
        <v>601-10-10-117</v>
      </c>
      <c r="B287">
        <f>VLOOKUP(表_网址[[#This Row],[首要关键词]],表_首次要关键词[[首要关键词]:[排序]],2,0)</f>
        <v>601</v>
      </c>
      <c r="C287" s="4">
        <f>IF(表_网址[[#This Row],[次要关键词]]="",10,MATCH(表_网址[[#This Row],[次要关键词]],次要关键词,0)+10)</f>
        <v>10</v>
      </c>
      <c r="D287">
        <f ca="1">IF(表_网址[[#This Row],[重点关键词]]="",10,MATCH(表_网址[[#This Row],[重点关键词]],OFFSET(重点关键词!$A$1,MATCH($J287,首要关键词,0)*50-48,MATCH($K287,次要关键词,0),重点关键词数量,1),0)+10)</f>
        <v>10</v>
      </c>
      <c r="E287">
        <f ca="1">IF(AND(表_网址[[#This Row],[1级]]=B286,表_网址[[#This Row],[2级]]=C286,表_网址[[#This Row],[3级]]=D286),E286+1,101)</f>
        <v>117</v>
      </c>
      <c r="F287" t="s">
        <v>1154</v>
      </c>
      <c r="G287" t="s">
        <v>1155</v>
      </c>
      <c r="H287" t="s">
        <v>1156</v>
      </c>
      <c r="J287" t="s">
        <v>42</v>
      </c>
      <c r="M287">
        <v>999</v>
      </c>
    </row>
    <row r="288" spans="1:13" x14ac:dyDescent="0.2">
      <c r="A288" t="str">
        <f ca="1">表_网址[[#This Row],[1级]]&amp;"-"&amp;表_网址[[#This Row],[2级]]&amp;"-"&amp;表_网址[[#This Row],[3级]]&amp;"-"&amp;表_网址[[#This Row],[级内]]</f>
        <v>601-10-10-118</v>
      </c>
      <c r="B288">
        <f>VLOOKUP(表_网址[[#This Row],[首要关键词]],表_首次要关键词[[首要关键词]:[排序]],2,0)</f>
        <v>601</v>
      </c>
      <c r="C288" s="4">
        <f>IF(表_网址[[#This Row],[次要关键词]]="",10,MATCH(表_网址[[#This Row],[次要关键词]],次要关键词,0)+10)</f>
        <v>10</v>
      </c>
      <c r="D288">
        <f ca="1">IF(表_网址[[#This Row],[重点关键词]]="",10,MATCH(表_网址[[#This Row],[重点关键词]],OFFSET(重点关键词!$A$1,MATCH($J288,首要关键词,0)*50-48,MATCH($K288,次要关键词,0),重点关键词数量,1),0)+10)</f>
        <v>10</v>
      </c>
      <c r="E288">
        <f ca="1">IF(AND(表_网址[[#This Row],[1级]]=B287,表_网址[[#This Row],[2级]]=C287,表_网址[[#This Row],[3级]]=D287),E287+1,101)</f>
        <v>118</v>
      </c>
      <c r="F288" t="s">
        <v>1157</v>
      </c>
      <c r="G288" t="s">
        <v>1158</v>
      </c>
      <c r="H288" t="s">
        <v>1159</v>
      </c>
      <c r="J288" t="s">
        <v>42</v>
      </c>
      <c r="M288">
        <v>999</v>
      </c>
    </row>
    <row r="289" spans="1:13" x14ac:dyDescent="0.2">
      <c r="A289" t="str">
        <f ca="1">表_网址[[#This Row],[1级]]&amp;"-"&amp;表_网址[[#This Row],[2级]]&amp;"-"&amp;表_网址[[#This Row],[3级]]&amp;"-"&amp;表_网址[[#This Row],[级内]]</f>
        <v>601-10-10-119</v>
      </c>
      <c r="B289">
        <f>VLOOKUP(表_网址[[#This Row],[首要关键词]],表_首次要关键词[[首要关键词]:[排序]],2,0)</f>
        <v>601</v>
      </c>
      <c r="C289" s="4">
        <f>IF(表_网址[[#This Row],[次要关键词]]="",10,MATCH(表_网址[[#This Row],[次要关键词]],次要关键词,0)+10)</f>
        <v>10</v>
      </c>
      <c r="D289">
        <f ca="1">IF(表_网址[[#This Row],[重点关键词]]="",10,MATCH(表_网址[[#This Row],[重点关键词]],OFFSET(重点关键词!$A$1,MATCH($J289,首要关键词,0)*50-48,MATCH($K289,次要关键词,0),重点关键词数量,1),0)+10)</f>
        <v>10</v>
      </c>
      <c r="E289">
        <f ca="1">IF(AND(表_网址[[#This Row],[1级]]=B288,表_网址[[#This Row],[2级]]=C288,表_网址[[#This Row],[3级]]=D288),E288+1,101)</f>
        <v>119</v>
      </c>
      <c r="F289" t="s">
        <v>1160</v>
      </c>
      <c r="G289" t="s">
        <v>1161</v>
      </c>
      <c r="J289" t="s">
        <v>42</v>
      </c>
      <c r="M289">
        <v>999</v>
      </c>
    </row>
    <row r="290" spans="1:13" x14ac:dyDescent="0.2">
      <c r="A290" t="str">
        <f ca="1">表_网址[[#This Row],[1级]]&amp;"-"&amp;表_网址[[#This Row],[2级]]&amp;"-"&amp;表_网址[[#This Row],[3级]]&amp;"-"&amp;表_网址[[#This Row],[级内]]</f>
        <v>601-10-10-120</v>
      </c>
      <c r="B290">
        <f>VLOOKUP(表_网址[[#This Row],[首要关键词]],表_首次要关键词[[首要关键词]:[排序]],2,0)</f>
        <v>601</v>
      </c>
      <c r="C290" s="4">
        <f>IF(表_网址[[#This Row],[次要关键词]]="",10,MATCH(表_网址[[#This Row],[次要关键词]],次要关键词,0)+10)</f>
        <v>10</v>
      </c>
      <c r="D290">
        <f ca="1">IF(表_网址[[#This Row],[重点关键词]]="",10,MATCH(表_网址[[#This Row],[重点关键词]],OFFSET(重点关键词!$A$1,MATCH($J290,首要关键词,0)*50-48,MATCH($K290,次要关键词,0),重点关键词数量,1),0)+10)</f>
        <v>10</v>
      </c>
      <c r="E290">
        <f ca="1">IF(AND(表_网址[[#This Row],[1级]]=B289,表_网址[[#This Row],[2级]]=C289,表_网址[[#This Row],[3级]]=D289),E289+1,101)</f>
        <v>120</v>
      </c>
      <c r="F290" t="s">
        <v>1162</v>
      </c>
      <c r="G290" t="s">
        <v>1163</v>
      </c>
      <c r="H290" t="s">
        <v>1164</v>
      </c>
      <c r="J290" t="s">
        <v>42</v>
      </c>
      <c r="M290">
        <v>999</v>
      </c>
    </row>
    <row r="291" spans="1:13" x14ac:dyDescent="0.2">
      <c r="A291" t="str">
        <f ca="1">表_网址[[#This Row],[1级]]&amp;"-"&amp;表_网址[[#This Row],[2级]]&amp;"-"&amp;表_网址[[#This Row],[3级]]&amp;"-"&amp;表_网址[[#This Row],[级内]]</f>
        <v>601-10-10-121</v>
      </c>
      <c r="B291">
        <f>VLOOKUP(表_网址[[#This Row],[首要关键词]],表_首次要关键词[[首要关键词]:[排序]],2,0)</f>
        <v>601</v>
      </c>
      <c r="C291" s="4">
        <f>IF(表_网址[[#This Row],[次要关键词]]="",10,MATCH(表_网址[[#This Row],[次要关键词]],次要关键词,0)+10)</f>
        <v>10</v>
      </c>
      <c r="D291">
        <f ca="1">IF(表_网址[[#This Row],[重点关键词]]="",10,MATCH(表_网址[[#This Row],[重点关键词]],OFFSET(重点关键词!$A$1,MATCH($J291,首要关键词,0)*50-48,MATCH($K291,次要关键词,0),重点关键词数量,1),0)+10)</f>
        <v>10</v>
      </c>
      <c r="E291">
        <f ca="1">IF(AND(表_网址[[#This Row],[1级]]=B290,表_网址[[#This Row],[2级]]=C290,表_网址[[#This Row],[3级]]=D290),E290+1,101)</f>
        <v>121</v>
      </c>
      <c r="F291" t="s">
        <v>1165</v>
      </c>
      <c r="G291" t="s">
        <v>1166</v>
      </c>
      <c r="H291" t="s">
        <v>1167</v>
      </c>
      <c r="J291" t="s">
        <v>42</v>
      </c>
      <c r="M291">
        <v>999</v>
      </c>
    </row>
    <row r="292" spans="1:13" x14ac:dyDescent="0.2">
      <c r="A292" t="str">
        <f ca="1">表_网址[[#This Row],[1级]]&amp;"-"&amp;表_网址[[#This Row],[2级]]&amp;"-"&amp;表_网址[[#This Row],[3级]]&amp;"-"&amp;表_网址[[#This Row],[级内]]</f>
        <v>601-11-10-101</v>
      </c>
      <c r="B292">
        <f>VLOOKUP(表_网址[[#This Row],[首要关键词]],表_首次要关键词[[首要关键词]:[排序]],2,0)</f>
        <v>601</v>
      </c>
      <c r="C292" s="4">
        <f ca="1">IF(表_网址[[#This Row],[次要关键词]]="",10,MATCH(表_网址[[#This Row],[次要关键词]],次要关键词,0)+10)</f>
        <v>11</v>
      </c>
      <c r="D292">
        <f ca="1">IF(表_网址[[#This Row],[重点关键词]]="",10,MATCH(表_网址[[#This Row],[重点关键词]],OFFSET(重点关键词!$A$1,MATCH($J292,首要关键词,0)*50-48,MATCH($K292,次要关键词,0),重点关键词数量,1),0)+10)</f>
        <v>10</v>
      </c>
      <c r="E292">
        <f ca="1">IF(AND(表_网址[[#This Row],[1级]]=B291,表_网址[[#This Row],[2级]]=C291,表_网址[[#This Row],[3级]]=D291),E291+1,101)</f>
        <v>101</v>
      </c>
      <c r="F292" t="s">
        <v>1168</v>
      </c>
      <c r="G292" t="s">
        <v>1169</v>
      </c>
      <c r="J292" t="s">
        <v>42</v>
      </c>
      <c r="K292" t="s">
        <v>1170</v>
      </c>
      <c r="M292">
        <v>999</v>
      </c>
    </row>
    <row r="293" spans="1:13" x14ac:dyDescent="0.2">
      <c r="A293" t="str">
        <f ca="1">表_网址[[#This Row],[1级]]&amp;"-"&amp;表_网址[[#This Row],[2级]]&amp;"-"&amp;表_网址[[#This Row],[3级]]&amp;"-"&amp;表_网址[[#This Row],[级内]]</f>
        <v>601-12-10-101</v>
      </c>
      <c r="B293">
        <f>VLOOKUP(表_网址[[#This Row],[首要关键词]],表_首次要关键词[[首要关键词]:[排序]],2,0)</f>
        <v>601</v>
      </c>
      <c r="C293" s="4">
        <f ca="1">IF(表_网址[[#This Row],[次要关键词]]="",10,MATCH(表_网址[[#This Row],[次要关键词]],次要关键词,0)+10)</f>
        <v>12</v>
      </c>
      <c r="D293">
        <f ca="1">IF(表_网址[[#This Row],[重点关键词]]="",10,MATCH(表_网址[[#This Row],[重点关键词]],OFFSET(重点关键词!$A$1,MATCH($J293,首要关键词,0)*50-48,MATCH($K293,次要关键词,0),重点关键词数量,1),0)+10)</f>
        <v>10</v>
      </c>
      <c r="E293">
        <f ca="1">IF(AND(表_网址[[#This Row],[1级]]=B292,表_网址[[#This Row],[2级]]=C292,表_网址[[#This Row],[3级]]=D292),E292+1,101)</f>
        <v>101</v>
      </c>
      <c r="F293" t="s">
        <v>1171</v>
      </c>
      <c r="G293" t="s">
        <v>1172</v>
      </c>
      <c r="J293" t="s">
        <v>42</v>
      </c>
      <c r="K293" t="s">
        <v>1173</v>
      </c>
      <c r="M293">
        <v>999</v>
      </c>
    </row>
    <row r="294" spans="1:13" x14ac:dyDescent="0.2">
      <c r="A294" t="str">
        <f ca="1">表_网址[[#This Row],[1级]]&amp;"-"&amp;表_网址[[#This Row],[2级]]&amp;"-"&amp;表_网址[[#This Row],[3级]]&amp;"-"&amp;表_网址[[#This Row],[级内]]</f>
        <v>601-12-10-102</v>
      </c>
      <c r="B294">
        <f>VLOOKUP(表_网址[[#This Row],[首要关键词]],表_首次要关键词[[首要关键词]:[排序]],2,0)</f>
        <v>601</v>
      </c>
      <c r="C294" s="4">
        <f ca="1">IF(表_网址[[#This Row],[次要关键词]]="",10,MATCH(表_网址[[#This Row],[次要关键词]],次要关键词,0)+10)</f>
        <v>12</v>
      </c>
      <c r="D294">
        <f ca="1">IF(表_网址[[#This Row],[重点关键词]]="",10,MATCH(表_网址[[#This Row],[重点关键词]],OFFSET(重点关键词!$A$1,MATCH($J294,首要关键词,0)*50-48,MATCH($K294,次要关键词,0),重点关键词数量,1),0)+10)</f>
        <v>10</v>
      </c>
      <c r="E294">
        <f ca="1">IF(AND(表_网址[[#This Row],[1级]]=B293,表_网址[[#This Row],[2级]]=C293,表_网址[[#This Row],[3级]]=D293),E293+1,101)</f>
        <v>102</v>
      </c>
      <c r="F294" t="s">
        <v>1174</v>
      </c>
      <c r="G294" t="s">
        <v>1175</v>
      </c>
      <c r="J294" t="s">
        <v>42</v>
      </c>
      <c r="K294" t="s">
        <v>1173</v>
      </c>
      <c r="M294">
        <v>999</v>
      </c>
    </row>
    <row r="295" spans="1:13" x14ac:dyDescent="0.2">
      <c r="A295" t="str">
        <f ca="1">表_网址[[#This Row],[1级]]&amp;"-"&amp;表_网址[[#This Row],[2级]]&amp;"-"&amp;表_网址[[#This Row],[3级]]&amp;"-"&amp;表_网址[[#This Row],[级内]]</f>
        <v>601-13-10-101</v>
      </c>
      <c r="B295">
        <f>VLOOKUP(表_网址[[#This Row],[首要关键词]],表_首次要关键词[[首要关键词]:[排序]],2,0)</f>
        <v>601</v>
      </c>
      <c r="C295" s="4">
        <f ca="1">IF(表_网址[[#This Row],[次要关键词]]="",10,MATCH(表_网址[[#This Row],[次要关键词]],次要关键词,0)+10)</f>
        <v>13</v>
      </c>
      <c r="D295">
        <f ca="1">IF(表_网址[[#This Row],[重点关键词]]="",10,MATCH(表_网址[[#This Row],[重点关键词]],OFFSET(重点关键词!$A$1,MATCH($J295,首要关键词,0)*50-48,MATCH($K295,次要关键词,0),重点关键词数量,1),0)+10)</f>
        <v>10</v>
      </c>
      <c r="E295">
        <f ca="1">IF(AND(表_网址[[#This Row],[1级]]=B294,表_网址[[#This Row],[2级]]=C294,表_网址[[#This Row],[3级]]=D294),E294+1,101)</f>
        <v>101</v>
      </c>
      <c r="F295" t="s">
        <v>1176</v>
      </c>
      <c r="G295" t="s">
        <v>1177</v>
      </c>
      <c r="J295" t="s">
        <v>42</v>
      </c>
      <c r="K295" t="s">
        <v>1178</v>
      </c>
      <c r="M295">
        <v>999</v>
      </c>
    </row>
    <row r="296" spans="1:13" x14ac:dyDescent="0.2">
      <c r="A296" t="str">
        <f ca="1">表_网址[[#This Row],[1级]]&amp;"-"&amp;表_网址[[#This Row],[2级]]&amp;"-"&amp;表_网址[[#This Row],[3级]]&amp;"-"&amp;表_网址[[#This Row],[级内]]</f>
        <v>601-14-10-101</v>
      </c>
      <c r="B296">
        <f>VLOOKUP(表_网址[[#This Row],[首要关键词]],表_首次要关键词[[首要关键词]:[排序]],2,0)</f>
        <v>601</v>
      </c>
      <c r="C296" s="4">
        <f ca="1">IF(表_网址[[#This Row],[次要关键词]]="",10,MATCH(表_网址[[#This Row],[次要关键词]],次要关键词,0)+10)</f>
        <v>14</v>
      </c>
      <c r="D296">
        <f ca="1">IF(表_网址[[#This Row],[重点关键词]]="",10,MATCH(表_网址[[#This Row],[重点关键词]],OFFSET(重点关键词!$A$1,MATCH($J296,首要关键词,0)*50-48,MATCH($K296,次要关键词,0),重点关键词数量,1),0)+10)</f>
        <v>10</v>
      </c>
      <c r="E296">
        <f ca="1">IF(AND(表_网址[[#This Row],[1级]]=B295,表_网址[[#This Row],[2级]]=C295,表_网址[[#This Row],[3级]]=D295),E295+1,101)</f>
        <v>101</v>
      </c>
      <c r="F296" t="s">
        <v>1179</v>
      </c>
      <c r="G296" t="s">
        <v>1180</v>
      </c>
      <c r="J296" t="s">
        <v>42</v>
      </c>
      <c r="K296" t="s">
        <v>1181</v>
      </c>
      <c r="M296">
        <v>999</v>
      </c>
    </row>
    <row r="297" spans="1:13" x14ac:dyDescent="0.2">
      <c r="A297" t="str">
        <f ca="1">表_网址[[#This Row],[1级]]&amp;"-"&amp;表_网址[[#This Row],[2级]]&amp;"-"&amp;表_网址[[#This Row],[3级]]&amp;"-"&amp;表_网址[[#This Row],[级内]]</f>
        <v>601-15-10-101</v>
      </c>
      <c r="B297">
        <f>VLOOKUP(表_网址[[#This Row],[首要关键词]],表_首次要关键词[[首要关键词]:[排序]],2,0)</f>
        <v>601</v>
      </c>
      <c r="C297" s="4">
        <f ca="1">IF(表_网址[[#This Row],[次要关键词]]="",10,MATCH(表_网址[[#This Row],[次要关键词]],次要关键词,0)+10)</f>
        <v>15</v>
      </c>
      <c r="D297">
        <f ca="1">IF(表_网址[[#This Row],[重点关键词]]="",10,MATCH(表_网址[[#This Row],[重点关键词]],OFFSET(重点关键词!$A$1,MATCH($J297,首要关键词,0)*50-48,MATCH($K297,次要关键词,0),重点关键词数量,1),0)+10)</f>
        <v>10</v>
      </c>
      <c r="E297">
        <f ca="1">IF(AND(表_网址[[#This Row],[1级]]=B296,表_网址[[#This Row],[2级]]=C296,表_网址[[#This Row],[3级]]=D296),E296+1,101)</f>
        <v>101</v>
      </c>
      <c r="F297" t="s">
        <v>1182</v>
      </c>
      <c r="G297" t="s">
        <v>1183</v>
      </c>
      <c r="H297" t="s">
        <v>1184</v>
      </c>
      <c r="J297" t="s">
        <v>42</v>
      </c>
      <c r="K297" t="s">
        <v>1185</v>
      </c>
      <c r="M297">
        <v>999</v>
      </c>
    </row>
    <row r="298" spans="1:13" x14ac:dyDescent="0.2">
      <c r="A298" t="str">
        <f ca="1">表_网址[[#This Row],[1级]]&amp;"-"&amp;表_网址[[#This Row],[2级]]&amp;"-"&amp;表_网址[[#This Row],[3级]]&amp;"-"&amp;表_网址[[#This Row],[级内]]</f>
        <v>601-16-10-101</v>
      </c>
      <c r="B298">
        <f>VLOOKUP(表_网址[[#This Row],[首要关键词]],表_首次要关键词[[首要关键词]:[排序]],2,0)</f>
        <v>601</v>
      </c>
      <c r="C298" s="4">
        <f ca="1">IF(表_网址[[#This Row],[次要关键词]]="",10,MATCH(表_网址[[#This Row],[次要关键词]],次要关键词,0)+10)</f>
        <v>16</v>
      </c>
      <c r="D298">
        <f ca="1">IF(表_网址[[#This Row],[重点关键词]]="",10,MATCH(表_网址[[#This Row],[重点关键词]],OFFSET(重点关键词!$A$1,MATCH($J298,首要关键词,0)*50-48,MATCH($K298,次要关键词,0),重点关键词数量,1),0)+10)</f>
        <v>10</v>
      </c>
      <c r="E298">
        <f ca="1">IF(AND(表_网址[[#This Row],[1级]]=B297,表_网址[[#This Row],[2级]]=C297,表_网址[[#This Row],[3级]]=D297),E297+1,101)</f>
        <v>101</v>
      </c>
      <c r="F298" t="s">
        <v>1186</v>
      </c>
      <c r="G298" t="s">
        <v>1187</v>
      </c>
      <c r="J298" t="s">
        <v>42</v>
      </c>
      <c r="K298" t="s">
        <v>1188</v>
      </c>
      <c r="M298">
        <v>999</v>
      </c>
    </row>
    <row r="299" spans="1:13" x14ac:dyDescent="0.2">
      <c r="A299" t="str">
        <f ca="1">表_网址[[#This Row],[1级]]&amp;"-"&amp;表_网址[[#This Row],[2级]]&amp;"-"&amp;表_网址[[#This Row],[3级]]&amp;"-"&amp;表_网址[[#This Row],[级内]]</f>
        <v>601-17-10-101</v>
      </c>
      <c r="B299">
        <f>VLOOKUP(表_网址[[#This Row],[首要关键词]],表_首次要关键词[[首要关键词]:[排序]],2,0)</f>
        <v>601</v>
      </c>
      <c r="C299" s="4">
        <f ca="1">IF(表_网址[[#This Row],[次要关键词]]="",10,MATCH(表_网址[[#This Row],[次要关键词]],次要关键词,0)+10)</f>
        <v>17</v>
      </c>
      <c r="D299">
        <f ca="1">IF(表_网址[[#This Row],[重点关键词]]="",10,MATCH(表_网址[[#This Row],[重点关键词]],OFFSET(重点关键词!$A$1,MATCH($J299,首要关键词,0)*50-48,MATCH($K299,次要关键词,0),重点关键词数量,1),0)+10)</f>
        <v>10</v>
      </c>
      <c r="E299">
        <f ca="1">IF(AND(表_网址[[#This Row],[1级]]=B298,表_网址[[#This Row],[2级]]=C298,表_网址[[#This Row],[3级]]=D298),E298+1,101)</f>
        <v>101</v>
      </c>
      <c r="F299" t="s">
        <v>1189</v>
      </c>
      <c r="G299" t="s">
        <v>1190</v>
      </c>
      <c r="J299" t="s">
        <v>42</v>
      </c>
      <c r="K299" t="s">
        <v>1191</v>
      </c>
      <c r="M299">
        <v>999</v>
      </c>
    </row>
    <row r="300" spans="1:13" x14ac:dyDescent="0.2">
      <c r="A300" t="str">
        <f ca="1">表_网址[[#This Row],[1级]]&amp;"-"&amp;表_网址[[#This Row],[2级]]&amp;"-"&amp;表_网址[[#This Row],[3级]]&amp;"-"&amp;表_网址[[#This Row],[级内]]</f>
        <v>601-18-10-101</v>
      </c>
      <c r="B300">
        <f>VLOOKUP(表_网址[[#This Row],[首要关键词]],表_首次要关键词[[首要关键词]:[排序]],2,0)</f>
        <v>601</v>
      </c>
      <c r="C300" s="4">
        <f ca="1">IF(表_网址[[#This Row],[次要关键词]]="",10,MATCH(表_网址[[#This Row],[次要关键词]],次要关键词,0)+10)</f>
        <v>18</v>
      </c>
      <c r="D300">
        <f ca="1">IF(表_网址[[#This Row],[重点关键词]]="",10,MATCH(表_网址[[#This Row],[重点关键词]],OFFSET(重点关键词!$A$1,MATCH($J300,首要关键词,0)*50-48,MATCH($K300,次要关键词,0),重点关键词数量,1),0)+10)</f>
        <v>10</v>
      </c>
      <c r="E300">
        <f ca="1">IF(AND(表_网址[[#This Row],[1级]]=B299,表_网址[[#This Row],[2级]]=C299,表_网址[[#This Row],[3级]]=D299),E299+1,101)</f>
        <v>101</v>
      </c>
      <c r="F300" t="s">
        <v>1192</v>
      </c>
      <c r="G300" t="s">
        <v>1193</v>
      </c>
      <c r="J300" t="s">
        <v>42</v>
      </c>
      <c r="K300" t="s">
        <v>1192</v>
      </c>
      <c r="M300">
        <v>999</v>
      </c>
    </row>
    <row r="301" spans="1:13" x14ac:dyDescent="0.2">
      <c r="A301" t="str">
        <f ca="1">表_网址[[#This Row],[1级]]&amp;"-"&amp;表_网址[[#This Row],[2级]]&amp;"-"&amp;表_网址[[#This Row],[3级]]&amp;"-"&amp;表_网址[[#This Row],[级内]]</f>
        <v>601-18-10-102</v>
      </c>
      <c r="B301">
        <f>VLOOKUP(表_网址[[#This Row],[首要关键词]],表_首次要关键词[[首要关键词]:[排序]],2,0)</f>
        <v>601</v>
      </c>
      <c r="C301" s="4">
        <f ca="1">IF(表_网址[[#This Row],[次要关键词]]="",10,MATCH(表_网址[[#This Row],[次要关键词]],次要关键词,0)+10)</f>
        <v>18</v>
      </c>
      <c r="D301">
        <f ca="1">IF(表_网址[[#This Row],[重点关键词]]="",10,MATCH(表_网址[[#This Row],[重点关键词]],OFFSET(重点关键词!$A$1,MATCH($J301,首要关键词,0)*50-48,MATCH($K301,次要关键词,0),重点关键词数量,1),0)+10)</f>
        <v>10</v>
      </c>
      <c r="E301">
        <f ca="1">IF(AND(表_网址[[#This Row],[1级]]=B300,表_网址[[#This Row],[2级]]=C300,表_网址[[#This Row],[3级]]=D300),E300+1,101)</f>
        <v>102</v>
      </c>
      <c r="F301" t="s">
        <v>1194</v>
      </c>
      <c r="G301" t="s">
        <v>1195</v>
      </c>
      <c r="J301" t="s">
        <v>42</v>
      </c>
      <c r="K301" t="s">
        <v>1192</v>
      </c>
      <c r="M301">
        <v>999</v>
      </c>
    </row>
    <row r="302" spans="1:13" x14ac:dyDescent="0.2">
      <c r="A302" t="str">
        <f ca="1">表_网址[[#This Row],[1级]]&amp;"-"&amp;表_网址[[#This Row],[2级]]&amp;"-"&amp;表_网址[[#This Row],[3级]]&amp;"-"&amp;表_网址[[#This Row],[级内]]</f>
        <v>601-19-10-101</v>
      </c>
      <c r="B302">
        <f>VLOOKUP(表_网址[[#This Row],[首要关键词]],表_首次要关键词[[首要关键词]:[排序]],2,0)</f>
        <v>601</v>
      </c>
      <c r="C302" s="4">
        <f ca="1">IF(表_网址[[#This Row],[次要关键词]]="",10,MATCH(表_网址[[#This Row],[次要关键词]],次要关键词,0)+10)</f>
        <v>19</v>
      </c>
      <c r="D302">
        <f ca="1">IF(表_网址[[#This Row],[重点关键词]]="",10,MATCH(表_网址[[#This Row],[重点关键词]],OFFSET(重点关键词!$A$1,MATCH($J302,首要关键词,0)*50-48,MATCH($K302,次要关键词,0),重点关键词数量,1),0)+10)</f>
        <v>10</v>
      </c>
      <c r="E302">
        <f ca="1">IF(AND(表_网址[[#This Row],[1级]]=B301,表_网址[[#This Row],[2级]]=C301,表_网址[[#This Row],[3级]]=D301),E301+1,101)</f>
        <v>101</v>
      </c>
      <c r="F302" t="s">
        <v>1196</v>
      </c>
      <c r="G302" t="s">
        <v>1197</v>
      </c>
      <c r="J302" t="s">
        <v>42</v>
      </c>
      <c r="K302" t="s">
        <v>1198</v>
      </c>
      <c r="M302">
        <v>999</v>
      </c>
    </row>
    <row r="303" spans="1:13" x14ac:dyDescent="0.2">
      <c r="A303" t="str">
        <f ca="1">表_网址[[#This Row],[1级]]&amp;"-"&amp;表_网址[[#This Row],[2级]]&amp;"-"&amp;表_网址[[#This Row],[3级]]&amp;"-"&amp;表_网址[[#This Row],[级内]]</f>
        <v>601-19-10-102</v>
      </c>
      <c r="B303">
        <f>VLOOKUP(表_网址[[#This Row],[首要关键词]],表_首次要关键词[[首要关键词]:[排序]],2,0)</f>
        <v>601</v>
      </c>
      <c r="C303" s="4">
        <f ca="1">IF(表_网址[[#This Row],[次要关键词]]="",10,MATCH(表_网址[[#This Row],[次要关键词]],次要关键词,0)+10)</f>
        <v>19</v>
      </c>
      <c r="D303">
        <f ca="1">IF(表_网址[[#This Row],[重点关键词]]="",10,MATCH(表_网址[[#This Row],[重点关键词]],OFFSET(重点关键词!$A$1,MATCH($J303,首要关键词,0)*50-48,MATCH($K303,次要关键词,0),重点关键词数量,1),0)+10)</f>
        <v>10</v>
      </c>
      <c r="E303">
        <f ca="1">IF(AND(表_网址[[#This Row],[1级]]=B302,表_网址[[#This Row],[2级]]=C302,表_网址[[#This Row],[3级]]=D302),E302+1,101)</f>
        <v>102</v>
      </c>
      <c r="F303" t="s">
        <v>1199</v>
      </c>
      <c r="G303" t="s">
        <v>1200</v>
      </c>
      <c r="J303" t="s">
        <v>42</v>
      </c>
      <c r="K303" t="s">
        <v>1198</v>
      </c>
      <c r="M303">
        <v>999</v>
      </c>
    </row>
    <row r="304" spans="1:13" x14ac:dyDescent="0.2">
      <c r="A304" t="str">
        <f ca="1">表_网址[[#This Row],[1级]]&amp;"-"&amp;表_网址[[#This Row],[2级]]&amp;"-"&amp;表_网址[[#This Row],[3级]]&amp;"-"&amp;表_网址[[#This Row],[级内]]</f>
        <v>601-20-10-101</v>
      </c>
      <c r="B304">
        <f>VLOOKUP(表_网址[[#This Row],[首要关键词]],表_首次要关键词[[首要关键词]:[排序]],2,0)</f>
        <v>601</v>
      </c>
      <c r="C304" s="4">
        <f ca="1">IF(表_网址[[#This Row],[次要关键词]]="",10,MATCH(表_网址[[#This Row],[次要关键词]],次要关键词,0)+10)</f>
        <v>20</v>
      </c>
      <c r="D304">
        <f ca="1">IF(表_网址[[#This Row],[重点关键词]]="",10,MATCH(表_网址[[#This Row],[重点关键词]],OFFSET(重点关键词!$A$1,MATCH($J304,首要关键词,0)*50-48,MATCH($K304,次要关键词,0),重点关键词数量,1),0)+10)</f>
        <v>10</v>
      </c>
      <c r="E304">
        <f ca="1">IF(AND(表_网址[[#This Row],[1级]]=B303,表_网址[[#This Row],[2级]]=C303,表_网址[[#This Row],[3级]]=D303),E303+1,101)</f>
        <v>101</v>
      </c>
      <c r="F304" t="s">
        <v>1201</v>
      </c>
      <c r="G304" t="s">
        <v>1202</v>
      </c>
      <c r="J304" t="s">
        <v>42</v>
      </c>
      <c r="K304" t="s">
        <v>1203</v>
      </c>
      <c r="M304">
        <v>999</v>
      </c>
    </row>
    <row r="305" spans="1:13" x14ac:dyDescent="0.2">
      <c r="A305" t="str">
        <f ca="1">表_网址[[#This Row],[1级]]&amp;"-"&amp;表_网址[[#This Row],[2级]]&amp;"-"&amp;表_网址[[#This Row],[3级]]&amp;"-"&amp;表_网址[[#This Row],[级内]]</f>
        <v>601-21-10-101</v>
      </c>
      <c r="B305">
        <f>VLOOKUP(表_网址[[#This Row],[首要关键词]],表_首次要关键词[[首要关键词]:[排序]],2,0)</f>
        <v>601</v>
      </c>
      <c r="C305" s="4">
        <f ca="1">IF(表_网址[[#This Row],[次要关键词]]="",10,MATCH(表_网址[[#This Row],[次要关键词]],次要关键词,0)+10)</f>
        <v>21</v>
      </c>
      <c r="D305">
        <f ca="1">IF(表_网址[[#This Row],[重点关键词]]="",10,MATCH(表_网址[[#This Row],[重点关键词]],OFFSET(重点关键词!$A$1,MATCH($J305,首要关键词,0)*50-48,MATCH($K305,次要关键词,0),重点关键词数量,1),0)+10)</f>
        <v>10</v>
      </c>
      <c r="E305">
        <f ca="1">IF(AND(表_网址[[#This Row],[1级]]=B304,表_网址[[#This Row],[2级]]=C304,表_网址[[#This Row],[3级]]=D304),E304+1,101)</f>
        <v>101</v>
      </c>
      <c r="F305" t="s">
        <v>1204</v>
      </c>
      <c r="G305" t="s">
        <v>1205</v>
      </c>
      <c r="J305" t="s">
        <v>42</v>
      </c>
      <c r="K305" t="s">
        <v>1206</v>
      </c>
      <c r="M305">
        <v>999</v>
      </c>
    </row>
    <row r="306" spans="1:13" x14ac:dyDescent="0.2">
      <c r="A306" t="str">
        <f ca="1">表_网址[[#This Row],[1级]]&amp;"-"&amp;表_网址[[#This Row],[2级]]&amp;"-"&amp;表_网址[[#This Row],[3级]]&amp;"-"&amp;表_网址[[#This Row],[级内]]</f>
        <v>601-22-10-101</v>
      </c>
      <c r="B306">
        <f>VLOOKUP(表_网址[[#This Row],[首要关键词]],表_首次要关键词[[首要关键词]:[排序]],2,0)</f>
        <v>601</v>
      </c>
      <c r="C306" s="4">
        <f ca="1">IF(表_网址[[#This Row],[次要关键词]]="",10,MATCH(表_网址[[#This Row],[次要关键词]],次要关键词,0)+10)</f>
        <v>22</v>
      </c>
      <c r="D306">
        <f ca="1">IF(表_网址[[#This Row],[重点关键词]]="",10,MATCH(表_网址[[#This Row],[重点关键词]],OFFSET(重点关键词!$A$1,MATCH($J306,首要关键词,0)*50-48,MATCH($K306,次要关键词,0),重点关键词数量,1),0)+10)</f>
        <v>10</v>
      </c>
      <c r="E306">
        <f ca="1">IF(AND(表_网址[[#This Row],[1级]]=B305,表_网址[[#This Row],[2级]]=C305,表_网址[[#This Row],[3级]]=D305),E305+1,101)</f>
        <v>101</v>
      </c>
      <c r="F306" t="s">
        <v>1207</v>
      </c>
      <c r="G306" t="s">
        <v>1208</v>
      </c>
      <c r="J306" t="s">
        <v>42</v>
      </c>
      <c r="K306" t="s">
        <v>1209</v>
      </c>
      <c r="M306">
        <v>999</v>
      </c>
    </row>
    <row r="307" spans="1:13" x14ac:dyDescent="0.2">
      <c r="A307" t="str">
        <f ca="1">表_网址[[#This Row],[1级]]&amp;"-"&amp;表_网址[[#This Row],[2级]]&amp;"-"&amp;表_网址[[#This Row],[3级]]&amp;"-"&amp;表_网址[[#This Row],[级内]]</f>
        <v>601-23-10-101</v>
      </c>
      <c r="B307">
        <f>VLOOKUP(表_网址[[#This Row],[首要关键词]],表_首次要关键词[[首要关键词]:[排序]],2,0)</f>
        <v>601</v>
      </c>
      <c r="C307" s="4">
        <f ca="1">IF(表_网址[[#This Row],[次要关键词]]="",10,MATCH(表_网址[[#This Row],[次要关键词]],次要关键词,0)+10)</f>
        <v>23</v>
      </c>
      <c r="D307">
        <f ca="1">IF(表_网址[[#This Row],[重点关键词]]="",10,MATCH(表_网址[[#This Row],[重点关键词]],OFFSET(重点关键词!$A$1,MATCH($J307,首要关键词,0)*50-48,MATCH($K307,次要关键词,0),重点关键词数量,1),0)+10)</f>
        <v>10</v>
      </c>
      <c r="E307">
        <f ca="1">IF(AND(表_网址[[#This Row],[1级]]=B306,表_网址[[#This Row],[2级]]=C306,表_网址[[#This Row],[3级]]=D306),E306+1,101)</f>
        <v>101</v>
      </c>
      <c r="F307" t="s">
        <v>1210</v>
      </c>
      <c r="G307" t="s">
        <v>1211</v>
      </c>
      <c r="J307" t="s">
        <v>42</v>
      </c>
      <c r="K307" t="s">
        <v>1212</v>
      </c>
      <c r="M307">
        <v>999</v>
      </c>
    </row>
    <row r="308" spans="1:13" x14ac:dyDescent="0.2">
      <c r="A308" t="str">
        <f ca="1">表_网址[[#This Row],[1级]]&amp;"-"&amp;表_网址[[#This Row],[2级]]&amp;"-"&amp;表_网址[[#This Row],[3级]]&amp;"-"&amp;表_网址[[#This Row],[级内]]</f>
        <v>601-24-10-101</v>
      </c>
      <c r="B308">
        <f>VLOOKUP(表_网址[[#This Row],[首要关键词]],表_首次要关键词[[首要关键词]:[排序]],2,0)</f>
        <v>601</v>
      </c>
      <c r="C308" s="4">
        <f ca="1">IF(表_网址[[#This Row],[次要关键词]]="",10,MATCH(表_网址[[#This Row],[次要关键词]],次要关键词,0)+10)</f>
        <v>24</v>
      </c>
      <c r="D308">
        <f ca="1">IF(表_网址[[#This Row],[重点关键词]]="",10,MATCH(表_网址[[#This Row],[重点关键词]],OFFSET(重点关键词!$A$1,MATCH($J308,首要关键词,0)*50-48,MATCH($K308,次要关键词,0),重点关键词数量,1),0)+10)</f>
        <v>10</v>
      </c>
      <c r="E308">
        <f ca="1">IF(AND(表_网址[[#This Row],[1级]]=B307,表_网址[[#This Row],[2级]]=C307,表_网址[[#This Row],[3级]]=D307),E307+1,101)</f>
        <v>101</v>
      </c>
      <c r="F308" t="s">
        <v>1213</v>
      </c>
      <c r="G308" t="s">
        <v>1214</v>
      </c>
      <c r="J308" t="s">
        <v>42</v>
      </c>
      <c r="K308" t="s">
        <v>1215</v>
      </c>
      <c r="M308">
        <v>999</v>
      </c>
    </row>
    <row r="309" spans="1:13" x14ac:dyDescent="0.2">
      <c r="A309" t="str">
        <f ca="1">表_网址[[#This Row],[1级]]&amp;"-"&amp;表_网址[[#This Row],[2级]]&amp;"-"&amp;表_网址[[#This Row],[3级]]&amp;"-"&amp;表_网址[[#This Row],[级内]]</f>
        <v>601-25-10-101</v>
      </c>
      <c r="B309">
        <f>VLOOKUP(表_网址[[#This Row],[首要关键词]],表_首次要关键词[[首要关键词]:[排序]],2,0)</f>
        <v>601</v>
      </c>
      <c r="C309" s="4">
        <f ca="1">IF(表_网址[[#This Row],[次要关键词]]="",10,MATCH(表_网址[[#This Row],[次要关键词]],次要关键词,0)+10)</f>
        <v>25</v>
      </c>
      <c r="D309">
        <f ca="1">IF(表_网址[[#This Row],[重点关键词]]="",10,MATCH(表_网址[[#This Row],[重点关键词]],OFFSET(重点关键词!$A$1,MATCH($J309,首要关键词,0)*50-48,MATCH($K309,次要关键词,0),重点关键词数量,1),0)+10)</f>
        <v>10</v>
      </c>
      <c r="E309">
        <f ca="1">IF(AND(表_网址[[#This Row],[1级]]=B308,表_网址[[#This Row],[2级]]=C308,表_网址[[#This Row],[3级]]=D308),E308+1,101)</f>
        <v>101</v>
      </c>
      <c r="F309" t="s">
        <v>1216</v>
      </c>
      <c r="G309" t="s">
        <v>1217</v>
      </c>
      <c r="J309" t="s">
        <v>42</v>
      </c>
      <c r="K309" t="s">
        <v>1218</v>
      </c>
      <c r="M309">
        <v>999</v>
      </c>
    </row>
    <row r="310" spans="1:13" x14ac:dyDescent="0.2">
      <c r="A310" t="str">
        <f ca="1">表_网址[[#This Row],[1级]]&amp;"-"&amp;表_网址[[#This Row],[2级]]&amp;"-"&amp;表_网址[[#This Row],[3级]]&amp;"-"&amp;表_网址[[#This Row],[级内]]</f>
        <v>601-25-10-102</v>
      </c>
      <c r="B310">
        <f>VLOOKUP(表_网址[[#This Row],[首要关键词]],表_首次要关键词[[首要关键词]:[排序]],2,0)</f>
        <v>601</v>
      </c>
      <c r="C310" s="4">
        <f ca="1">IF(表_网址[[#This Row],[次要关键词]]="",10,MATCH(表_网址[[#This Row],[次要关键词]],次要关键词,0)+10)</f>
        <v>25</v>
      </c>
      <c r="D310">
        <f ca="1">IF(表_网址[[#This Row],[重点关键词]]="",10,MATCH(表_网址[[#This Row],[重点关键词]],OFFSET(重点关键词!$A$1,MATCH($J310,首要关键词,0)*50-48,MATCH($K310,次要关键词,0),重点关键词数量,1),0)+10)</f>
        <v>10</v>
      </c>
      <c r="E310">
        <f ca="1">IF(AND(表_网址[[#This Row],[1级]]=B309,表_网址[[#This Row],[2级]]=C309,表_网址[[#This Row],[3级]]=D309),E309+1,101)</f>
        <v>102</v>
      </c>
      <c r="F310" t="s">
        <v>1219</v>
      </c>
      <c r="G310" t="s">
        <v>1220</v>
      </c>
      <c r="J310" t="s">
        <v>42</v>
      </c>
      <c r="K310" t="s">
        <v>1218</v>
      </c>
      <c r="M310">
        <v>999</v>
      </c>
    </row>
    <row r="311" spans="1:13" x14ac:dyDescent="0.2">
      <c r="A311" t="str">
        <f ca="1">表_网址[[#This Row],[1级]]&amp;"-"&amp;表_网址[[#This Row],[2级]]&amp;"-"&amp;表_网址[[#This Row],[3级]]&amp;"-"&amp;表_网址[[#This Row],[级内]]</f>
        <v>601-26-10-101</v>
      </c>
      <c r="B311">
        <f>VLOOKUP(表_网址[[#This Row],[首要关键词]],表_首次要关键词[[首要关键词]:[排序]],2,0)</f>
        <v>601</v>
      </c>
      <c r="C311" s="4">
        <f ca="1">IF(表_网址[[#This Row],[次要关键词]]="",10,MATCH(表_网址[[#This Row],[次要关键词]],次要关键词,0)+10)</f>
        <v>26</v>
      </c>
      <c r="D311">
        <f ca="1">IF(表_网址[[#This Row],[重点关键词]]="",10,MATCH(表_网址[[#This Row],[重点关键词]],OFFSET(重点关键词!$A$1,MATCH($J311,首要关键词,0)*50-48,MATCH($K311,次要关键词,0),重点关键词数量,1),0)+10)</f>
        <v>10</v>
      </c>
      <c r="E311">
        <f ca="1">IF(AND(表_网址[[#This Row],[1级]]=B310,表_网址[[#This Row],[2级]]=C310,表_网址[[#This Row],[3级]]=D310),E310+1,101)</f>
        <v>101</v>
      </c>
      <c r="F311" t="s">
        <v>1221</v>
      </c>
      <c r="G311" t="s">
        <v>1222</v>
      </c>
      <c r="J311" t="s">
        <v>42</v>
      </c>
      <c r="K311" t="s">
        <v>1223</v>
      </c>
      <c r="M311">
        <v>999</v>
      </c>
    </row>
    <row r="312" spans="1:13" x14ac:dyDescent="0.2">
      <c r="A312" t="str">
        <f ca="1">表_网址[[#This Row],[1级]]&amp;"-"&amp;表_网址[[#This Row],[2级]]&amp;"-"&amp;表_网址[[#This Row],[3级]]&amp;"-"&amp;表_网址[[#This Row],[级内]]</f>
        <v>601-27-10-101</v>
      </c>
      <c r="B312">
        <f>VLOOKUP(表_网址[[#This Row],[首要关键词]],表_首次要关键词[[首要关键词]:[排序]],2,0)</f>
        <v>601</v>
      </c>
      <c r="C312" s="4">
        <f ca="1">IF(表_网址[[#This Row],[次要关键词]]="",10,MATCH(表_网址[[#This Row],[次要关键词]],次要关键词,0)+10)</f>
        <v>27</v>
      </c>
      <c r="D312">
        <f ca="1">IF(表_网址[[#This Row],[重点关键词]]="",10,MATCH(表_网址[[#This Row],[重点关键词]],OFFSET(重点关键词!$A$1,MATCH($J312,首要关键词,0)*50-48,MATCH($K312,次要关键词,0),重点关键词数量,1),0)+10)</f>
        <v>10</v>
      </c>
      <c r="E312">
        <f ca="1">IF(AND(表_网址[[#This Row],[1级]]=B311,表_网址[[#This Row],[2级]]=C311,表_网址[[#This Row],[3级]]=D311),E311+1,101)</f>
        <v>101</v>
      </c>
      <c r="F312" t="s">
        <v>1224</v>
      </c>
      <c r="G312" t="s">
        <v>1225</v>
      </c>
      <c r="J312" t="s">
        <v>42</v>
      </c>
      <c r="K312" t="s">
        <v>1226</v>
      </c>
      <c r="M312">
        <v>999</v>
      </c>
    </row>
    <row r="313" spans="1:13" x14ac:dyDescent="0.2">
      <c r="A313" t="str">
        <f ca="1">表_网址[[#This Row],[1级]]&amp;"-"&amp;表_网址[[#This Row],[2级]]&amp;"-"&amp;表_网址[[#This Row],[3级]]&amp;"-"&amp;表_网址[[#This Row],[级内]]</f>
        <v>601-27-10-102</v>
      </c>
      <c r="B313">
        <f>VLOOKUP(表_网址[[#This Row],[首要关键词]],表_首次要关键词[[首要关键词]:[排序]],2,0)</f>
        <v>601</v>
      </c>
      <c r="C313" s="4">
        <f ca="1">IF(表_网址[[#This Row],[次要关键词]]="",10,MATCH(表_网址[[#This Row],[次要关键词]],次要关键词,0)+10)</f>
        <v>27</v>
      </c>
      <c r="D313">
        <f ca="1">IF(表_网址[[#This Row],[重点关键词]]="",10,MATCH(表_网址[[#This Row],[重点关键词]],OFFSET(重点关键词!$A$1,MATCH($J313,首要关键词,0)*50-48,MATCH($K313,次要关键词,0),重点关键词数量,1),0)+10)</f>
        <v>10</v>
      </c>
      <c r="E313">
        <f ca="1">IF(AND(表_网址[[#This Row],[1级]]=B312,表_网址[[#This Row],[2级]]=C312,表_网址[[#This Row],[3级]]=D312),E312+1,101)</f>
        <v>102</v>
      </c>
      <c r="F313" t="s">
        <v>1227</v>
      </c>
      <c r="G313" t="s">
        <v>1228</v>
      </c>
      <c r="H313" t="s">
        <v>1229</v>
      </c>
      <c r="J313" t="s">
        <v>42</v>
      </c>
      <c r="K313" t="s">
        <v>1226</v>
      </c>
      <c r="M313">
        <v>999</v>
      </c>
    </row>
    <row r="314" spans="1:13" x14ac:dyDescent="0.2">
      <c r="A314" t="str">
        <f ca="1">表_网址[[#This Row],[1级]]&amp;"-"&amp;表_网址[[#This Row],[2级]]&amp;"-"&amp;表_网址[[#This Row],[3级]]&amp;"-"&amp;表_网址[[#This Row],[级内]]</f>
        <v>601-27-10-103</v>
      </c>
      <c r="B314">
        <f>VLOOKUP(表_网址[[#This Row],[首要关键词]],表_首次要关键词[[首要关键词]:[排序]],2,0)</f>
        <v>601</v>
      </c>
      <c r="C314" s="4">
        <f ca="1">IF(表_网址[[#This Row],[次要关键词]]="",10,MATCH(表_网址[[#This Row],[次要关键词]],次要关键词,0)+10)</f>
        <v>27</v>
      </c>
      <c r="D314">
        <f ca="1">IF(表_网址[[#This Row],[重点关键词]]="",10,MATCH(表_网址[[#This Row],[重点关键词]],OFFSET(重点关键词!$A$1,MATCH($J314,首要关键词,0)*50-48,MATCH($K314,次要关键词,0),重点关键词数量,1),0)+10)</f>
        <v>10</v>
      </c>
      <c r="E314">
        <f ca="1">IF(AND(表_网址[[#This Row],[1级]]=B313,表_网址[[#This Row],[2级]]=C313,表_网址[[#This Row],[3级]]=D313),E313+1,101)</f>
        <v>103</v>
      </c>
      <c r="F314" t="s">
        <v>1230</v>
      </c>
      <c r="G314" t="s">
        <v>1231</v>
      </c>
      <c r="H314" t="s">
        <v>1232</v>
      </c>
      <c r="J314" t="s">
        <v>42</v>
      </c>
      <c r="K314" t="s">
        <v>1226</v>
      </c>
      <c r="M314">
        <v>999</v>
      </c>
    </row>
    <row r="315" spans="1:13" x14ac:dyDescent="0.2">
      <c r="A315" t="str">
        <f ca="1">表_网址[[#This Row],[1级]]&amp;"-"&amp;表_网址[[#This Row],[2级]]&amp;"-"&amp;表_网址[[#This Row],[3级]]&amp;"-"&amp;表_网址[[#This Row],[级内]]</f>
        <v>602-10-10-101</v>
      </c>
      <c r="B315">
        <f>VLOOKUP(表_网址[[#This Row],[首要关键词]],表_首次要关键词[[首要关键词]:[排序]],2,0)</f>
        <v>602</v>
      </c>
      <c r="C315" s="4">
        <f>IF(表_网址[[#This Row],[次要关键词]]="",10,MATCH(表_网址[[#This Row],[次要关键词]],次要关键词,0)+10)</f>
        <v>10</v>
      </c>
      <c r="D315">
        <f ca="1">IF(表_网址[[#This Row],[重点关键词]]="",10,MATCH(表_网址[[#This Row],[重点关键词]],OFFSET(重点关键词!$A$1,MATCH($J315,首要关键词,0)*50-48,MATCH($K315,次要关键词,0),重点关键词数量,1),0)+10)</f>
        <v>10</v>
      </c>
      <c r="E315">
        <f ca="1">IF(AND(表_网址[[#This Row],[1级]]=B314,表_网址[[#This Row],[2级]]=C314,表_网址[[#This Row],[3级]]=D314),E314+1,101)</f>
        <v>101</v>
      </c>
      <c r="F315" t="s">
        <v>1233</v>
      </c>
      <c r="G315" t="s">
        <v>1234</v>
      </c>
      <c r="H315" t="s">
        <v>1235</v>
      </c>
      <c r="J315" t="s">
        <v>43</v>
      </c>
      <c r="M315">
        <v>999</v>
      </c>
    </row>
    <row r="316" spans="1:13" x14ac:dyDescent="0.2">
      <c r="A316" t="str">
        <f ca="1">表_网址[[#This Row],[1级]]&amp;"-"&amp;表_网址[[#This Row],[2级]]&amp;"-"&amp;表_网址[[#This Row],[3级]]&amp;"-"&amp;表_网址[[#This Row],[级内]]</f>
        <v>602-11-10-101</v>
      </c>
      <c r="B316">
        <f>VLOOKUP(表_网址[[#This Row],[首要关键词]],表_首次要关键词[[首要关键词]:[排序]],2,0)</f>
        <v>602</v>
      </c>
      <c r="C316" s="4">
        <f ca="1">IF(表_网址[[#This Row],[次要关键词]]="",10,MATCH(表_网址[[#This Row],[次要关键词]],次要关键词,0)+10)</f>
        <v>11</v>
      </c>
      <c r="D316">
        <f ca="1">IF(表_网址[[#This Row],[重点关键词]]="",10,MATCH(表_网址[[#This Row],[重点关键词]],OFFSET(重点关键词!$A$1,MATCH($J316,首要关键词,0)*50-48,MATCH($K316,次要关键词,0),重点关键词数量,1),0)+10)</f>
        <v>10</v>
      </c>
      <c r="E316">
        <f ca="1">IF(AND(表_网址[[#This Row],[1级]]=B315,表_网址[[#This Row],[2级]]=C315,表_网址[[#This Row],[3级]]=D315),E315+1,101)</f>
        <v>101</v>
      </c>
      <c r="F316" t="s">
        <v>1236</v>
      </c>
      <c r="G316" t="s">
        <v>1237</v>
      </c>
      <c r="J316" t="s">
        <v>43</v>
      </c>
      <c r="K316" t="s">
        <v>1233</v>
      </c>
      <c r="M316">
        <v>999</v>
      </c>
    </row>
    <row r="317" spans="1:13" x14ac:dyDescent="0.2">
      <c r="A317" t="str">
        <f ca="1">表_网址[[#This Row],[1级]]&amp;"-"&amp;表_网址[[#This Row],[2级]]&amp;"-"&amp;表_网址[[#This Row],[3级]]&amp;"-"&amp;表_网址[[#This Row],[级内]]</f>
        <v>603-10-10-101</v>
      </c>
      <c r="B317">
        <f>VLOOKUP(表_网址[[#This Row],[首要关键词]],表_首次要关键词[[首要关键词]:[排序]],2,0)</f>
        <v>603</v>
      </c>
      <c r="C317" s="4">
        <f>IF(表_网址[[#This Row],[次要关键词]]="",10,MATCH(表_网址[[#This Row],[次要关键词]],次要关键词,0)+10)</f>
        <v>10</v>
      </c>
      <c r="D317">
        <f ca="1">IF(表_网址[[#This Row],[重点关键词]]="",10,MATCH(表_网址[[#This Row],[重点关键词]],OFFSET(重点关键词!$A$1,MATCH($J317,首要关键词,0)*50-48,MATCH($K317,次要关键词,0),重点关键词数量,1),0)+10)</f>
        <v>10</v>
      </c>
      <c r="E317">
        <f ca="1">IF(AND(表_网址[[#This Row],[1级]]=B316,表_网址[[#This Row],[2级]]=C316,表_网址[[#This Row],[3级]]=D316),E316+1,101)</f>
        <v>101</v>
      </c>
      <c r="F317" t="s">
        <v>1238</v>
      </c>
      <c r="G317" t="s">
        <v>1239</v>
      </c>
      <c r="I317" t="s">
        <v>1240</v>
      </c>
      <c r="J317" t="s">
        <v>44</v>
      </c>
      <c r="M317">
        <v>999</v>
      </c>
    </row>
    <row r="318" spans="1:13" x14ac:dyDescent="0.2">
      <c r="A318" t="str">
        <f ca="1">表_网址[[#This Row],[1级]]&amp;"-"&amp;表_网址[[#This Row],[2级]]&amp;"-"&amp;表_网址[[#This Row],[3级]]&amp;"-"&amp;表_网址[[#This Row],[级内]]</f>
        <v>603-10-10-102</v>
      </c>
      <c r="B318">
        <f>VLOOKUP(表_网址[[#This Row],[首要关键词]],表_首次要关键词[[首要关键词]:[排序]],2,0)</f>
        <v>603</v>
      </c>
      <c r="C318" s="4">
        <f>IF(表_网址[[#This Row],[次要关键词]]="",10,MATCH(表_网址[[#This Row],[次要关键词]],次要关键词,0)+10)</f>
        <v>10</v>
      </c>
      <c r="D318">
        <f ca="1">IF(表_网址[[#This Row],[重点关键词]]="",10,MATCH(表_网址[[#This Row],[重点关键词]],OFFSET(重点关键词!$A$1,MATCH($J318,首要关键词,0)*50-48,MATCH($K318,次要关键词,0),重点关键词数量,1),0)+10)</f>
        <v>10</v>
      </c>
      <c r="E318">
        <f ca="1">IF(AND(表_网址[[#This Row],[1级]]=B317,表_网址[[#This Row],[2级]]=C317,表_网址[[#This Row],[3级]]=D317),E317+1,101)</f>
        <v>102</v>
      </c>
      <c r="F318" t="s">
        <v>1241</v>
      </c>
      <c r="G318" t="s">
        <v>1242</v>
      </c>
      <c r="I318" t="s">
        <v>1243</v>
      </c>
      <c r="J318" t="s">
        <v>44</v>
      </c>
      <c r="M318">
        <v>999</v>
      </c>
    </row>
    <row r="319" spans="1:13" x14ac:dyDescent="0.2">
      <c r="A319" t="str">
        <f ca="1">表_网址[[#This Row],[1级]]&amp;"-"&amp;表_网址[[#This Row],[2级]]&amp;"-"&amp;表_网址[[#This Row],[3级]]&amp;"-"&amp;表_网址[[#This Row],[级内]]</f>
        <v>603-10-10-103</v>
      </c>
      <c r="B319">
        <f>VLOOKUP(表_网址[[#This Row],[首要关键词]],表_首次要关键词[[首要关键词]:[排序]],2,0)</f>
        <v>603</v>
      </c>
      <c r="C319" s="4">
        <f>IF(表_网址[[#This Row],[次要关键词]]="",10,MATCH(表_网址[[#This Row],[次要关键词]],次要关键词,0)+10)</f>
        <v>10</v>
      </c>
      <c r="D319">
        <f ca="1">IF(表_网址[[#This Row],[重点关键词]]="",10,MATCH(表_网址[[#This Row],[重点关键词]],OFFSET(重点关键词!$A$1,MATCH($J319,首要关键词,0)*50-48,MATCH($K319,次要关键词,0),重点关键词数量,1),0)+10)</f>
        <v>10</v>
      </c>
      <c r="E319">
        <f ca="1">IF(AND(表_网址[[#This Row],[1级]]=B318,表_网址[[#This Row],[2级]]=C318,表_网址[[#This Row],[3级]]=D318),E318+1,101)</f>
        <v>103</v>
      </c>
      <c r="F319" t="s">
        <v>1244</v>
      </c>
      <c r="G319" t="s">
        <v>1245</v>
      </c>
      <c r="I319" t="s">
        <v>1246</v>
      </c>
      <c r="J319" t="s">
        <v>44</v>
      </c>
      <c r="M319">
        <v>999</v>
      </c>
    </row>
    <row r="320" spans="1:13" x14ac:dyDescent="0.2">
      <c r="A320" t="str">
        <f ca="1">表_网址[[#This Row],[1级]]&amp;"-"&amp;表_网址[[#This Row],[2级]]&amp;"-"&amp;表_网址[[#This Row],[3级]]&amp;"-"&amp;表_网址[[#This Row],[级内]]</f>
        <v>603-10-10-104</v>
      </c>
      <c r="B320">
        <f>VLOOKUP(表_网址[[#This Row],[首要关键词]],表_首次要关键词[[首要关键词]:[排序]],2,0)</f>
        <v>603</v>
      </c>
      <c r="C320" s="4">
        <f>IF(表_网址[[#This Row],[次要关键词]]="",10,MATCH(表_网址[[#This Row],[次要关键词]],次要关键词,0)+10)</f>
        <v>10</v>
      </c>
      <c r="D320">
        <f ca="1">IF(表_网址[[#This Row],[重点关键词]]="",10,MATCH(表_网址[[#This Row],[重点关键词]],OFFSET(重点关键词!$A$1,MATCH($J320,首要关键词,0)*50-48,MATCH($K320,次要关键词,0),重点关键词数量,1),0)+10)</f>
        <v>10</v>
      </c>
      <c r="E320">
        <f ca="1">IF(AND(表_网址[[#This Row],[1级]]=B319,表_网址[[#This Row],[2级]]=C319,表_网址[[#This Row],[3级]]=D319),E319+1,101)</f>
        <v>104</v>
      </c>
      <c r="F320" t="s">
        <v>1247</v>
      </c>
      <c r="G320" t="s">
        <v>1248</v>
      </c>
      <c r="I320" t="s">
        <v>1249</v>
      </c>
      <c r="J320" t="s">
        <v>44</v>
      </c>
      <c r="M320">
        <v>999</v>
      </c>
    </row>
    <row r="321" spans="1:16" x14ac:dyDescent="0.2">
      <c r="A321" t="str">
        <f ca="1">表_网址[[#This Row],[1级]]&amp;"-"&amp;表_网址[[#This Row],[2级]]&amp;"-"&amp;表_网址[[#This Row],[3级]]&amp;"-"&amp;表_网址[[#This Row],[级内]]</f>
        <v>603-10-10-105</v>
      </c>
      <c r="B321">
        <f>VLOOKUP(表_网址[[#This Row],[首要关键词]],表_首次要关键词[[首要关键词]:[排序]],2,0)</f>
        <v>603</v>
      </c>
      <c r="C321" s="4">
        <f>IF(表_网址[[#This Row],[次要关键词]]="",10,MATCH(表_网址[[#This Row],[次要关键词]],次要关键词,0)+10)</f>
        <v>10</v>
      </c>
      <c r="D321">
        <f ca="1">IF(表_网址[[#This Row],[重点关键词]]="",10,MATCH(表_网址[[#This Row],[重点关键词]],OFFSET(重点关键词!$A$1,MATCH($J321,首要关键词,0)*50-48,MATCH($K321,次要关键词,0),重点关键词数量,1),0)+10)</f>
        <v>10</v>
      </c>
      <c r="E321">
        <f ca="1">IF(AND(表_网址[[#This Row],[1级]]=B320,表_网址[[#This Row],[2级]]=C320,表_网址[[#This Row],[3级]]=D320),E320+1,101)</f>
        <v>105</v>
      </c>
      <c r="F321" t="s">
        <v>1250</v>
      </c>
      <c r="G321" t="s">
        <v>1251</v>
      </c>
      <c r="J321" t="s">
        <v>44</v>
      </c>
      <c r="M321">
        <v>999</v>
      </c>
    </row>
    <row r="322" spans="1:16" x14ac:dyDescent="0.2">
      <c r="A322" t="str">
        <f ca="1">表_网址[[#This Row],[1级]]&amp;"-"&amp;表_网址[[#This Row],[2级]]&amp;"-"&amp;表_网址[[#This Row],[3级]]&amp;"-"&amp;表_网址[[#This Row],[级内]]</f>
        <v>603-10-10-106</v>
      </c>
      <c r="B322">
        <f>VLOOKUP(表_网址[[#This Row],[首要关键词]],表_首次要关键词[[首要关键词]:[排序]],2,0)</f>
        <v>603</v>
      </c>
      <c r="C322" s="4">
        <f>IF(表_网址[[#This Row],[次要关键词]]="",10,MATCH(表_网址[[#This Row],[次要关键词]],次要关键词,0)+10)</f>
        <v>10</v>
      </c>
      <c r="D322">
        <f ca="1">IF(表_网址[[#This Row],[重点关键词]]="",10,MATCH(表_网址[[#This Row],[重点关键词]],OFFSET(重点关键词!$A$1,MATCH($J322,首要关键词,0)*50-48,MATCH($K322,次要关键词,0),重点关键词数量,1),0)+10)</f>
        <v>10</v>
      </c>
      <c r="E322">
        <f ca="1">IF(AND(表_网址[[#This Row],[1级]]=B321,表_网址[[#This Row],[2级]]=C321,表_网址[[#This Row],[3级]]=D321),E321+1,101)</f>
        <v>106</v>
      </c>
      <c r="F322" t="s">
        <v>1252</v>
      </c>
      <c r="G322" t="s">
        <v>1253</v>
      </c>
      <c r="J322" t="s">
        <v>44</v>
      </c>
      <c r="M322">
        <v>999</v>
      </c>
    </row>
    <row r="323" spans="1:16" x14ac:dyDescent="0.2">
      <c r="A323" t="str">
        <f ca="1">表_网址[[#This Row],[1级]]&amp;"-"&amp;表_网址[[#This Row],[2级]]&amp;"-"&amp;表_网址[[#This Row],[3级]]&amp;"-"&amp;表_网址[[#This Row],[级内]]</f>
        <v>603-10-10-107</v>
      </c>
      <c r="B323">
        <f>VLOOKUP(表_网址[[#This Row],[首要关键词]],表_首次要关键词[[首要关键词]:[排序]],2,0)</f>
        <v>603</v>
      </c>
      <c r="C323" s="4">
        <f>IF(表_网址[[#This Row],[次要关键词]]="",10,MATCH(表_网址[[#This Row],[次要关键词]],次要关键词,0)+10)</f>
        <v>10</v>
      </c>
      <c r="D323">
        <f ca="1">IF(表_网址[[#This Row],[重点关键词]]="",10,MATCH(表_网址[[#This Row],[重点关键词]],OFFSET(重点关键词!$A$1,MATCH($J323,首要关键词,0)*50-48,MATCH($K323,次要关键词,0),重点关键词数量,1),0)+10)</f>
        <v>10</v>
      </c>
      <c r="E323">
        <f ca="1">IF(AND(表_网址[[#This Row],[1级]]=B322,表_网址[[#This Row],[2级]]=C322,表_网址[[#This Row],[3级]]=D322),E322+1,101)</f>
        <v>107</v>
      </c>
      <c r="F323" t="s">
        <v>1254</v>
      </c>
      <c r="G323" t="s">
        <v>1255</v>
      </c>
      <c r="H323" t="s">
        <v>1256</v>
      </c>
      <c r="J323" t="s">
        <v>44</v>
      </c>
      <c r="M323">
        <v>999</v>
      </c>
    </row>
    <row r="324" spans="1:16" x14ac:dyDescent="0.2">
      <c r="A324" t="str">
        <f ca="1">表_网址[[#This Row],[1级]]&amp;"-"&amp;表_网址[[#This Row],[2级]]&amp;"-"&amp;表_网址[[#This Row],[3级]]&amp;"-"&amp;表_网址[[#This Row],[级内]]</f>
        <v>604-10-10-101</v>
      </c>
      <c r="B324">
        <f>VLOOKUP(表_网址[[#This Row],[首要关键词]],表_首次要关键词[[首要关键词]:[排序]],2,0)</f>
        <v>604</v>
      </c>
      <c r="C324" s="4">
        <f>IF(表_网址[[#This Row],[次要关键词]]="",10,MATCH(表_网址[[#This Row],[次要关键词]],次要关键词,0)+10)</f>
        <v>10</v>
      </c>
      <c r="D324">
        <f ca="1">IF(表_网址[[#This Row],[重点关键词]]="",10,MATCH(表_网址[[#This Row],[重点关键词]],OFFSET(重点关键词!$A$1,MATCH($J324,首要关键词,0)*50-48,MATCH($K324,次要关键词,0),重点关键词数量,1),0)+10)</f>
        <v>10</v>
      </c>
      <c r="E324">
        <f ca="1">IF(AND(表_网址[[#This Row],[1级]]=B323,表_网址[[#This Row],[2级]]=C323,表_网址[[#This Row],[3级]]=D323),E323+1,101)</f>
        <v>101</v>
      </c>
      <c r="F324" t="s">
        <v>1257</v>
      </c>
      <c r="G324" t="s">
        <v>1258</v>
      </c>
      <c r="I324" t="s">
        <v>1259</v>
      </c>
      <c r="J324" t="s">
        <v>45</v>
      </c>
      <c r="M324">
        <v>999</v>
      </c>
      <c r="N324">
        <v>999</v>
      </c>
      <c r="P324">
        <v>16</v>
      </c>
    </row>
    <row r="325" spans="1:16" x14ac:dyDescent="0.2">
      <c r="A325" t="str">
        <f ca="1">表_网址[[#This Row],[1级]]&amp;"-"&amp;表_网址[[#This Row],[2级]]&amp;"-"&amp;表_网址[[#This Row],[3级]]&amp;"-"&amp;表_网址[[#This Row],[级内]]</f>
        <v>604-10-10-102</v>
      </c>
      <c r="B325">
        <f>VLOOKUP(表_网址[[#This Row],[首要关键词]],表_首次要关键词[[首要关键词]:[排序]],2,0)</f>
        <v>604</v>
      </c>
      <c r="C325" s="4">
        <f>IF(表_网址[[#This Row],[次要关键词]]="",10,MATCH(表_网址[[#This Row],[次要关键词]],次要关键词,0)+10)</f>
        <v>10</v>
      </c>
      <c r="D325">
        <f ca="1">IF(表_网址[[#This Row],[重点关键词]]="",10,MATCH(表_网址[[#This Row],[重点关键词]],OFFSET(重点关键词!$A$1,MATCH($J325,首要关键词,0)*50-48,MATCH($K325,次要关键词,0),重点关键词数量,1),0)+10)</f>
        <v>10</v>
      </c>
      <c r="E325">
        <f ca="1">IF(AND(表_网址[[#This Row],[1级]]=B324,表_网址[[#This Row],[2级]]=C324,表_网址[[#This Row],[3级]]=D324),E324+1,101)</f>
        <v>102</v>
      </c>
      <c r="F325" t="s">
        <v>1260</v>
      </c>
      <c r="G325" t="s">
        <v>1261</v>
      </c>
      <c r="H325" t="s">
        <v>82</v>
      </c>
      <c r="J325" t="s">
        <v>45</v>
      </c>
      <c r="M325">
        <v>999</v>
      </c>
    </row>
    <row r="326" spans="1:16" x14ac:dyDescent="0.2">
      <c r="A326" t="str">
        <f ca="1">表_网址[[#This Row],[1级]]&amp;"-"&amp;表_网址[[#This Row],[2级]]&amp;"-"&amp;表_网址[[#This Row],[3级]]&amp;"-"&amp;表_网址[[#This Row],[级内]]</f>
        <v>604-10-10-103</v>
      </c>
      <c r="B326">
        <f>VLOOKUP(表_网址[[#This Row],[首要关键词]],表_首次要关键词[[首要关键词]:[排序]],2,0)</f>
        <v>604</v>
      </c>
      <c r="C326" s="4">
        <f>IF(表_网址[[#This Row],[次要关键词]]="",10,MATCH(表_网址[[#This Row],[次要关键词]],次要关键词,0)+10)</f>
        <v>10</v>
      </c>
      <c r="D326">
        <f ca="1">IF(表_网址[[#This Row],[重点关键词]]="",10,MATCH(表_网址[[#This Row],[重点关键词]],OFFSET(重点关键词!$A$1,MATCH($J326,首要关键词,0)*50-48,MATCH($K326,次要关键词,0),重点关键词数量,1),0)+10)</f>
        <v>10</v>
      </c>
      <c r="E326">
        <f ca="1">IF(AND(表_网址[[#This Row],[1级]]=B325,表_网址[[#This Row],[2级]]=C325,表_网址[[#This Row],[3级]]=D325),E325+1,101)</f>
        <v>103</v>
      </c>
      <c r="F326" t="s">
        <v>1262</v>
      </c>
      <c r="G326" t="s">
        <v>1263</v>
      </c>
      <c r="H326" t="s">
        <v>1264</v>
      </c>
      <c r="J326" t="s">
        <v>45</v>
      </c>
      <c r="M326">
        <v>999</v>
      </c>
    </row>
    <row r="327" spans="1:16" x14ac:dyDescent="0.2">
      <c r="A327" t="str">
        <f ca="1">表_网址[[#This Row],[1级]]&amp;"-"&amp;表_网址[[#This Row],[2级]]&amp;"-"&amp;表_网址[[#This Row],[3级]]&amp;"-"&amp;表_网址[[#This Row],[级内]]</f>
        <v>605-10-10-101</v>
      </c>
      <c r="B327">
        <f>VLOOKUP(表_网址[[#This Row],[首要关键词]],表_首次要关键词[[首要关键词]:[排序]],2,0)</f>
        <v>605</v>
      </c>
      <c r="C327" s="4">
        <f>IF(表_网址[[#This Row],[次要关键词]]="",10,MATCH(表_网址[[#This Row],[次要关键词]],次要关键词,0)+10)</f>
        <v>10</v>
      </c>
      <c r="D327">
        <f ca="1">IF(表_网址[[#This Row],[重点关键词]]="",10,MATCH(表_网址[[#This Row],[重点关键词]],OFFSET(重点关键词!$A$1,MATCH($J327,首要关键词,0)*50-48,MATCH($K327,次要关键词,0),重点关键词数量,1),0)+10)</f>
        <v>10</v>
      </c>
      <c r="E327">
        <f ca="1">IF(AND(表_网址[[#This Row],[1级]]=B326,表_网址[[#This Row],[2级]]=C326,表_网址[[#This Row],[3级]]=D326),E326+1,101)</f>
        <v>101</v>
      </c>
      <c r="F327" t="s">
        <v>1265</v>
      </c>
      <c r="G327" t="s">
        <v>1266</v>
      </c>
      <c r="J327" t="s">
        <v>46</v>
      </c>
      <c r="M327">
        <v>999</v>
      </c>
    </row>
    <row r="328" spans="1:16" x14ac:dyDescent="0.2">
      <c r="A328" t="str">
        <f ca="1">表_网址[[#This Row],[1级]]&amp;"-"&amp;表_网址[[#This Row],[2级]]&amp;"-"&amp;表_网址[[#This Row],[3级]]&amp;"-"&amp;表_网址[[#This Row],[级内]]</f>
        <v>605-11-10-101</v>
      </c>
      <c r="B328">
        <f>VLOOKUP(表_网址[[#This Row],[首要关键词]],表_首次要关键词[[首要关键词]:[排序]],2,0)</f>
        <v>605</v>
      </c>
      <c r="C328" s="4">
        <f ca="1">IF(表_网址[[#This Row],[次要关键词]]="",10,MATCH(表_网址[[#This Row],[次要关键词]],次要关键词,0)+10)</f>
        <v>11</v>
      </c>
      <c r="D328">
        <f ca="1">IF(表_网址[[#This Row],[重点关键词]]="",10,MATCH(表_网址[[#This Row],[重点关键词]],OFFSET(重点关键词!$A$1,MATCH($J328,首要关键词,0)*50-48,MATCH($K328,次要关键词,0),重点关键词数量,1),0)+10)</f>
        <v>10</v>
      </c>
      <c r="E328">
        <f ca="1">IF(AND(表_网址[[#This Row],[1级]]=B327,表_网址[[#This Row],[2级]]=C327,表_网址[[#This Row],[3级]]=D327),E327+1,101)</f>
        <v>101</v>
      </c>
      <c r="F328" t="s">
        <v>1267</v>
      </c>
      <c r="G328" t="s">
        <v>1268</v>
      </c>
      <c r="J328" t="s">
        <v>46</v>
      </c>
      <c r="K328" t="s">
        <v>1269</v>
      </c>
      <c r="M328">
        <v>999</v>
      </c>
    </row>
    <row r="329" spans="1:16" x14ac:dyDescent="0.2">
      <c r="A329" t="str">
        <f ca="1">表_网址[[#This Row],[1级]]&amp;"-"&amp;表_网址[[#This Row],[2级]]&amp;"-"&amp;表_网址[[#This Row],[3级]]&amp;"-"&amp;表_网址[[#This Row],[级内]]</f>
        <v>605-12-10-101</v>
      </c>
      <c r="B329">
        <f>VLOOKUP(表_网址[[#This Row],[首要关键词]],表_首次要关键词[[首要关键词]:[排序]],2,0)</f>
        <v>605</v>
      </c>
      <c r="C329" s="4">
        <f ca="1">IF(表_网址[[#This Row],[次要关键词]]="",10,MATCH(表_网址[[#This Row],[次要关键词]],次要关键词,0)+10)</f>
        <v>12</v>
      </c>
      <c r="D329">
        <f ca="1">IF(表_网址[[#This Row],[重点关键词]]="",10,MATCH(表_网址[[#This Row],[重点关键词]],OFFSET(重点关键词!$A$1,MATCH($J329,首要关键词,0)*50-48,MATCH($K329,次要关键词,0),重点关键词数量,1),0)+10)</f>
        <v>10</v>
      </c>
      <c r="E329">
        <f ca="1">IF(AND(表_网址[[#This Row],[1级]]=B328,表_网址[[#This Row],[2级]]=C328,表_网址[[#This Row],[3级]]=D328),E328+1,101)</f>
        <v>101</v>
      </c>
      <c r="F329" t="s">
        <v>1270</v>
      </c>
      <c r="G329" t="s">
        <v>1271</v>
      </c>
      <c r="H329" t="s">
        <v>1272</v>
      </c>
      <c r="J329" t="s">
        <v>46</v>
      </c>
      <c r="K329" t="s">
        <v>1223</v>
      </c>
      <c r="M329">
        <v>999</v>
      </c>
    </row>
    <row r="330" spans="1:16" x14ac:dyDescent="0.2">
      <c r="A330" t="str">
        <f ca="1">表_网址[[#This Row],[1级]]&amp;"-"&amp;表_网址[[#This Row],[2级]]&amp;"-"&amp;表_网址[[#This Row],[3级]]&amp;"-"&amp;表_网址[[#This Row],[级内]]</f>
        <v>605-13-10-101</v>
      </c>
      <c r="B330">
        <f>VLOOKUP(表_网址[[#This Row],[首要关键词]],表_首次要关键词[[首要关键词]:[排序]],2,0)</f>
        <v>605</v>
      </c>
      <c r="C330" s="4">
        <f ca="1">IF(表_网址[[#This Row],[次要关键词]]="",10,MATCH(表_网址[[#This Row],[次要关键词]],次要关键词,0)+10)</f>
        <v>13</v>
      </c>
      <c r="D330">
        <f ca="1">IF(表_网址[[#This Row],[重点关键词]]="",10,MATCH(表_网址[[#This Row],[重点关键词]],OFFSET(重点关键词!$A$1,MATCH($J330,首要关键词,0)*50-48,MATCH($K330,次要关键词,0),重点关键词数量,1),0)+10)</f>
        <v>10</v>
      </c>
      <c r="E330">
        <f ca="1">IF(AND(表_网址[[#This Row],[1级]]=B329,表_网址[[#This Row],[2级]]=C329,表_网址[[#This Row],[3级]]=D329),E329+1,101)</f>
        <v>101</v>
      </c>
      <c r="F330" t="s">
        <v>1273</v>
      </c>
      <c r="G330" t="s">
        <v>1274</v>
      </c>
      <c r="H330" t="s">
        <v>1275</v>
      </c>
      <c r="J330" t="s">
        <v>46</v>
      </c>
      <c r="K330" t="s">
        <v>1276</v>
      </c>
      <c r="M330">
        <v>999</v>
      </c>
    </row>
    <row r="331" spans="1:16" x14ac:dyDescent="0.2">
      <c r="A331" t="str">
        <f ca="1">表_网址[[#This Row],[1级]]&amp;"-"&amp;表_网址[[#This Row],[2级]]&amp;"-"&amp;表_网址[[#This Row],[3级]]&amp;"-"&amp;表_网址[[#This Row],[级内]]</f>
        <v>801-10-10-101</v>
      </c>
      <c r="B331">
        <f>VLOOKUP(表_网址[[#This Row],[首要关键词]],表_首次要关键词[[首要关键词]:[排序]],2,0)</f>
        <v>801</v>
      </c>
      <c r="C331" s="4">
        <f>IF(表_网址[[#This Row],[次要关键词]]="",10,MATCH(表_网址[[#This Row],[次要关键词]],次要关键词,0)+10)</f>
        <v>10</v>
      </c>
      <c r="D331">
        <f ca="1">IF(表_网址[[#This Row],[重点关键词]]="",10,MATCH(表_网址[[#This Row],[重点关键词]],OFFSET(重点关键词!$A$1,MATCH($J331,首要关键词,0)*50-48,MATCH($K331,次要关键词,0),重点关键词数量,1),0)+10)</f>
        <v>10</v>
      </c>
      <c r="E331">
        <f ca="1">IF(AND(表_网址[[#This Row],[1级]]=B330,表_网址[[#This Row],[2级]]=C330,表_网址[[#This Row],[3级]]=D330),E330+1,101)</f>
        <v>101</v>
      </c>
      <c r="F331" t="s">
        <v>927</v>
      </c>
      <c r="G331" t="s">
        <v>928</v>
      </c>
      <c r="H331" t="s">
        <v>82</v>
      </c>
      <c r="I331" t="s">
        <v>929</v>
      </c>
      <c r="J331" t="s">
        <v>47</v>
      </c>
      <c r="M331">
        <v>999</v>
      </c>
      <c r="N331">
        <v>999</v>
      </c>
      <c r="P331">
        <v>32</v>
      </c>
    </row>
    <row r="332" spans="1:16" x14ac:dyDescent="0.2">
      <c r="A332" t="str">
        <f ca="1">表_网址[[#This Row],[1级]]&amp;"-"&amp;表_网址[[#This Row],[2级]]&amp;"-"&amp;表_网址[[#This Row],[3级]]&amp;"-"&amp;表_网址[[#This Row],[级内]]</f>
        <v>801-10-10-102</v>
      </c>
      <c r="B332">
        <f>VLOOKUP(表_网址[[#This Row],[首要关键词]],表_首次要关键词[[首要关键词]:[排序]],2,0)</f>
        <v>801</v>
      </c>
      <c r="C332" s="4">
        <f>IF(表_网址[[#This Row],[次要关键词]]="",10,MATCH(表_网址[[#This Row],[次要关键词]],次要关键词,0)+10)</f>
        <v>10</v>
      </c>
      <c r="D332">
        <f ca="1">IF(表_网址[[#This Row],[重点关键词]]="",10,MATCH(表_网址[[#This Row],[重点关键词]],OFFSET(重点关键词!$A$1,MATCH($J332,首要关键词,0)*50-48,MATCH($K332,次要关键词,0),重点关键词数量,1),0)+10)</f>
        <v>10</v>
      </c>
      <c r="E332">
        <f ca="1">IF(AND(表_网址[[#This Row],[1级]]=B331,表_网址[[#This Row],[2级]]=C331,表_网址[[#This Row],[3级]]=D331),E331+1,101)</f>
        <v>102</v>
      </c>
      <c r="F332" t="s">
        <v>930</v>
      </c>
      <c r="G332" t="s">
        <v>931</v>
      </c>
      <c r="H332" t="s">
        <v>82</v>
      </c>
      <c r="I332" t="s">
        <v>932</v>
      </c>
      <c r="J332" t="s">
        <v>47</v>
      </c>
      <c r="M332">
        <v>999</v>
      </c>
      <c r="N332">
        <v>999</v>
      </c>
      <c r="P332">
        <v>64</v>
      </c>
    </row>
    <row r="333" spans="1:16" x14ac:dyDescent="0.2">
      <c r="A333" t="str">
        <f ca="1">表_网址[[#This Row],[1级]]&amp;"-"&amp;表_网址[[#This Row],[2级]]&amp;"-"&amp;表_网址[[#This Row],[3级]]&amp;"-"&amp;表_网址[[#This Row],[级内]]</f>
        <v>801-10-10-103</v>
      </c>
      <c r="B333">
        <f>VLOOKUP(表_网址[[#This Row],[首要关键词]],表_首次要关键词[[首要关键词]:[排序]],2,0)</f>
        <v>801</v>
      </c>
      <c r="C333" s="4">
        <f>IF(表_网址[[#This Row],[次要关键词]]="",10,MATCH(表_网址[[#This Row],[次要关键词]],次要关键词,0)+10)</f>
        <v>10</v>
      </c>
      <c r="D333">
        <f ca="1">IF(表_网址[[#This Row],[重点关键词]]="",10,MATCH(表_网址[[#This Row],[重点关键词]],OFFSET(重点关键词!$A$1,MATCH($J333,首要关键词,0)*50-48,MATCH($K333,次要关键词,0),重点关键词数量,1),0)+10)</f>
        <v>10</v>
      </c>
      <c r="E333">
        <f ca="1">IF(AND(表_网址[[#This Row],[1级]]=B332,表_网址[[#This Row],[2级]]=C332,表_网址[[#This Row],[3级]]=D332),E332+1,101)</f>
        <v>103</v>
      </c>
      <c r="F333" t="s">
        <v>924</v>
      </c>
      <c r="G333" t="s">
        <v>925</v>
      </c>
      <c r="H333" t="s">
        <v>82</v>
      </c>
      <c r="I333" t="s">
        <v>926</v>
      </c>
      <c r="J333" t="s">
        <v>47</v>
      </c>
      <c r="M333">
        <v>999</v>
      </c>
      <c r="N333">
        <v>999</v>
      </c>
      <c r="P333">
        <v>32</v>
      </c>
    </row>
    <row r="334" spans="1:16" x14ac:dyDescent="0.2">
      <c r="A334" t="str">
        <f ca="1">表_网址[[#This Row],[1级]]&amp;"-"&amp;表_网址[[#This Row],[2级]]&amp;"-"&amp;表_网址[[#This Row],[3级]]&amp;"-"&amp;表_网址[[#This Row],[级内]]</f>
        <v>801-10-10-104</v>
      </c>
      <c r="B334">
        <f>VLOOKUP(表_网址[[#This Row],[首要关键词]],表_首次要关键词[[首要关键词]:[排序]],2,0)</f>
        <v>801</v>
      </c>
      <c r="C334" s="4">
        <f>IF(表_网址[[#This Row],[次要关键词]]="",10,MATCH(表_网址[[#This Row],[次要关键词]],次要关键词,0)+10)</f>
        <v>10</v>
      </c>
      <c r="D334">
        <f ca="1">IF(表_网址[[#This Row],[重点关键词]]="",10,MATCH(表_网址[[#This Row],[重点关键词]],OFFSET(重点关键词!$A$1,MATCH($J334,首要关键词,0)*50-48,MATCH($K334,次要关键词,0),重点关键词数量,1),0)+10)</f>
        <v>10</v>
      </c>
      <c r="E334">
        <f ca="1">IF(AND(表_网址[[#This Row],[1级]]=B333,表_网址[[#This Row],[2级]]=C333,表_网址[[#This Row],[3级]]=D333),E333+1,101)</f>
        <v>104</v>
      </c>
      <c r="F334" t="s">
        <v>596</v>
      </c>
      <c r="G334" t="s">
        <v>597</v>
      </c>
      <c r="H334" t="s">
        <v>82</v>
      </c>
      <c r="I334" t="s">
        <v>598</v>
      </c>
      <c r="J334" t="s">
        <v>47</v>
      </c>
      <c r="M334">
        <v>999</v>
      </c>
      <c r="N334">
        <v>999</v>
      </c>
      <c r="P334">
        <v>32</v>
      </c>
    </row>
    <row r="335" spans="1:16" x14ac:dyDescent="0.2">
      <c r="A335" t="str">
        <f ca="1">表_网址[[#This Row],[1级]]&amp;"-"&amp;表_网址[[#This Row],[2级]]&amp;"-"&amp;表_网址[[#This Row],[3级]]&amp;"-"&amp;表_网址[[#This Row],[级内]]</f>
        <v>801-10-10-105</v>
      </c>
      <c r="B335">
        <f>VLOOKUP(表_网址[[#This Row],[首要关键词]],表_首次要关键词[[首要关键词]:[排序]],2,0)</f>
        <v>801</v>
      </c>
      <c r="C335" s="4">
        <f>IF(表_网址[[#This Row],[次要关键词]]="",10,MATCH(表_网址[[#This Row],[次要关键词]],次要关键词,0)+10)</f>
        <v>10</v>
      </c>
      <c r="D335">
        <f ca="1">IF(表_网址[[#This Row],[重点关键词]]="",10,MATCH(表_网址[[#This Row],[重点关键词]],OFFSET(重点关键词!$A$1,MATCH($J335,首要关键词,0)*50-48,MATCH($K335,次要关键词,0),重点关键词数量,1),0)+10)</f>
        <v>10</v>
      </c>
      <c r="E335">
        <f ca="1">IF(AND(表_网址[[#This Row],[1级]]=B334,表_网址[[#This Row],[2级]]=C334,表_网址[[#This Row],[3级]]=D334),E334+1,101)</f>
        <v>105</v>
      </c>
      <c r="F335" t="s">
        <v>933</v>
      </c>
      <c r="G335" t="s">
        <v>934</v>
      </c>
      <c r="H335" t="s">
        <v>82</v>
      </c>
      <c r="I335" t="s">
        <v>935</v>
      </c>
      <c r="J335" t="s">
        <v>47</v>
      </c>
      <c r="M335">
        <v>999</v>
      </c>
      <c r="N335">
        <v>999</v>
      </c>
      <c r="P335">
        <v>32</v>
      </c>
    </row>
    <row r="336" spans="1:16" x14ac:dyDescent="0.2">
      <c r="A336" t="str">
        <f ca="1">表_网址[[#This Row],[1级]]&amp;"-"&amp;表_网址[[#This Row],[2级]]&amp;"-"&amp;表_网址[[#This Row],[3级]]&amp;"-"&amp;表_网址[[#This Row],[级内]]</f>
        <v>801-10-10-106</v>
      </c>
      <c r="B336">
        <f>VLOOKUP(表_网址[[#This Row],[首要关键词]],表_首次要关键词[[首要关键词]:[排序]],2,0)</f>
        <v>801</v>
      </c>
      <c r="C336" s="4">
        <f>IF(表_网址[[#This Row],[次要关键词]]="",10,MATCH(表_网址[[#This Row],[次要关键词]],次要关键词,0)+10)</f>
        <v>10</v>
      </c>
      <c r="D336">
        <f ca="1">IF(表_网址[[#This Row],[重点关键词]]="",10,MATCH(表_网址[[#This Row],[重点关键词]],OFFSET(重点关键词!$A$1,MATCH($J336,首要关键词,0)*50-48,MATCH($K336,次要关键词,0),重点关键词数量,1),0)+10)</f>
        <v>10</v>
      </c>
      <c r="E336">
        <f ca="1">IF(AND(表_网址[[#This Row],[1级]]=B335,表_网址[[#This Row],[2级]]=C335,表_网址[[#This Row],[3级]]=D335),E335+1,101)</f>
        <v>106</v>
      </c>
      <c r="F336" t="s">
        <v>857</v>
      </c>
      <c r="G336" t="s">
        <v>858</v>
      </c>
      <c r="H336" t="s">
        <v>82</v>
      </c>
      <c r="I336" t="s">
        <v>859</v>
      </c>
      <c r="J336" t="s">
        <v>47</v>
      </c>
      <c r="M336">
        <v>999</v>
      </c>
      <c r="N336">
        <v>999</v>
      </c>
      <c r="P336">
        <v>256</v>
      </c>
    </row>
    <row r="337" spans="1:18" x14ac:dyDescent="0.2">
      <c r="A337" t="str">
        <f ca="1">表_网址[[#This Row],[1级]]&amp;"-"&amp;表_网址[[#This Row],[2级]]&amp;"-"&amp;表_网址[[#This Row],[3级]]&amp;"-"&amp;表_网址[[#This Row],[级内]]</f>
        <v>802-10-10-101</v>
      </c>
      <c r="B337">
        <f>VLOOKUP(表_网址[[#This Row],[首要关键词]],表_首次要关键词[[首要关键词]:[排序]],2,0)</f>
        <v>802</v>
      </c>
      <c r="C337" s="4">
        <f>IF(表_网址[[#This Row],[次要关键词]]="",10,MATCH(表_网址[[#This Row],[次要关键词]],次要关键词,0)+10)</f>
        <v>10</v>
      </c>
      <c r="D337">
        <f ca="1">IF(表_网址[[#This Row],[重点关键词]]="",10,MATCH(表_网址[[#This Row],[重点关键词]],OFFSET(重点关键词!$A$1,MATCH($J337,首要关键词,0)*50-48,MATCH($K337,次要关键词,0),重点关键词数量,1),0)+10)</f>
        <v>10</v>
      </c>
      <c r="E337">
        <f ca="1">IF(AND(表_网址[[#This Row],[1级]]=B336,表_网址[[#This Row],[2级]]=C336,表_网址[[#This Row],[3级]]=D336),E336+1,101)</f>
        <v>101</v>
      </c>
      <c r="F337" t="s">
        <v>936</v>
      </c>
      <c r="G337" t="s">
        <v>937</v>
      </c>
      <c r="H337" t="s">
        <v>82</v>
      </c>
      <c r="I337" t="s">
        <v>938</v>
      </c>
      <c r="J337" t="s">
        <v>48</v>
      </c>
      <c r="M337">
        <v>999</v>
      </c>
      <c r="N337">
        <v>999</v>
      </c>
      <c r="P337">
        <v>32</v>
      </c>
    </row>
    <row r="338" spans="1:18" x14ac:dyDescent="0.2">
      <c r="A338" t="str">
        <f ca="1">表_网址[[#This Row],[1级]]&amp;"-"&amp;表_网址[[#This Row],[2级]]&amp;"-"&amp;表_网址[[#This Row],[3级]]&amp;"-"&amp;表_网址[[#This Row],[级内]]</f>
        <v>802-10-10-102</v>
      </c>
      <c r="B338">
        <f>VLOOKUP(表_网址[[#This Row],[首要关键词]],表_首次要关键词[[首要关键词]:[排序]],2,0)</f>
        <v>802</v>
      </c>
      <c r="C338" s="4">
        <f>IF(表_网址[[#This Row],[次要关键词]]="",10,MATCH(表_网址[[#This Row],[次要关键词]],次要关键词,0)+10)</f>
        <v>10</v>
      </c>
      <c r="D338">
        <f ca="1">IF(表_网址[[#This Row],[重点关键词]]="",10,MATCH(表_网址[[#This Row],[重点关键词]],OFFSET(重点关键词!$A$1,MATCH($J338,首要关键词,0)*50-48,MATCH($K338,次要关键词,0),重点关键词数量,1),0)+10)</f>
        <v>10</v>
      </c>
      <c r="E338">
        <f ca="1">IF(AND(表_网址[[#This Row],[1级]]=B337,表_网址[[#This Row],[2级]]=C337,表_网址[[#This Row],[3级]]=D337),E337+1,101)</f>
        <v>102</v>
      </c>
      <c r="F338" t="s">
        <v>939</v>
      </c>
      <c r="G338" t="s">
        <v>940</v>
      </c>
      <c r="H338" t="s">
        <v>82</v>
      </c>
      <c r="I338" t="s">
        <v>941</v>
      </c>
      <c r="J338" t="s">
        <v>48</v>
      </c>
      <c r="M338">
        <v>999</v>
      </c>
      <c r="N338">
        <v>999</v>
      </c>
      <c r="P338">
        <v>64</v>
      </c>
    </row>
    <row r="339" spans="1:18" x14ac:dyDescent="0.2">
      <c r="A339" t="str">
        <f ca="1">表_网址[[#This Row],[1级]]&amp;"-"&amp;表_网址[[#This Row],[2级]]&amp;"-"&amp;表_网址[[#This Row],[3级]]&amp;"-"&amp;表_网址[[#This Row],[级内]]</f>
        <v>802-10-10-103</v>
      </c>
      <c r="B339">
        <f>VLOOKUP(表_网址[[#This Row],[首要关键词]],表_首次要关键词[[首要关键词]:[排序]],2,0)</f>
        <v>802</v>
      </c>
      <c r="C339" s="4">
        <f>IF(表_网址[[#This Row],[次要关键词]]="",10,MATCH(表_网址[[#This Row],[次要关键词]],次要关键词,0)+10)</f>
        <v>10</v>
      </c>
      <c r="D339">
        <f ca="1">IF(表_网址[[#This Row],[重点关键词]]="",10,MATCH(表_网址[[#This Row],[重点关键词]],OFFSET(重点关键词!$A$1,MATCH($J339,首要关键词,0)*50-48,MATCH($K339,次要关键词,0),重点关键词数量,1),0)+10)</f>
        <v>10</v>
      </c>
      <c r="E339">
        <f ca="1">IF(AND(表_网址[[#This Row],[1级]]=B338,表_网址[[#This Row],[2级]]=C338,表_网址[[#This Row],[3级]]=D338),E338+1,101)</f>
        <v>103</v>
      </c>
      <c r="F339" t="s">
        <v>593</v>
      </c>
      <c r="G339" t="s">
        <v>594</v>
      </c>
      <c r="H339" t="s">
        <v>82</v>
      </c>
      <c r="I339" t="s">
        <v>595</v>
      </c>
      <c r="J339" t="s">
        <v>48</v>
      </c>
      <c r="M339">
        <v>999</v>
      </c>
      <c r="N339">
        <v>999</v>
      </c>
      <c r="P339">
        <v>64</v>
      </c>
    </row>
    <row r="340" spans="1:18" x14ac:dyDescent="0.2">
      <c r="A340" t="str">
        <f ca="1">表_网址[[#This Row],[1级]]&amp;"-"&amp;表_网址[[#This Row],[2级]]&amp;"-"&amp;表_网址[[#This Row],[3级]]&amp;"-"&amp;表_网址[[#This Row],[级内]]</f>
        <v>802-10-10-104</v>
      </c>
      <c r="B340">
        <f>VLOOKUP(表_网址[[#This Row],[首要关键词]],表_首次要关键词[[首要关键词]:[排序]],2,0)</f>
        <v>802</v>
      </c>
      <c r="C340" s="4">
        <f>IF(表_网址[[#This Row],[次要关键词]]="",10,MATCH(表_网址[[#This Row],[次要关键词]],次要关键词,0)+10)</f>
        <v>10</v>
      </c>
      <c r="D340">
        <f ca="1">IF(表_网址[[#This Row],[重点关键词]]="",10,MATCH(表_网址[[#This Row],[重点关键词]],OFFSET(重点关键词!$A$1,MATCH($J340,首要关键词,0)*50-48,MATCH($K340,次要关键词,0),重点关键词数量,1),0)+10)</f>
        <v>10</v>
      </c>
      <c r="E340">
        <f ca="1">IF(AND(表_网址[[#This Row],[1级]]=B339,表_网址[[#This Row],[2级]]=C339,表_网址[[#This Row],[3级]]=D339),E339+1,101)</f>
        <v>104</v>
      </c>
      <c r="F340" t="s">
        <v>942</v>
      </c>
      <c r="G340" t="s">
        <v>943</v>
      </c>
      <c r="H340" t="s">
        <v>82</v>
      </c>
      <c r="I340" t="s">
        <v>595</v>
      </c>
      <c r="J340" t="s">
        <v>48</v>
      </c>
      <c r="M340">
        <v>999</v>
      </c>
      <c r="N340">
        <v>999</v>
      </c>
      <c r="P340">
        <v>64</v>
      </c>
    </row>
    <row r="341" spans="1:18" x14ac:dyDescent="0.2">
      <c r="A341" t="str">
        <f ca="1">表_网址[[#This Row],[1级]]&amp;"-"&amp;表_网址[[#This Row],[2级]]&amp;"-"&amp;表_网址[[#This Row],[3级]]&amp;"-"&amp;表_网址[[#This Row],[级内]]</f>
        <v>802-10-10-105</v>
      </c>
      <c r="B341">
        <f>VLOOKUP(表_网址[[#This Row],[首要关键词]],表_首次要关键词[[首要关键词]:[排序]],2,0)</f>
        <v>802</v>
      </c>
      <c r="C341" s="4">
        <f>IF(表_网址[[#This Row],[次要关键词]]="",10,MATCH(表_网址[[#This Row],[次要关键词]],次要关键词,0)+10)</f>
        <v>10</v>
      </c>
      <c r="D341">
        <f ca="1">IF(表_网址[[#This Row],[重点关键词]]="",10,MATCH(表_网址[[#This Row],[重点关键词]],OFFSET(重点关键词!$A$1,MATCH($J341,首要关键词,0)*50-48,MATCH($K341,次要关键词,0),重点关键词数量,1),0)+10)</f>
        <v>10</v>
      </c>
      <c r="E341">
        <f ca="1">IF(AND(表_网址[[#This Row],[1级]]=B340,表_网址[[#This Row],[2级]]=C340,表_网址[[#This Row],[3级]]=D340),E340+1,101)</f>
        <v>105</v>
      </c>
      <c r="F341" t="s">
        <v>944</v>
      </c>
      <c r="G341" t="s">
        <v>945</v>
      </c>
      <c r="H341" t="s">
        <v>82</v>
      </c>
      <c r="I341" t="s">
        <v>946</v>
      </c>
      <c r="J341" t="s">
        <v>48</v>
      </c>
      <c r="M341">
        <v>999</v>
      </c>
      <c r="N341">
        <v>999</v>
      </c>
      <c r="P341">
        <v>32</v>
      </c>
    </row>
    <row r="342" spans="1:18" x14ac:dyDescent="0.2">
      <c r="A342" t="str">
        <f ca="1">表_网址[[#This Row],[1级]]&amp;"-"&amp;表_网址[[#This Row],[2级]]&amp;"-"&amp;表_网址[[#This Row],[3级]]&amp;"-"&amp;表_网址[[#This Row],[级内]]</f>
        <v>802-10-10-106</v>
      </c>
      <c r="B342">
        <f>VLOOKUP(表_网址[[#This Row],[首要关键词]],表_首次要关键词[[首要关键词]:[排序]],2,0)</f>
        <v>802</v>
      </c>
      <c r="C342" s="4">
        <f>IF(表_网址[[#This Row],[次要关键词]]="",10,MATCH(表_网址[[#This Row],[次要关键词]],次要关键词,0)+10)</f>
        <v>10</v>
      </c>
      <c r="D342">
        <f ca="1">IF(表_网址[[#This Row],[重点关键词]]="",10,MATCH(表_网址[[#This Row],[重点关键词]],OFFSET(重点关键词!$A$1,MATCH($J342,首要关键词,0)*50-48,MATCH($K342,次要关键词,0),重点关键词数量,1),0)+10)</f>
        <v>10</v>
      </c>
      <c r="E342">
        <f ca="1">IF(AND(表_网址[[#This Row],[1级]]=B341,表_网址[[#This Row],[2级]]=C341,表_网址[[#This Row],[3级]]=D341),E341+1,101)</f>
        <v>106</v>
      </c>
      <c r="F342" t="s">
        <v>939</v>
      </c>
      <c r="G342" t="s">
        <v>940</v>
      </c>
      <c r="H342" t="s">
        <v>82</v>
      </c>
      <c r="I342" t="s">
        <v>941</v>
      </c>
      <c r="J342" t="s">
        <v>48</v>
      </c>
      <c r="M342">
        <v>999</v>
      </c>
      <c r="N342">
        <v>999</v>
      </c>
      <c r="P342">
        <v>64</v>
      </c>
    </row>
    <row r="343" spans="1:18" x14ac:dyDescent="0.2">
      <c r="A343" t="str">
        <f ca="1">表_网址[[#This Row],[1级]]&amp;"-"&amp;表_网址[[#This Row],[2级]]&amp;"-"&amp;表_网址[[#This Row],[3级]]&amp;"-"&amp;表_网址[[#This Row],[级内]]</f>
        <v>802-10-10-107</v>
      </c>
      <c r="B343">
        <f>VLOOKUP(表_网址[[#This Row],[首要关键词]],表_首次要关键词[[首要关键词]:[排序]],2,0)</f>
        <v>802</v>
      </c>
      <c r="C343" s="4">
        <f>IF(表_网址[[#This Row],[次要关键词]]="",10,MATCH(表_网址[[#This Row],[次要关键词]],次要关键词,0)+10)</f>
        <v>10</v>
      </c>
      <c r="D343">
        <f ca="1">IF(表_网址[[#This Row],[重点关键词]]="",10,MATCH(表_网址[[#This Row],[重点关键词]],OFFSET(重点关键词!$A$1,MATCH($J343,首要关键词,0)*50-48,MATCH($K343,次要关键词,0),重点关键词数量,1),0)+10)</f>
        <v>10</v>
      </c>
      <c r="E343">
        <f ca="1">IF(AND(表_网址[[#This Row],[1级]]=B342,表_网址[[#This Row],[2级]]=C342,表_网址[[#This Row],[3级]]=D342),E342+1,101)</f>
        <v>107</v>
      </c>
      <c r="F343" t="s">
        <v>947</v>
      </c>
      <c r="G343" t="s">
        <v>948</v>
      </c>
      <c r="I343" t="s">
        <v>949</v>
      </c>
      <c r="J343" t="s">
        <v>48</v>
      </c>
      <c r="M343">
        <v>999</v>
      </c>
      <c r="N343">
        <v>999</v>
      </c>
      <c r="P343">
        <v>64</v>
      </c>
    </row>
    <row r="344" spans="1:18" x14ac:dyDescent="0.2">
      <c r="A344" t="str">
        <f ca="1">表_网址[[#This Row],[1级]]&amp;"-"&amp;表_网址[[#This Row],[2级]]&amp;"-"&amp;表_网址[[#This Row],[3级]]&amp;"-"&amp;表_网址[[#This Row],[级内]]</f>
        <v>802-10-10-108</v>
      </c>
      <c r="B344">
        <f>VLOOKUP(表_网址[[#This Row],[首要关键词]],表_首次要关键词[[首要关键词]:[排序]],2,0)</f>
        <v>802</v>
      </c>
      <c r="C344" s="4">
        <f>IF(表_网址[[#This Row],[次要关键词]]="",10,MATCH(表_网址[[#This Row],[次要关键词]],次要关键词,0)+10)</f>
        <v>10</v>
      </c>
      <c r="D344">
        <f ca="1">IF(表_网址[[#This Row],[重点关键词]]="",10,MATCH(表_网址[[#This Row],[重点关键词]],OFFSET(重点关键词!$A$1,MATCH($J344,首要关键词,0)*50-48,MATCH($K344,次要关键词,0),重点关键词数量,1),0)+10)</f>
        <v>10</v>
      </c>
      <c r="E344">
        <f ca="1">IF(AND(表_网址[[#This Row],[1级]]=B343,表_网址[[#This Row],[2级]]=C343,表_网址[[#This Row],[3级]]=D343),E343+1,101)</f>
        <v>108</v>
      </c>
      <c r="F344" t="s">
        <v>950</v>
      </c>
      <c r="G344" t="s">
        <v>951</v>
      </c>
      <c r="I344" t="s">
        <v>952</v>
      </c>
      <c r="J344" t="s">
        <v>48</v>
      </c>
      <c r="M344">
        <v>999</v>
      </c>
      <c r="N344">
        <v>999</v>
      </c>
      <c r="P344">
        <v>64</v>
      </c>
    </row>
    <row r="345" spans="1:18" x14ac:dyDescent="0.2">
      <c r="A345" t="str">
        <f ca="1">表_网址[[#This Row],[1级]]&amp;"-"&amp;表_网址[[#This Row],[2级]]&amp;"-"&amp;表_网址[[#This Row],[3级]]&amp;"-"&amp;表_网址[[#This Row],[级内]]</f>
        <v>803-10-10-101</v>
      </c>
      <c r="B345">
        <f>VLOOKUP(表_网址[[#This Row],[首要关键词]],表_首次要关键词[[首要关键词]:[排序]],2,0)</f>
        <v>803</v>
      </c>
      <c r="C345" s="4">
        <f>IF(表_网址[[#This Row],[次要关键词]]="",10,MATCH(表_网址[[#This Row],[次要关键词]],次要关键词,0)+10)</f>
        <v>10</v>
      </c>
      <c r="D345">
        <f ca="1">IF(表_网址[[#This Row],[重点关键词]]="",10,MATCH(表_网址[[#This Row],[重点关键词]],OFFSET(重点关键词!$A$1,MATCH($J345,首要关键词,0)*50-48,MATCH($K345,次要关键词,0),重点关键词数量,1),0)+10)</f>
        <v>10</v>
      </c>
      <c r="E345">
        <f ca="1">IF(AND(表_网址[[#This Row],[1级]]=B344,表_网址[[#This Row],[2级]]=C344,表_网址[[#This Row],[3级]]=D344),E344+1,101)</f>
        <v>101</v>
      </c>
      <c r="F345" t="s">
        <v>1305</v>
      </c>
      <c r="G345" t="s">
        <v>1306</v>
      </c>
      <c r="I345" t="s">
        <v>1307</v>
      </c>
      <c r="J345" t="s">
        <v>49</v>
      </c>
      <c r="M345">
        <v>999</v>
      </c>
      <c r="N345">
        <v>999</v>
      </c>
      <c r="P345">
        <v>16</v>
      </c>
    </row>
    <row r="346" spans="1:18" x14ac:dyDescent="0.2">
      <c r="A346" t="str">
        <f ca="1">表_网址[[#This Row],[1级]]&amp;"-"&amp;表_网址[[#This Row],[2级]]&amp;"-"&amp;表_网址[[#This Row],[3级]]&amp;"-"&amp;表_网址[[#This Row],[级内]]</f>
        <v>900-10-10-101</v>
      </c>
      <c r="B346">
        <f>VLOOKUP(表_网址[[#This Row],[首要关键词]],表_首次要关键词[[首要关键词]:[排序]],2,0)</f>
        <v>900</v>
      </c>
      <c r="C346" s="4">
        <f>IF(表_网址[[#This Row],[次要关键词]]="",10,MATCH(表_网址[[#This Row],[次要关键词]],次要关键词,0)+10)</f>
        <v>10</v>
      </c>
      <c r="D346">
        <f ca="1">IF(表_网址[[#This Row],[重点关键词]]="",10,MATCH(表_网址[[#This Row],[重点关键词]],OFFSET(重点关键词!$A$1,MATCH($J346,首要关键词,0)*50-48,MATCH($K346,次要关键词,0),重点关键词数量,1),0)+10)</f>
        <v>10</v>
      </c>
      <c r="E346">
        <f ca="1">IF(AND(表_网址[[#This Row],[1级]]=B345,表_网址[[#This Row],[2级]]=C345,表_网址[[#This Row],[3级]]=D345),E345+1,101)</f>
        <v>101</v>
      </c>
      <c r="F346" t="s">
        <v>638</v>
      </c>
      <c r="G346" t="s">
        <v>639</v>
      </c>
      <c r="H346" t="s">
        <v>82</v>
      </c>
      <c r="I346" t="s">
        <v>640</v>
      </c>
      <c r="J346" t="s">
        <v>50</v>
      </c>
      <c r="M346">
        <v>999</v>
      </c>
      <c r="N346">
        <v>999</v>
      </c>
      <c r="P346" t="s">
        <v>641</v>
      </c>
    </row>
    <row r="347" spans="1:18" x14ac:dyDescent="0.2">
      <c r="A347" t="str">
        <f ca="1">表_网址[[#This Row],[1级]]&amp;"-"&amp;表_网址[[#This Row],[2级]]&amp;"-"&amp;表_网址[[#This Row],[3级]]&amp;"-"&amp;表_网址[[#This Row],[级内]]</f>
        <v>900-10-10-102</v>
      </c>
      <c r="B347">
        <f>VLOOKUP(表_网址[[#This Row],[首要关键词]],表_首次要关键词[[首要关键词]:[排序]],2,0)</f>
        <v>900</v>
      </c>
      <c r="C347" s="4">
        <f>IF(表_网址[[#This Row],[次要关键词]]="",10,MATCH(表_网址[[#This Row],[次要关键词]],次要关键词,0)+10)</f>
        <v>10</v>
      </c>
      <c r="D347">
        <f ca="1">IF(表_网址[[#This Row],[重点关键词]]="",10,MATCH(表_网址[[#This Row],[重点关键词]],OFFSET(重点关键词!$A$1,MATCH($J347,首要关键词,0)*50-48,MATCH($K347,次要关键词,0),重点关键词数量,1),0)+10)</f>
        <v>10</v>
      </c>
      <c r="E347">
        <f ca="1">IF(AND(表_网址[[#This Row],[1级]]=B346,表_网址[[#This Row],[2级]]=C346,表_网址[[#This Row],[3级]]=D346),E346+1,101)</f>
        <v>102</v>
      </c>
      <c r="F347" t="s">
        <v>642</v>
      </c>
      <c r="G347" t="s">
        <v>643</v>
      </c>
      <c r="H347" t="s">
        <v>82</v>
      </c>
      <c r="I347" t="s">
        <v>644</v>
      </c>
      <c r="J347" t="s">
        <v>50</v>
      </c>
      <c r="M347">
        <v>999</v>
      </c>
      <c r="N347">
        <v>999</v>
      </c>
      <c r="P347">
        <v>16</v>
      </c>
      <c r="Q347" t="s">
        <v>557</v>
      </c>
      <c r="R347" t="s">
        <v>558</v>
      </c>
    </row>
    <row r="348" spans="1:18" x14ac:dyDescent="0.2">
      <c r="A348" t="str">
        <f ca="1">表_网址[[#This Row],[1级]]&amp;"-"&amp;表_网址[[#This Row],[2级]]&amp;"-"&amp;表_网址[[#This Row],[3级]]&amp;"-"&amp;表_网址[[#This Row],[级内]]</f>
        <v>900-10-10-103</v>
      </c>
      <c r="B348">
        <f>VLOOKUP(表_网址[[#This Row],[首要关键词]],表_首次要关键词[[首要关键词]:[排序]],2,0)</f>
        <v>900</v>
      </c>
      <c r="C348" s="4">
        <f>IF(表_网址[[#This Row],[次要关键词]]="",10,MATCH(表_网址[[#This Row],[次要关键词]],次要关键词,0)+10)</f>
        <v>10</v>
      </c>
      <c r="D348">
        <f ca="1">IF(表_网址[[#This Row],[重点关键词]]="",10,MATCH(表_网址[[#This Row],[重点关键词]],OFFSET(重点关键词!$A$1,MATCH($J348,首要关键词,0)*50-48,MATCH($K348,次要关键词,0),重点关键词数量,1),0)+10)</f>
        <v>10</v>
      </c>
      <c r="E348">
        <f ca="1">IF(AND(表_网址[[#This Row],[1级]]=B347,表_网址[[#This Row],[2级]]=C347,表_网址[[#This Row],[3级]]=D347),E347+1,101)</f>
        <v>103</v>
      </c>
      <c r="F348" t="s">
        <v>645</v>
      </c>
      <c r="G348" t="s">
        <v>646</v>
      </c>
      <c r="H348" t="s">
        <v>82</v>
      </c>
      <c r="I348" t="s">
        <v>647</v>
      </c>
      <c r="J348" t="s">
        <v>50</v>
      </c>
      <c r="M348">
        <v>999</v>
      </c>
      <c r="N348">
        <v>999</v>
      </c>
      <c r="P348">
        <v>48</v>
      </c>
      <c r="Q348" t="s">
        <v>557</v>
      </c>
      <c r="R348" t="s">
        <v>558</v>
      </c>
    </row>
    <row r="349" spans="1:18" x14ac:dyDescent="0.2">
      <c r="A349" t="str">
        <f ca="1">表_网址[[#This Row],[1级]]&amp;"-"&amp;表_网址[[#This Row],[2级]]&amp;"-"&amp;表_网址[[#This Row],[3级]]&amp;"-"&amp;表_网址[[#This Row],[级内]]</f>
        <v>900-10-10-104</v>
      </c>
      <c r="B349">
        <f>VLOOKUP(表_网址[[#This Row],[首要关键词]],表_首次要关键词[[首要关键词]:[排序]],2,0)</f>
        <v>900</v>
      </c>
      <c r="C349" s="4">
        <f>IF(表_网址[[#This Row],[次要关键词]]="",10,MATCH(表_网址[[#This Row],[次要关键词]],次要关键词,0)+10)</f>
        <v>10</v>
      </c>
      <c r="D349">
        <f ca="1">IF(表_网址[[#This Row],[重点关键词]]="",10,MATCH(表_网址[[#This Row],[重点关键词]],OFFSET(重点关键词!$A$1,MATCH($J349,首要关键词,0)*50-48,MATCH($K349,次要关键词,0),重点关键词数量,1),0)+10)</f>
        <v>10</v>
      </c>
      <c r="E349">
        <f ca="1">IF(AND(表_网址[[#This Row],[1级]]=B348,表_网址[[#This Row],[2级]]=C348,表_网址[[#This Row],[3级]]=D348),E348+1,101)</f>
        <v>104</v>
      </c>
      <c r="F349" t="s">
        <v>648</v>
      </c>
      <c r="G349" t="s">
        <v>649</v>
      </c>
      <c r="H349" t="s">
        <v>82</v>
      </c>
      <c r="I349" t="s">
        <v>650</v>
      </c>
      <c r="J349" t="s">
        <v>50</v>
      </c>
      <c r="M349">
        <v>999</v>
      </c>
      <c r="N349">
        <v>999</v>
      </c>
      <c r="P349">
        <v>16</v>
      </c>
      <c r="Q349" t="s">
        <v>557</v>
      </c>
      <c r="R349" t="s">
        <v>558</v>
      </c>
    </row>
    <row r="350" spans="1:18" x14ac:dyDescent="0.2">
      <c r="A350" t="str">
        <f ca="1">表_网址[[#This Row],[1级]]&amp;"-"&amp;表_网址[[#This Row],[2级]]&amp;"-"&amp;表_网址[[#This Row],[3级]]&amp;"-"&amp;表_网址[[#This Row],[级内]]</f>
        <v>900-10-10-105</v>
      </c>
      <c r="B350">
        <f>VLOOKUP(表_网址[[#This Row],[首要关键词]],表_首次要关键词[[首要关键词]:[排序]],2,0)</f>
        <v>900</v>
      </c>
      <c r="C350" s="4">
        <f>IF(表_网址[[#This Row],[次要关键词]]="",10,MATCH(表_网址[[#This Row],[次要关键词]],次要关键词,0)+10)</f>
        <v>10</v>
      </c>
      <c r="D350">
        <f ca="1">IF(表_网址[[#This Row],[重点关键词]]="",10,MATCH(表_网址[[#This Row],[重点关键词]],OFFSET(重点关键词!$A$1,MATCH($J350,首要关键词,0)*50-48,MATCH($K350,次要关键词,0),重点关键词数量,1),0)+10)</f>
        <v>10</v>
      </c>
      <c r="E350">
        <f ca="1">IF(AND(表_网址[[#This Row],[1级]]=B349,表_网址[[#This Row],[2级]]=C349,表_网址[[#This Row],[3级]]=D349),E349+1,101)</f>
        <v>105</v>
      </c>
      <c r="F350" t="s">
        <v>651</v>
      </c>
      <c r="G350" t="s">
        <v>652</v>
      </c>
      <c r="H350" t="s">
        <v>82</v>
      </c>
      <c r="I350" t="s">
        <v>653</v>
      </c>
      <c r="J350" t="s">
        <v>50</v>
      </c>
      <c r="M350">
        <v>999</v>
      </c>
      <c r="N350">
        <v>999</v>
      </c>
      <c r="P350">
        <v>48</v>
      </c>
      <c r="Q350" t="s">
        <v>557</v>
      </c>
      <c r="R350" t="s">
        <v>558</v>
      </c>
    </row>
    <row r="351" spans="1:18" x14ac:dyDescent="0.2">
      <c r="A351" t="str">
        <f ca="1">表_网址[[#This Row],[1级]]&amp;"-"&amp;表_网址[[#This Row],[2级]]&amp;"-"&amp;表_网址[[#This Row],[3级]]&amp;"-"&amp;表_网址[[#This Row],[级内]]</f>
        <v>900-10-10-106</v>
      </c>
      <c r="B351">
        <f>VLOOKUP(表_网址[[#This Row],[首要关键词]],表_首次要关键词[[首要关键词]:[排序]],2,0)</f>
        <v>900</v>
      </c>
      <c r="C351" s="4">
        <f>IF(表_网址[[#This Row],[次要关键词]]="",10,MATCH(表_网址[[#This Row],[次要关键词]],次要关键词,0)+10)</f>
        <v>10</v>
      </c>
      <c r="D351">
        <f ca="1">IF(表_网址[[#This Row],[重点关键词]]="",10,MATCH(表_网址[[#This Row],[重点关键词]],OFFSET(重点关键词!$A$1,MATCH($J351,首要关键词,0)*50-48,MATCH($K351,次要关键词,0),重点关键词数量,1),0)+10)</f>
        <v>10</v>
      </c>
      <c r="E351">
        <f ca="1">IF(AND(表_网址[[#This Row],[1级]]=B350,表_网址[[#This Row],[2级]]=C350,表_网址[[#This Row],[3级]]=D350),E350+1,101)</f>
        <v>106</v>
      </c>
      <c r="F351" t="s">
        <v>654</v>
      </c>
      <c r="G351" t="s">
        <v>655</v>
      </c>
      <c r="I351" t="s">
        <v>656</v>
      </c>
      <c r="J351" t="s">
        <v>50</v>
      </c>
      <c r="M351">
        <v>999</v>
      </c>
      <c r="N351">
        <v>999</v>
      </c>
      <c r="P351">
        <v>16</v>
      </c>
      <c r="Q351" t="s">
        <v>557</v>
      </c>
      <c r="R351" t="s">
        <v>558</v>
      </c>
    </row>
    <row r="352" spans="1:18" x14ac:dyDescent="0.2">
      <c r="A352" t="str">
        <f ca="1">表_网址[[#This Row],[1级]]&amp;"-"&amp;表_网址[[#This Row],[2级]]&amp;"-"&amp;表_网址[[#This Row],[3级]]&amp;"-"&amp;表_网址[[#This Row],[级内]]</f>
        <v>900-10-10-107</v>
      </c>
      <c r="B352">
        <f>VLOOKUP(表_网址[[#This Row],[首要关键词]],表_首次要关键词[[首要关键词]:[排序]],2,0)</f>
        <v>900</v>
      </c>
      <c r="C352" s="4">
        <f>IF(表_网址[[#This Row],[次要关键词]]="",10,MATCH(表_网址[[#This Row],[次要关键词]],次要关键词,0)+10)</f>
        <v>10</v>
      </c>
      <c r="D352">
        <f ca="1">IF(表_网址[[#This Row],[重点关键词]]="",10,MATCH(表_网址[[#This Row],[重点关键词]],OFFSET(重点关键词!$A$1,MATCH($J352,首要关键词,0)*50-48,MATCH($K352,次要关键词,0),重点关键词数量,1),0)+10)</f>
        <v>10</v>
      </c>
      <c r="E352">
        <f ca="1">IF(AND(表_网址[[#This Row],[1级]]=B351,表_网址[[#This Row],[2级]]=C351,表_网址[[#This Row],[3级]]=D351),E351+1,101)</f>
        <v>107</v>
      </c>
      <c r="F352">
        <v>1688</v>
      </c>
      <c r="G352" t="s">
        <v>657</v>
      </c>
      <c r="I352" t="s">
        <v>658</v>
      </c>
      <c r="J352" t="s">
        <v>50</v>
      </c>
      <c r="M352">
        <v>999</v>
      </c>
      <c r="N352">
        <v>999</v>
      </c>
      <c r="P352">
        <v>16</v>
      </c>
      <c r="Q352" t="s">
        <v>557</v>
      </c>
      <c r="R352" t="s">
        <v>558</v>
      </c>
    </row>
    <row r="353" spans="1:18" x14ac:dyDescent="0.2">
      <c r="A353" t="str">
        <f ca="1">表_网址[[#This Row],[1级]]&amp;"-"&amp;表_网址[[#This Row],[2级]]&amp;"-"&amp;表_网址[[#This Row],[3级]]&amp;"-"&amp;表_网址[[#This Row],[级内]]</f>
        <v>900-10-10-108</v>
      </c>
      <c r="B353">
        <f>VLOOKUP(表_网址[[#This Row],[首要关键词]],表_首次要关键词[[首要关键词]:[排序]],2,0)</f>
        <v>900</v>
      </c>
      <c r="C353" s="4">
        <f>IF(表_网址[[#This Row],[次要关键词]]="",10,MATCH(表_网址[[#This Row],[次要关键词]],次要关键词,0)+10)</f>
        <v>10</v>
      </c>
      <c r="D353">
        <f ca="1">IF(表_网址[[#This Row],[重点关键词]]="",10,MATCH(表_网址[[#This Row],[重点关键词]],OFFSET(重点关键词!$A$1,MATCH($J353,首要关键词,0)*50-48,MATCH($K353,次要关键词,0),重点关键词数量,1),0)+10)</f>
        <v>10</v>
      </c>
      <c r="E353">
        <f ca="1">IF(AND(表_网址[[#This Row],[1级]]=B352,表_网址[[#This Row],[2级]]=C352,表_网址[[#This Row],[3级]]=D352),E352+1,101)</f>
        <v>108</v>
      </c>
      <c r="F353" t="s">
        <v>659</v>
      </c>
      <c r="G353" t="s">
        <v>660</v>
      </c>
      <c r="I353" t="s">
        <v>661</v>
      </c>
      <c r="J353" t="s">
        <v>50</v>
      </c>
      <c r="M353">
        <v>999</v>
      </c>
      <c r="N353">
        <v>999</v>
      </c>
      <c r="P353">
        <v>16</v>
      </c>
      <c r="Q353" t="s">
        <v>557</v>
      </c>
      <c r="R353" t="s">
        <v>558</v>
      </c>
    </row>
    <row r="354" spans="1:18" x14ac:dyDescent="0.2">
      <c r="A354" t="str">
        <f ca="1">表_网址[[#This Row],[1级]]&amp;"-"&amp;表_网址[[#This Row],[2级]]&amp;"-"&amp;表_网址[[#This Row],[3级]]&amp;"-"&amp;表_网址[[#This Row],[级内]]</f>
        <v>900-10-10-109</v>
      </c>
      <c r="B354">
        <f>VLOOKUP(表_网址[[#This Row],[首要关键词]],表_首次要关键词[[首要关键词]:[排序]],2,0)</f>
        <v>900</v>
      </c>
      <c r="C354" s="4">
        <f>IF(表_网址[[#This Row],[次要关键词]]="",10,MATCH(表_网址[[#This Row],[次要关键词]],次要关键词,0)+10)</f>
        <v>10</v>
      </c>
      <c r="D354">
        <f ca="1">IF(表_网址[[#This Row],[重点关键词]]="",10,MATCH(表_网址[[#This Row],[重点关键词]],OFFSET(重点关键词!$A$1,MATCH($J354,首要关键词,0)*50-48,MATCH($K354,次要关键词,0),重点关键词数量,1),0)+10)</f>
        <v>10</v>
      </c>
      <c r="E354">
        <f ca="1">IF(AND(表_网址[[#This Row],[1级]]=B353,表_网址[[#This Row],[2级]]=C353,表_网址[[#This Row],[3级]]=D353),E353+1,101)</f>
        <v>109</v>
      </c>
      <c r="F354" t="s">
        <v>662</v>
      </c>
      <c r="G354" t="s">
        <v>663</v>
      </c>
      <c r="I354" t="s">
        <v>664</v>
      </c>
      <c r="J354" t="s">
        <v>50</v>
      </c>
      <c r="M354">
        <v>999</v>
      </c>
      <c r="N354">
        <v>999</v>
      </c>
      <c r="P354">
        <v>16</v>
      </c>
      <c r="Q354" t="s">
        <v>557</v>
      </c>
      <c r="R354" t="s">
        <v>558</v>
      </c>
    </row>
    <row r="355" spans="1:18" x14ac:dyDescent="0.2">
      <c r="A355" t="str">
        <f ca="1">表_网址[[#This Row],[1级]]&amp;"-"&amp;表_网址[[#This Row],[2级]]&amp;"-"&amp;表_网址[[#This Row],[3级]]&amp;"-"&amp;表_网址[[#This Row],[级内]]</f>
        <v>900-10-10-110</v>
      </c>
      <c r="B355">
        <f>VLOOKUP(表_网址[[#This Row],[首要关键词]],表_首次要关键词[[首要关键词]:[排序]],2,0)</f>
        <v>900</v>
      </c>
      <c r="C355" s="4">
        <f>IF(表_网址[[#This Row],[次要关键词]]="",10,MATCH(表_网址[[#This Row],[次要关键词]],次要关键词,0)+10)</f>
        <v>10</v>
      </c>
      <c r="D355">
        <f ca="1">IF(表_网址[[#This Row],[重点关键词]]="",10,MATCH(表_网址[[#This Row],[重点关键词]],OFFSET(重点关键词!$A$1,MATCH($J355,首要关键词,0)*50-48,MATCH($K355,次要关键词,0),重点关键词数量,1),0)+10)</f>
        <v>10</v>
      </c>
      <c r="E355">
        <f ca="1">IF(AND(表_网址[[#This Row],[1级]]=B354,表_网址[[#This Row],[2级]]=C354,表_网址[[#This Row],[3级]]=D354),E354+1,101)</f>
        <v>110</v>
      </c>
      <c r="F355" t="s">
        <v>665</v>
      </c>
      <c r="G355" t="s">
        <v>666</v>
      </c>
      <c r="I355" t="s">
        <v>667</v>
      </c>
      <c r="J355" t="s">
        <v>50</v>
      </c>
      <c r="M355">
        <v>999</v>
      </c>
      <c r="N355">
        <v>999</v>
      </c>
      <c r="P355">
        <v>16</v>
      </c>
      <c r="Q355" t="s">
        <v>557</v>
      </c>
      <c r="R355" t="s">
        <v>558</v>
      </c>
    </row>
    <row r="356" spans="1:18" x14ac:dyDescent="0.2">
      <c r="A356" t="str">
        <f ca="1">表_网址[[#This Row],[1级]]&amp;"-"&amp;表_网址[[#This Row],[2级]]&amp;"-"&amp;表_网址[[#This Row],[3级]]&amp;"-"&amp;表_网址[[#This Row],[级内]]</f>
        <v>900-10-10-111</v>
      </c>
      <c r="B356">
        <f>VLOOKUP(表_网址[[#This Row],[首要关键词]],表_首次要关键词[[首要关键词]:[排序]],2,0)</f>
        <v>900</v>
      </c>
      <c r="C356" s="4">
        <f>IF(表_网址[[#This Row],[次要关键词]]="",10,MATCH(表_网址[[#This Row],[次要关键词]],次要关键词,0)+10)</f>
        <v>10</v>
      </c>
      <c r="D356">
        <f ca="1">IF(表_网址[[#This Row],[重点关键词]]="",10,MATCH(表_网址[[#This Row],[重点关键词]],OFFSET(重点关键词!$A$1,MATCH($J356,首要关键词,0)*50-48,MATCH($K356,次要关键词,0),重点关键词数量,1),0)+10)</f>
        <v>10</v>
      </c>
      <c r="E356">
        <f ca="1">IF(AND(表_网址[[#This Row],[1级]]=B355,表_网址[[#This Row],[2级]]=C355,表_网址[[#This Row],[3级]]=D355),E355+1,101)</f>
        <v>111</v>
      </c>
      <c r="F356" t="s">
        <v>668</v>
      </c>
      <c r="G356" t="s">
        <v>669</v>
      </c>
      <c r="I356" t="s">
        <v>670</v>
      </c>
      <c r="J356" t="s">
        <v>50</v>
      </c>
      <c r="M356">
        <v>999</v>
      </c>
      <c r="N356">
        <v>999</v>
      </c>
      <c r="P356">
        <v>48</v>
      </c>
      <c r="Q356" t="s">
        <v>557</v>
      </c>
      <c r="R356" t="s">
        <v>558</v>
      </c>
    </row>
    <row r="357" spans="1:18" x14ac:dyDescent="0.2">
      <c r="A357" t="str">
        <f ca="1">表_网址[[#This Row],[1级]]&amp;"-"&amp;表_网址[[#This Row],[2级]]&amp;"-"&amp;表_网址[[#This Row],[3级]]&amp;"-"&amp;表_网址[[#This Row],[级内]]</f>
        <v>901-10-10-101</v>
      </c>
      <c r="B357">
        <f>VLOOKUP(表_网址[[#This Row],[首要关键词]],表_首次要关键词[[首要关键词]:[排序]],2,0)</f>
        <v>901</v>
      </c>
      <c r="C357" s="4">
        <f>IF(表_网址[[#This Row],[次要关键词]]="",10,MATCH(表_网址[[#This Row],[次要关键词]],次要关键词,0)+10)</f>
        <v>10</v>
      </c>
      <c r="D357">
        <f ca="1">IF(表_网址[[#This Row],[重点关键词]]="",10,MATCH(表_网址[[#This Row],[重点关键词]],OFFSET(重点关键词!$A$1,MATCH($J357,首要关键词,0)*50-48,MATCH($K357,次要关键词,0),重点关键词数量,1),0)+10)</f>
        <v>10</v>
      </c>
      <c r="E357">
        <f ca="1">IF(AND(表_网址[[#This Row],[1级]]=B356,表_网址[[#This Row],[2级]]=C356,表_网址[[#This Row],[3级]]=D356),E356+1,101)</f>
        <v>101</v>
      </c>
      <c r="F357" t="s">
        <v>851</v>
      </c>
      <c r="G357" t="s">
        <v>852</v>
      </c>
      <c r="H357" t="s">
        <v>82</v>
      </c>
      <c r="I357" t="s">
        <v>853</v>
      </c>
      <c r="J357" t="s">
        <v>51</v>
      </c>
      <c r="M357">
        <v>999</v>
      </c>
      <c r="N357">
        <v>999</v>
      </c>
      <c r="P357">
        <v>32</v>
      </c>
      <c r="Q357" t="s">
        <v>557</v>
      </c>
    </row>
    <row r="358" spans="1:18" x14ac:dyDescent="0.2">
      <c r="A358" t="str">
        <f ca="1">表_网址[[#This Row],[1级]]&amp;"-"&amp;表_网址[[#This Row],[2级]]&amp;"-"&amp;表_网址[[#This Row],[3级]]&amp;"-"&amp;表_网址[[#This Row],[级内]]</f>
        <v>901-10-10-102</v>
      </c>
      <c r="B358">
        <f>VLOOKUP(表_网址[[#This Row],[首要关键词]],表_首次要关键词[[首要关键词]:[排序]],2,0)</f>
        <v>901</v>
      </c>
      <c r="C358" s="4">
        <f>IF(表_网址[[#This Row],[次要关键词]]="",10,MATCH(表_网址[[#This Row],[次要关键词]],次要关键词,0)+10)</f>
        <v>10</v>
      </c>
      <c r="D358">
        <f ca="1">IF(表_网址[[#This Row],[重点关键词]]="",10,MATCH(表_网址[[#This Row],[重点关键词]],OFFSET(重点关键词!$A$1,MATCH($J358,首要关键词,0)*50-48,MATCH($K358,次要关键词,0),重点关键词数量,1),0)+10)</f>
        <v>10</v>
      </c>
      <c r="E358">
        <f ca="1">IF(AND(表_网址[[#This Row],[1级]]=B357,表_网址[[#This Row],[2级]]=C357,表_网址[[#This Row],[3级]]=D357),E357+1,101)</f>
        <v>102</v>
      </c>
      <c r="F358" t="s">
        <v>854</v>
      </c>
      <c r="G358" t="s">
        <v>855</v>
      </c>
      <c r="H358" t="s">
        <v>82</v>
      </c>
      <c r="I358" t="s">
        <v>856</v>
      </c>
      <c r="J358" t="s">
        <v>51</v>
      </c>
      <c r="M358">
        <v>999</v>
      </c>
      <c r="N358">
        <v>999</v>
      </c>
      <c r="P358">
        <v>32</v>
      </c>
      <c r="Q358" t="s">
        <v>557</v>
      </c>
    </row>
    <row r="359" spans="1:18" x14ac:dyDescent="0.2">
      <c r="A359" t="str">
        <f ca="1">表_网址[[#This Row],[1级]]&amp;"-"&amp;表_网址[[#This Row],[2级]]&amp;"-"&amp;表_网址[[#This Row],[3级]]&amp;"-"&amp;表_网址[[#This Row],[级内]]</f>
        <v>901-10-10-103</v>
      </c>
      <c r="B359">
        <f>VLOOKUP(表_网址[[#This Row],[首要关键词]],表_首次要关键词[[首要关键词]:[排序]],2,0)</f>
        <v>901</v>
      </c>
      <c r="C359" s="4">
        <f>IF(表_网址[[#This Row],[次要关键词]]="",10,MATCH(表_网址[[#This Row],[次要关键词]],次要关键词,0)+10)</f>
        <v>10</v>
      </c>
      <c r="D359">
        <f ca="1">IF(表_网址[[#This Row],[重点关键词]]="",10,MATCH(表_网址[[#This Row],[重点关键词]],OFFSET(重点关键词!$A$1,MATCH($J359,首要关键词,0)*50-48,MATCH($K359,次要关键词,0),重点关键词数量,1),0)+10)</f>
        <v>10</v>
      </c>
      <c r="E359">
        <f ca="1">IF(AND(表_网址[[#This Row],[1级]]=B358,表_网址[[#This Row],[2级]]=C358,表_网址[[#This Row],[3级]]=D358),E358+1,101)</f>
        <v>103</v>
      </c>
      <c r="F359" t="s">
        <v>857</v>
      </c>
      <c r="G359" t="s">
        <v>858</v>
      </c>
      <c r="H359" t="s">
        <v>82</v>
      </c>
      <c r="I359" t="s">
        <v>859</v>
      </c>
      <c r="J359" t="s">
        <v>51</v>
      </c>
      <c r="M359">
        <v>999</v>
      </c>
      <c r="N359">
        <v>999</v>
      </c>
      <c r="P359">
        <v>256</v>
      </c>
    </row>
    <row r="360" spans="1:18" x14ac:dyDescent="0.2">
      <c r="A360" t="str">
        <f ca="1">表_网址[[#This Row],[1级]]&amp;"-"&amp;表_网址[[#This Row],[2级]]&amp;"-"&amp;表_网址[[#This Row],[3级]]&amp;"-"&amp;表_网址[[#This Row],[级内]]</f>
        <v>901-10-10-104</v>
      </c>
      <c r="B360">
        <f>VLOOKUP(表_网址[[#This Row],[首要关键词]],表_首次要关键词[[首要关键词]:[排序]],2,0)</f>
        <v>901</v>
      </c>
      <c r="C360" s="4">
        <f>IF(表_网址[[#This Row],[次要关键词]]="",10,MATCH(表_网址[[#This Row],[次要关键词]],次要关键词,0)+10)</f>
        <v>10</v>
      </c>
      <c r="D360">
        <f ca="1">IF(表_网址[[#This Row],[重点关键词]]="",10,MATCH(表_网址[[#This Row],[重点关键词]],OFFSET(重点关键词!$A$1,MATCH($J360,首要关键词,0)*50-48,MATCH($K360,次要关键词,0),重点关键词数量,1),0)+10)</f>
        <v>10</v>
      </c>
      <c r="E360">
        <f ca="1">IF(AND(表_网址[[#This Row],[1级]]=B359,表_网址[[#This Row],[2级]]=C359,表_网址[[#This Row],[3级]]=D359),E359+1,101)</f>
        <v>104</v>
      </c>
      <c r="F360" t="s">
        <v>860</v>
      </c>
      <c r="G360" t="s">
        <v>861</v>
      </c>
      <c r="H360" t="s">
        <v>82</v>
      </c>
      <c r="I360" t="s">
        <v>862</v>
      </c>
      <c r="J360" t="s">
        <v>51</v>
      </c>
      <c r="M360">
        <v>999</v>
      </c>
      <c r="N360">
        <v>999</v>
      </c>
      <c r="P360">
        <v>32</v>
      </c>
      <c r="Q360" t="s">
        <v>557</v>
      </c>
    </row>
    <row r="361" spans="1:18" x14ac:dyDescent="0.2">
      <c r="A361" t="str">
        <f ca="1">表_网址[[#This Row],[1级]]&amp;"-"&amp;表_网址[[#This Row],[2级]]&amp;"-"&amp;表_网址[[#This Row],[3级]]&amp;"-"&amp;表_网址[[#This Row],[级内]]</f>
        <v>901-10-10-105</v>
      </c>
      <c r="B361">
        <f>VLOOKUP(表_网址[[#This Row],[首要关键词]],表_首次要关键词[[首要关键词]:[排序]],2,0)</f>
        <v>901</v>
      </c>
      <c r="C361" s="4">
        <f>IF(表_网址[[#This Row],[次要关键词]]="",10,MATCH(表_网址[[#This Row],[次要关键词]],次要关键词,0)+10)</f>
        <v>10</v>
      </c>
      <c r="D361">
        <f ca="1">IF(表_网址[[#This Row],[重点关键词]]="",10,MATCH(表_网址[[#This Row],[重点关键词]],OFFSET(重点关键词!$A$1,MATCH($J361,首要关键词,0)*50-48,MATCH($K361,次要关键词,0),重点关键词数量,1),0)+10)</f>
        <v>10</v>
      </c>
      <c r="E361">
        <f ca="1">IF(AND(表_网址[[#This Row],[1级]]=B360,表_网址[[#This Row],[2级]]=C360,表_网址[[#This Row],[3级]]=D360),E360+1,101)</f>
        <v>105</v>
      </c>
      <c r="F361" t="s">
        <v>863</v>
      </c>
      <c r="G361" t="s">
        <v>864</v>
      </c>
      <c r="H361" t="s">
        <v>82</v>
      </c>
      <c r="I361" t="s">
        <v>865</v>
      </c>
      <c r="J361" t="s">
        <v>51</v>
      </c>
      <c r="M361">
        <v>999</v>
      </c>
      <c r="N361">
        <v>999</v>
      </c>
      <c r="P361">
        <v>32</v>
      </c>
    </row>
    <row r="362" spans="1:18" x14ac:dyDescent="0.2">
      <c r="A362" t="str">
        <f ca="1">表_网址[[#This Row],[1级]]&amp;"-"&amp;表_网址[[#This Row],[2级]]&amp;"-"&amp;表_网址[[#This Row],[3级]]&amp;"-"&amp;表_网址[[#This Row],[级内]]</f>
        <v>901-10-10-106</v>
      </c>
      <c r="B362">
        <f>VLOOKUP(表_网址[[#This Row],[首要关键词]],表_首次要关键词[[首要关键词]:[排序]],2,0)</f>
        <v>901</v>
      </c>
      <c r="C362" s="4">
        <f>IF(表_网址[[#This Row],[次要关键词]]="",10,MATCH(表_网址[[#This Row],[次要关键词]],次要关键词,0)+10)</f>
        <v>10</v>
      </c>
      <c r="D362">
        <f ca="1">IF(表_网址[[#This Row],[重点关键词]]="",10,MATCH(表_网址[[#This Row],[重点关键词]],OFFSET(重点关键词!$A$1,MATCH($J362,首要关键词,0)*50-48,MATCH($K362,次要关键词,0),重点关键词数量,1),0)+10)</f>
        <v>10</v>
      </c>
      <c r="E362">
        <f ca="1">IF(AND(表_网址[[#This Row],[1级]]=B361,表_网址[[#This Row],[2级]]=C361,表_网址[[#This Row],[3级]]=D361),E361+1,101)</f>
        <v>106</v>
      </c>
      <c r="F362" t="s">
        <v>866</v>
      </c>
      <c r="G362" t="s">
        <v>867</v>
      </c>
      <c r="H362" t="s">
        <v>82</v>
      </c>
      <c r="I362" t="s">
        <v>868</v>
      </c>
      <c r="J362" t="s">
        <v>51</v>
      </c>
      <c r="M362">
        <v>999</v>
      </c>
      <c r="N362">
        <v>999</v>
      </c>
      <c r="P362">
        <v>16</v>
      </c>
      <c r="Q362" t="s">
        <v>557</v>
      </c>
    </row>
    <row r="363" spans="1:18" x14ac:dyDescent="0.2">
      <c r="A363" t="str">
        <f ca="1">表_网址[[#This Row],[1级]]&amp;"-"&amp;表_网址[[#This Row],[2级]]&amp;"-"&amp;表_网址[[#This Row],[3级]]&amp;"-"&amp;表_网址[[#This Row],[级内]]</f>
        <v>901-10-10-107</v>
      </c>
      <c r="B363">
        <f>VLOOKUP(表_网址[[#This Row],[首要关键词]],表_首次要关键词[[首要关键词]:[排序]],2,0)</f>
        <v>901</v>
      </c>
      <c r="C363" s="4">
        <f>IF(表_网址[[#This Row],[次要关键词]]="",10,MATCH(表_网址[[#This Row],[次要关键词]],次要关键词,0)+10)</f>
        <v>10</v>
      </c>
      <c r="D363">
        <f ca="1">IF(表_网址[[#This Row],[重点关键词]]="",10,MATCH(表_网址[[#This Row],[重点关键词]],OFFSET(重点关键词!$A$1,MATCH($J363,首要关键词,0)*50-48,MATCH($K363,次要关键词,0),重点关键词数量,1),0)+10)</f>
        <v>10</v>
      </c>
      <c r="E363">
        <f ca="1">IF(AND(表_网址[[#This Row],[1级]]=B362,表_网址[[#This Row],[2级]]=C362,表_网址[[#This Row],[3级]]=D362),E362+1,101)</f>
        <v>107</v>
      </c>
      <c r="F363" t="s">
        <v>869</v>
      </c>
      <c r="G363" t="s">
        <v>870</v>
      </c>
      <c r="H363" t="s">
        <v>82</v>
      </c>
      <c r="J363" t="s">
        <v>51</v>
      </c>
      <c r="M363">
        <v>999</v>
      </c>
      <c r="Q363" t="s">
        <v>557</v>
      </c>
    </row>
    <row r="364" spans="1:18" x14ac:dyDescent="0.2">
      <c r="A364" t="str">
        <f ca="1">表_网址[[#This Row],[1级]]&amp;"-"&amp;表_网址[[#This Row],[2级]]&amp;"-"&amp;表_网址[[#This Row],[3级]]&amp;"-"&amp;表_网址[[#This Row],[级内]]</f>
        <v>901-10-10-108</v>
      </c>
      <c r="B364">
        <f>VLOOKUP(表_网址[[#This Row],[首要关键词]],表_首次要关键词[[首要关键词]:[排序]],2,0)</f>
        <v>901</v>
      </c>
      <c r="C364" s="4">
        <f>IF(表_网址[[#This Row],[次要关键词]]="",10,MATCH(表_网址[[#This Row],[次要关键词]],次要关键词,0)+10)</f>
        <v>10</v>
      </c>
      <c r="D364">
        <f ca="1">IF(表_网址[[#This Row],[重点关键词]]="",10,MATCH(表_网址[[#This Row],[重点关键词]],OFFSET(重点关键词!$A$1,MATCH($J364,首要关键词,0)*50-48,MATCH($K364,次要关键词,0),重点关键词数量,1),0)+10)</f>
        <v>10</v>
      </c>
      <c r="E364">
        <f ca="1">IF(AND(表_网址[[#This Row],[1级]]=B363,表_网址[[#This Row],[2级]]=C363,表_网址[[#This Row],[3级]]=D363),E363+1,101)</f>
        <v>108</v>
      </c>
      <c r="F364" t="s">
        <v>871</v>
      </c>
      <c r="G364" t="s">
        <v>872</v>
      </c>
      <c r="H364" t="s">
        <v>82</v>
      </c>
      <c r="I364" t="s">
        <v>873</v>
      </c>
      <c r="J364" t="s">
        <v>51</v>
      </c>
      <c r="M364">
        <v>999</v>
      </c>
      <c r="Q364" t="s">
        <v>557</v>
      </c>
    </row>
    <row r="365" spans="1:18" x14ac:dyDescent="0.2">
      <c r="A365" t="str">
        <f ca="1">表_网址[[#This Row],[1级]]&amp;"-"&amp;表_网址[[#This Row],[2级]]&amp;"-"&amp;表_网址[[#This Row],[3级]]&amp;"-"&amp;表_网址[[#This Row],[级内]]</f>
        <v>901-10-10-109</v>
      </c>
      <c r="B365">
        <f>VLOOKUP(表_网址[[#This Row],[首要关键词]],表_首次要关键词[[首要关键词]:[排序]],2,0)</f>
        <v>901</v>
      </c>
      <c r="C365" s="4">
        <f>IF(表_网址[[#This Row],[次要关键词]]="",10,MATCH(表_网址[[#This Row],[次要关键词]],次要关键词,0)+10)</f>
        <v>10</v>
      </c>
      <c r="D365">
        <f ca="1">IF(表_网址[[#This Row],[重点关键词]]="",10,MATCH(表_网址[[#This Row],[重点关键词]],OFFSET(重点关键词!$A$1,MATCH($J365,首要关键词,0)*50-48,MATCH($K365,次要关键词,0),重点关键词数量,1),0)+10)</f>
        <v>10</v>
      </c>
      <c r="E365">
        <f ca="1">IF(AND(表_网址[[#This Row],[1级]]=B364,表_网址[[#This Row],[2级]]=C364,表_网址[[#This Row],[3级]]=D364),E364+1,101)</f>
        <v>109</v>
      </c>
      <c r="F365" t="s">
        <v>874</v>
      </c>
      <c r="G365" t="s">
        <v>875</v>
      </c>
      <c r="H365" t="s">
        <v>82</v>
      </c>
      <c r="I365" t="s">
        <v>876</v>
      </c>
      <c r="J365" t="s">
        <v>51</v>
      </c>
      <c r="M365">
        <v>999</v>
      </c>
      <c r="Q365" t="s">
        <v>557</v>
      </c>
    </row>
    <row r="366" spans="1:18" x14ac:dyDescent="0.2">
      <c r="A366" t="str">
        <f ca="1">表_网址[[#This Row],[1级]]&amp;"-"&amp;表_网址[[#This Row],[2级]]&amp;"-"&amp;表_网址[[#This Row],[3级]]&amp;"-"&amp;表_网址[[#This Row],[级内]]</f>
        <v>902-10-10-101</v>
      </c>
      <c r="B366">
        <f>VLOOKUP(表_网址[[#This Row],[首要关键词]],表_首次要关键词[[首要关键词]:[排序]],2,0)</f>
        <v>902</v>
      </c>
      <c r="C366" s="4">
        <f>IF(表_网址[[#This Row],[次要关键词]]="",10,MATCH(表_网址[[#This Row],[次要关键词]],次要关键词,0)+10)</f>
        <v>10</v>
      </c>
      <c r="D366">
        <f ca="1">IF(表_网址[[#This Row],[重点关键词]]="",10,MATCH(表_网址[[#This Row],[重点关键词]],OFFSET(重点关键词!$A$1,MATCH($J366,首要关键词,0)*50-48,MATCH($K366,次要关键词,0),重点关键词数量,1),0)+10)</f>
        <v>10</v>
      </c>
      <c r="E366">
        <f ca="1">IF(AND(表_网址[[#This Row],[1级]]=B365,表_网址[[#This Row],[2级]]=C365,表_网址[[#This Row],[3级]]=D365),E365+1,101)</f>
        <v>101</v>
      </c>
      <c r="F366" t="s">
        <v>877</v>
      </c>
      <c r="G366" t="s">
        <v>878</v>
      </c>
      <c r="H366" t="s">
        <v>82</v>
      </c>
      <c r="I366" t="s">
        <v>879</v>
      </c>
      <c r="J366" t="s">
        <v>52</v>
      </c>
      <c r="M366">
        <v>999</v>
      </c>
      <c r="N366">
        <v>999</v>
      </c>
      <c r="P366">
        <v>32</v>
      </c>
      <c r="Q366" t="s">
        <v>557</v>
      </c>
    </row>
    <row r="367" spans="1:18" x14ac:dyDescent="0.2">
      <c r="A367" t="str">
        <f ca="1">表_网址[[#This Row],[1级]]&amp;"-"&amp;表_网址[[#This Row],[2级]]&amp;"-"&amp;表_网址[[#This Row],[3级]]&amp;"-"&amp;表_网址[[#This Row],[级内]]</f>
        <v>902-11-10-101</v>
      </c>
      <c r="B367">
        <f>VLOOKUP(表_网址[[#This Row],[首要关键词]],表_首次要关键词[[首要关键词]:[排序]],2,0)</f>
        <v>902</v>
      </c>
      <c r="C367" s="4">
        <f ca="1">IF(表_网址[[#This Row],[次要关键词]]="",10,MATCH(表_网址[[#This Row],[次要关键词]],次要关键词,0)+10)</f>
        <v>11</v>
      </c>
      <c r="D367">
        <f ca="1">IF(表_网址[[#This Row],[重点关键词]]="",10,MATCH(表_网址[[#This Row],[重点关键词]],OFFSET(重点关键词!$A$1,MATCH($J367,首要关键词,0)*50-48,MATCH($K367,次要关键词,0),重点关键词数量,1),0)+10)</f>
        <v>10</v>
      </c>
      <c r="E367">
        <f ca="1">IF(AND(表_网址[[#This Row],[1级]]=B366,表_网址[[#This Row],[2级]]=C366,表_网址[[#This Row],[3级]]=D366),E366+1,101)</f>
        <v>101</v>
      </c>
      <c r="F367" t="s">
        <v>880</v>
      </c>
      <c r="G367" t="s">
        <v>881</v>
      </c>
      <c r="H367" t="s">
        <v>82</v>
      </c>
      <c r="I367" t="s">
        <v>882</v>
      </c>
      <c r="J367" t="s">
        <v>52</v>
      </c>
      <c r="K367" t="s">
        <v>883</v>
      </c>
      <c r="M367">
        <v>999</v>
      </c>
      <c r="N367">
        <v>999</v>
      </c>
      <c r="P367">
        <v>32</v>
      </c>
      <c r="Q367" t="s">
        <v>557</v>
      </c>
    </row>
    <row r="368" spans="1:18" x14ac:dyDescent="0.2">
      <c r="A368" t="str">
        <f ca="1">表_网址[[#This Row],[1级]]&amp;"-"&amp;表_网址[[#This Row],[2级]]&amp;"-"&amp;表_网址[[#This Row],[3级]]&amp;"-"&amp;表_网址[[#This Row],[级内]]</f>
        <v>902-11-10-102</v>
      </c>
      <c r="B368">
        <f>VLOOKUP(表_网址[[#This Row],[首要关键词]],表_首次要关键词[[首要关键词]:[排序]],2,0)</f>
        <v>902</v>
      </c>
      <c r="C368" s="4">
        <f ca="1">IF(表_网址[[#This Row],[次要关键词]]="",10,MATCH(表_网址[[#This Row],[次要关键词]],次要关键词,0)+10)</f>
        <v>11</v>
      </c>
      <c r="D368">
        <f ca="1">IF(表_网址[[#This Row],[重点关键词]]="",10,MATCH(表_网址[[#This Row],[重点关键词]],OFFSET(重点关键词!$A$1,MATCH($J368,首要关键词,0)*50-48,MATCH($K368,次要关键词,0),重点关键词数量,1),0)+10)</f>
        <v>10</v>
      </c>
      <c r="E368">
        <f ca="1">IF(AND(表_网址[[#This Row],[1级]]=B367,表_网址[[#This Row],[2级]]=C367,表_网址[[#This Row],[3级]]=D367),E367+1,101)</f>
        <v>102</v>
      </c>
      <c r="F368" t="s">
        <v>884</v>
      </c>
      <c r="G368" t="s">
        <v>885</v>
      </c>
      <c r="H368" t="s">
        <v>886</v>
      </c>
      <c r="I368" t="s">
        <v>887</v>
      </c>
      <c r="J368" t="s">
        <v>52</v>
      </c>
      <c r="K368" t="s">
        <v>883</v>
      </c>
      <c r="M368">
        <v>999</v>
      </c>
      <c r="N368">
        <v>999</v>
      </c>
      <c r="P368">
        <v>32</v>
      </c>
    </row>
    <row r="369" spans="1:18" x14ac:dyDescent="0.2">
      <c r="A369" t="str">
        <f ca="1">表_网址[[#This Row],[1级]]&amp;"-"&amp;表_网址[[#This Row],[2级]]&amp;"-"&amp;表_网址[[#This Row],[3级]]&amp;"-"&amp;表_网址[[#This Row],[级内]]</f>
        <v>902-11-10-103</v>
      </c>
      <c r="B369">
        <f>VLOOKUP(表_网址[[#This Row],[首要关键词]],表_首次要关键词[[首要关键词]:[排序]],2,0)</f>
        <v>902</v>
      </c>
      <c r="C369" s="4">
        <f ca="1">IF(表_网址[[#This Row],[次要关键词]]="",10,MATCH(表_网址[[#This Row],[次要关键词]],次要关键词,0)+10)</f>
        <v>11</v>
      </c>
      <c r="D369">
        <f ca="1">IF(表_网址[[#This Row],[重点关键词]]="",10,MATCH(表_网址[[#This Row],[重点关键词]],OFFSET(重点关键词!$A$1,MATCH($J369,首要关键词,0)*50-48,MATCH($K369,次要关键词,0),重点关键词数量,1),0)+10)</f>
        <v>10</v>
      </c>
      <c r="E369">
        <f ca="1">IF(AND(表_网址[[#This Row],[1级]]=B368,表_网址[[#This Row],[2级]]=C368,表_网址[[#This Row],[3级]]=D368),E368+1,101)</f>
        <v>103</v>
      </c>
      <c r="F369" t="s">
        <v>888</v>
      </c>
      <c r="G369" t="s">
        <v>889</v>
      </c>
      <c r="H369" t="s">
        <v>82</v>
      </c>
      <c r="I369" t="s">
        <v>890</v>
      </c>
      <c r="J369" t="s">
        <v>52</v>
      </c>
      <c r="K369" t="s">
        <v>883</v>
      </c>
      <c r="M369">
        <v>999</v>
      </c>
      <c r="N369">
        <v>999</v>
      </c>
      <c r="P369">
        <v>16</v>
      </c>
      <c r="Q369" t="s">
        <v>557</v>
      </c>
    </row>
    <row r="370" spans="1:18" x14ac:dyDescent="0.2">
      <c r="A370" t="str">
        <f ca="1">表_网址[[#This Row],[1级]]&amp;"-"&amp;表_网址[[#This Row],[2级]]&amp;"-"&amp;表_网址[[#This Row],[3级]]&amp;"-"&amp;表_网址[[#This Row],[级内]]</f>
        <v>902-11-10-104</v>
      </c>
      <c r="B370">
        <f>VLOOKUP(表_网址[[#This Row],[首要关键词]],表_首次要关键词[[首要关键词]:[排序]],2,0)</f>
        <v>902</v>
      </c>
      <c r="C370" s="4">
        <f ca="1">IF(表_网址[[#This Row],[次要关键词]]="",10,MATCH(表_网址[[#This Row],[次要关键词]],次要关键词,0)+10)</f>
        <v>11</v>
      </c>
      <c r="D370">
        <f ca="1">IF(表_网址[[#This Row],[重点关键词]]="",10,MATCH(表_网址[[#This Row],[重点关键词]],OFFSET(重点关键词!$A$1,MATCH($J370,首要关键词,0)*50-48,MATCH($K370,次要关键词,0),重点关键词数量,1),0)+10)</f>
        <v>10</v>
      </c>
      <c r="E370">
        <f ca="1">IF(AND(表_网址[[#This Row],[1级]]=B369,表_网址[[#This Row],[2级]]=C369,表_网址[[#This Row],[3级]]=D369),E369+1,101)</f>
        <v>104</v>
      </c>
      <c r="F370" t="s">
        <v>891</v>
      </c>
      <c r="G370" t="s">
        <v>892</v>
      </c>
      <c r="H370" t="s">
        <v>82</v>
      </c>
      <c r="I370" t="s">
        <v>893</v>
      </c>
      <c r="J370" t="s">
        <v>52</v>
      </c>
      <c r="K370" t="s">
        <v>883</v>
      </c>
      <c r="M370">
        <v>999</v>
      </c>
      <c r="N370">
        <v>999</v>
      </c>
      <c r="P370">
        <v>64</v>
      </c>
      <c r="Q370" t="s">
        <v>557</v>
      </c>
    </row>
    <row r="371" spans="1:18" x14ac:dyDescent="0.2">
      <c r="A371" t="str">
        <f ca="1">表_网址[[#This Row],[1级]]&amp;"-"&amp;表_网址[[#This Row],[2级]]&amp;"-"&amp;表_网址[[#This Row],[3级]]&amp;"-"&amp;表_网址[[#This Row],[级内]]</f>
        <v>902-11-10-105</v>
      </c>
      <c r="B371">
        <f>VLOOKUP(表_网址[[#This Row],[首要关键词]],表_首次要关键词[[首要关键词]:[排序]],2,0)</f>
        <v>902</v>
      </c>
      <c r="C371" s="4">
        <f ca="1">IF(表_网址[[#This Row],[次要关键词]]="",10,MATCH(表_网址[[#This Row],[次要关键词]],次要关键词,0)+10)</f>
        <v>11</v>
      </c>
      <c r="D371">
        <f ca="1">IF(表_网址[[#This Row],[重点关键词]]="",10,MATCH(表_网址[[#This Row],[重点关键词]],OFFSET(重点关键词!$A$1,MATCH($J371,首要关键词,0)*50-48,MATCH($K371,次要关键词,0),重点关键词数量,1),0)+10)</f>
        <v>10</v>
      </c>
      <c r="E371">
        <f ca="1">IF(AND(表_网址[[#This Row],[1级]]=B370,表_网址[[#This Row],[2级]]=C370,表_网址[[#This Row],[3级]]=D370),E370+1,101)</f>
        <v>105</v>
      </c>
      <c r="F371" t="s">
        <v>894</v>
      </c>
      <c r="G371" t="s">
        <v>895</v>
      </c>
      <c r="H371" t="s">
        <v>82</v>
      </c>
      <c r="I371" t="s">
        <v>896</v>
      </c>
      <c r="J371" t="s">
        <v>52</v>
      </c>
      <c r="K371" t="s">
        <v>883</v>
      </c>
      <c r="M371">
        <v>999</v>
      </c>
      <c r="N371">
        <v>999</v>
      </c>
      <c r="P371">
        <v>16</v>
      </c>
      <c r="Q371" t="s">
        <v>557</v>
      </c>
    </row>
    <row r="372" spans="1:18" x14ac:dyDescent="0.2">
      <c r="A372" t="str">
        <f ca="1">表_网址[[#This Row],[1级]]&amp;"-"&amp;表_网址[[#This Row],[2级]]&amp;"-"&amp;表_网址[[#This Row],[3级]]&amp;"-"&amp;表_网址[[#This Row],[级内]]</f>
        <v>902-12-10-101</v>
      </c>
      <c r="B372">
        <f>VLOOKUP(表_网址[[#This Row],[首要关键词]],表_首次要关键词[[首要关键词]:[排序]],2,0)</f>
        <v>902</v>
      </c>
      <c r="C372" s="4">
        <f ca="1">IF(表_网址[[#This Row],[次要关键词]]="",10,MATCH(表_网址[[#This Row],[次要关键词]],次要关键词,0)+10)</f>
        <v>12</v>
      </c>
      <c r="D372">
        <f ca="1">IF(表_网址[[#This Row],[重点关键词]]="",10,MATCH(表_网址[[#This Row],[重点关键词]],OFFSET(重点关键词!$A$1,MATCH($J372,首要关键词,0)*50-48,MATCH($K372,次要关键词,0),重点关键词数量,1),0)+10)</f>
        <v>10</v>
      </c>
      <c r="E372">
        <f ca="1">IF(AND(表_网址[[#This Row],[1级]]=B371,表_网址[[#This Row],[2级]]=C371,表_网址[[#This Row],[3级]]=D371),E371+1,101)</f>
        <v>101</v>
      </c>
      <c r="F372" t="s">
        <v>897</v>
      </c>
      <c r="G372" t="s">
        <v>898</v>
      </c>
      <c r="H372" t="s">
        <v>899</v>
      </c>
      <c r="I372" t="s">
        <v>900</v>
      </c>
      <c r="J372" t="s">
        <v>52</v>
      </c>
      <c r="K372" t="s">
        <v>901</v>
      </c>
      <c r="M372">
        <v>999</v>
      </c>
      <c r="N372">
        <v>999</v>
      </c>
      <c r="P372">
        <v>64</v>
      </c>
    </row>
    <row r="373" spans="1:18" x14ac:dyDescent="0.2">
      <c r="A373" t="str">
        <f ca="1">表_网址[[#This Row],[1级]]&amp;"-"&amp;表_网址[[#This Row],[2级]]&amp;"-"&amp;表_网址[[#This Row],[3级]]&amp;"-"&amp;表_网址[[#This Row],[级内]]</f>
        <v>902-13-10-101</v>
      </c>
      <c r="B373">
        <f>VLOOKUP(表_网址[[#This Row],[首要关键词]],表_首次要关键词[[首要关键词]:[排序]],2,0)</f>
        <v>902</v>
      </c>
      <c r="C373" s="4">
        <f ca="1">IF(表_网址[[#This Row],[次要关键词]]="",10,MATCH(表_网址[[#This Row],[次要关键词]],次要关键词,0)+10)</f>
        <v>13</v>
      </c>
      <c r="D373">
        <f ca="1">IF(表_网址[[#This Row],[重点关键词]]="",10,MATCH(表_网址[[#This Row],[重点关键词]],OFFSET(重点关键词!$A$1,MATCH($J373,首要关键词,0)*50-48,MATCH($K373,次要关键词,0),重点关键词数量,1),0)+10)</f>
        <v>10</v>
      </c>
      <c r="E373">
        <f ca="1">IF(AND(表_网址[[#This Row],[1级]]=B372,表_网址[[#This Row],[2级]]=C372,表_网址[[#This Row],[3级]]=D372),E372+1,101)</f>
        <v>101</v>
      </c>
      <c r="F373" t="s">
        <v>902</v>
      </c>
      <c r="G373" t="s">
        <v>903</v>
      </c>
      <c r="H373" t="s">
        <v>82</v>
      </c>
      <c r="I373" t="s">
        <v>904</v>
      </c>
      <c r="J373" t="s">
        <v>52</v>
      </c>
      <c r="K373" t="s">
        <v>905</v>
      </c>
      <c r="M373">
        <v>999</v>
      </c>
      <c r="N373">
        <v>999</v>
      </c>
      <c r="P373">
        <v>32</v>
      </c>
      <c r="Q373" t="s">
        <v>557</v>
      </c>
    </row>
    <row r="374" spans="1:18" x14ac:dyDescent="0.2">
      <c r="A374" t="str">
        <f ca="1">表_网址[[#This Row],[1级]]&amp;"-"&amp;表_网址[[#This Row],[2级]]&amp;"-"&amp;表_网址[[#This Row],[3级]]&amp;"-"&amp;表_网址[[#This Row],[级内]]</f>
        <v>902-14-10-101</v>
      </c>
      <c r="B374">
        <f>VLOOKUP(表_网址[[#This Row],[首要关键词]],表_首次要关键词[[首要关键词]:[排序]],2,0)</f>
        <v>902</v>
      </c>
      <c r="C374" s="4">
        <f ca="1">IF(表_网址[[#This Row],[次要关键词]]="",10,MATCH(表_网址[[#This Row],[次要关键词]],次要关键词,0)+10)</f>
        <v>14</v>
      </c>
      <c r="D374">
        <f ca="1">IF(表_网址[[#This Row],[重点关键词]]="",10,MATCH(表_网址[[#This Row],[重点关键词]],OFFSET(重点关键词!$A$1,MATCH($J374,首要关键词,0)*50-48,MATCH($K374,次要关键词,0),重点关键词数量,1),0)+10)</f>
        <v>10</v>
      </c>
      <c r="E374">
        <f ca="1">IF(AND(表_网址[[#This Row],[1级]]=B373,表_网址[[#This Row],[2级]]=C373,表_网址[[#This Row],[3级]]=D373),E373+1,101)</f>
        <v>101</v>
      </c>
      <c r="F374" t="s">
        <v>906</v>
      </c>
      <c r="G374" t="s">
        <v>907</v>
      </c>
      <c r="H374" t="s">
        <v>82</v>
      </c>
      <c r="J374" t="s">
        <v>52</v>
      </c>
      <c r="K374" t="s">
        <v>908</v>
      </c>
      <c r="M374">
        <v>999</v>
      </c>
      <c r="Q374" t="s">
        <v>557</v>
      </c>
    </row>
    <row r="375" spans="1:18" x14ac:dyDescent="0.2">
      <c r="A375" t="str">
        <f ca="1">表_网址[[#This Row],[1级]]&amp;"-"&amp;表_网址[[#This Row],[2级]]&amp;"-"&amp;表_网址[[#This Row],[3级]]&amp;"-"&amp;表_网址[[#This Row],[级内]]</f>
        <v>903-10-10-101</v>
      </c>
      <c r="B375">
        <f>VLOOKUP(表_网址[[#This Row],[首要关键词]],表_首次要关键词[[首要关键词]:[排序]],2,0)</f>
        <v>903</v>
      </c>
      <c r="C375" s="4">
        <f>IF(表_网址[[#This Row],[次要关键词]]="",10,MATCH(表_网址[[#This Row],[次要关键词]],次要关键词,0)+10)</f>
        <v>10</v>
      </c>
      <c r="D375">
        <f ca="1">IF(表_网址[[#This Row],[重点关键词]]="",10,MATCH(表_网址[[#This Row],[重点关键词]],OFFSET(重点关键词!$A$1,MATCH($J375,首要关键词,0)*50-48,MATCH($K375,次要关键词,0),重点关键词数量,1),0)+10)</f>
        <v>10</v>
      </c>
      <c r="E375">
        <f ca="1">IF(AND(表_网址[[#This Row],[1级]]=B374,表_网址[[#This Row],[2级]]=C374,表_网址[[#This Row],[3级]]=D374),E374+1,101)</f>
        <v>101</v>
      </c>
      <c r="F375" t="s">
        <v>909</v>
      </c>
      <c r="G375" t="s">
        <v>910</v>
      </c>
      <c r="H375" t="s">
        <v>82</v>
      </c>
      <c r="I375" t="s">
        <v>911</v>
      </c>
      <c r="J375" t="s">
        <v>53</v>
      </c>
      <c r="M375">
        <v>999</v>
      </c>
      <c r="N375">
        <v>999</v>
      </c>
      <c r="P375">
        <v>32</v>
      </c>
      <c r="Q375" t="s">
        <v>557</v>
      </c>
      <c r="R375" t="s">
        <v>558</v>
      </c>
    </row>
    <row r="376" spans="1:18" x14ac:dyDescent="0.2">
      <c r="A376" t="str">
        <f ca="1">表_网址[[#This Row],[1级]]&amp;"-"&amp;表_网址[[#This Row],[2级]]&amp;"-"&amp;表_网址[[#This Row],[3级]]&amp;"-"&amp;表_网址[[#This Row],[级内]]</f>
        <v>903-10-10-102</v>
      </c>
      <c r="B376">
        <f>VLOOKUP(表_网址[[#This Row],[首要关键词]],表_首次要关键词[[首要关键词]:[排序]],2,0)</f>
        <v>903</v>
      </c>
      <c r="C376" s="4">
        <f>IF(表_网址[[#This Row],[次要关键词]]="",10,MATCH(表_网址[[#This Row],[次要关键词]],次要关键词,0)+10)</f>
        <v>10</v>
      </c>
      <c r="D376">
        <f ca="1">IF(表_网址[[#This Row],[重点关键词]]="",10,MATCH(表_网址[[#This Row],[重点关键词]],OFFSET(重点关键词!$A$1,MATCH($J376,首要关键词,0)*50-48,MATCH($K376,次要关键词,0),重点关键词数量,1),0)+10)</f>
        <v>10</v>
      </c>
      <c r="E376">
        <f ca="1">IF(AND(表_网址[[#This Row],[1级]]=B375,表_网址[[#This Row],[2级]]=C375,表_网址[[#This Row],[3级]]=D375),E375+1,101)</f>
        <v>102</v>
      </c>
      <c r="F376" t="s">
        <v>912</v>
      </c>
      <c r="G376" t="s">
        <v>913</v>
      </c>
      <c r="H376" t="s">
        <v>82</v>
      </c>
      <c r="I376" t="s">
        <v>914</v>
      </c>
      <c r="J376" t="s">
        <v>53</v>
      </c>
      <c r="M376">
        <v>999</v>
      </c>
      <c r="N376">
        <v>999</v>
      </c>
      <c r="P376">
        <v>32</v>
      </c>
      <c r="Q376" t="s">
        <v>557</v>
      </c>
      <c r="R376" t="s">
        <v>558</v>
      </c>
    </row>
    <row r="377" spans="1:18" x14ac:dyDescent="0.2">
      <c r="A377" t="str">
        <f ca="1">表_网址[[#This Row],[1级]]&amp;"-"&amp;表_网址[[#This Row],[2级]]&amp;"-"&amp;表_网址[[#This Row],[3级]]&amp;"-"&amp;表_网址[[#This Row],[级内]]</f>
        <v>903-10-10-103</v>
      </c>
      <c r="B377">
        <f>VLOOKUP(表_网址[[#This Row],[首要关键词]],表_首次要关键词[[首要关键词]:[排序]],2,0)</f>
        <v>903</v>
      </c>
      <c r="C377" s="4">
        <f>IF(表_网址[[#This Row],[次要关键词]]="",10,MATCH(表_网址[[#This Row],[次要关键词]],次要关键词,0)+10)</f>
        <v>10</v>
      </c>
      <c r="D377">
        <f ca="1">IF(表_网址[[#This Row],[重点关键词]]="",10,MATCH(表_网址[[#This Row],[重点关键词]],OFFSET(重点关键词!$A$1,MATCH($J377,首要关键词,0)*50-48,MATCH($K377,次要关键词,0),重点关键词数量,1),0)+10)</f>
        <v>10</v>
      </c>
      <c r="E377">
        <f ca="1">IF(AND(表_网址[[#This Row],[1级]]=B376,表_网址[[#This Row],[2级]]=C376,表_网址[[#This Row],[3级]]=D376),E376+1,101)</f>
        <v>103</v>
      </c>
      <c r="F377" t="s">
        <v>915</v>
      </c>
      <c r="G377" t="s">
        <v>916</v>
      </c>
      <c r="H377" t="s">
        <v>82</v>
      </c>
      <c r="I377" t="s">
        <v>917</v>
      </c>
      <c r="J377" t="s">
        <v>53</v>
      </c>
      <c r="M377">
        <v>999</v>
      </c>
      <c r="N377">
        <v>999</v>
      </c>
      <c r="P377">
        <v>128</v>
      </c>
      <c r="Q377" t="s">
        <v>557</v>
      </c>
      <c r="R377" t="s">
        <v>558</v>
      </c>
    </row>
    <row r="378" spans="1:18" x14ac:dyDescent="0.2">
      <c r="A378" t="str">
        <f ca="1">表_网址[[#This Row],[1级]]&amp;"-"&amp;表_网址[[#This Row],[2级]]&amp;"-"&amp;表_网址[[#This Row],[3级]]&amp;"-"&amp;表_网址[[#This Row],[级内]]</f>
        <v>903-10-10-104</v>
      </c>
      <c r="B378">
        <f>VLOOKUP(表_网址[[#This Row],[首要关键词]],表_首次要关键词[[首要关键词]:[排序]],2,0)</f>
        <v>903</v>
      </c>
      <c r="C378" s="4">
        <f>IF(表_网址[[#This Row],[次要关键词]]="",10,MATCH(表_网址[[#This Row],[次要关键词]],次要关键词,0)+10)</f>
        <v>10</v>
      </c>
      <c r="D378">
        <f ca="1">IF(表_网址[[#This Row],[重点关键词]]="",10,MATCH(表_网址[[#This Row],[重点关键词]],OFFSET(重点关键词!$A$1,MATCH($J378,首要关键词,0)*50-48,MATCH($K378,次要关键词,0),重点关键词数量,1),0)+10)</f>
        <v>10</v>
      </c>
      <c r="E378">
        <f ca="1">IF(AND(表_网址[[#This Row],[1级]]=B377,表_网址[[#This Row],[2级]]=C377,表_网址[[#This Row],[3级]]=D377),E377+1,101)</f>
        <v>104</v>
      </c>
      <c r="F378" t="s">
        <v>918</v>
      </c>
      <c r="G378" t="s">
        <v>919</v>
      </c>
      <c r="H378" t="s">
        <v>82</v>
      </c>
      <c r="I378" t="s">
        <v>920</v>
      </c>
      <c r="J378" t="s">
        <v>53</v>
      </c>
      <c r="M378">
        <v>999</v>
      </c>
      <c r="N378">
        <v>999</v>
      </c>
      <c r="P378">
        <v>16</v>
      </c>
      <c r="Q378" t="s">
        <v>557</v>
      </c>
      <c r="R378" t="s">
        <v>558</v>
      </c>
    </row>
    <row r="379" spans="1:18" x14ac:dyDescent="0.2">
      <c r="A379" t="str">
        <f ca="1">表_网址[[#This Row],[1级]]&amp;"-"&amp;表_网址[[#This Row],[2级]]&amp;"-"&amp;表_网址[[#This Row],[3级]]&amp;"-"&amp;表_网址[[#This Row],[级内]]</f>
        <v>903-10-10-105</v>
      </c>
      <c r="B379">
        <f>VLOOKUP(表_网址[[#This Row],[首要关键词]],表_首次要关键词[[首要关键词]:[排序]],2,0)</f>
        <v>903</v>
      </c>
      <c r="C379" s="4">
        <f>IF(表_网址[[#This Row],[次要关键词]]="",10,MATCH(表_网址[[#This Row],[次要关键词]],次要关键词,0)+10)</f>
        <v>10</v>
      </c>
      <c r="D379">
        <f ca="1">IF(表_网址[[#This Row],[重点关键词]]="",10,MATCH(表_网址[[#This Row],[重点关键词]],OFFSET(重点关键词!$A$1,MATCH($J379,首要关键词,0)*50-48,MATCH($K379,次要关键词,0),重点关键词数量,1),0)+10)</f>
        <v>10</v>
      </c>
      <c r="E379">
        <f ca="1">IF(AND(表_网址[[#This Row],[1级]]=B378,表_网址[[#This Row],[2级]]=C378,表_网址[[#This Row],[3级]]=D378),E378+1,101)</f>
        <v>105</v>
      </c>
      <c r="F379" t="s">
        <v>921</v>
      </c>
      <c r="G379" t="s">
        <v>922</v>
      </c>
      <c r="H379" t="s">
        <v>82</v>
      </c>
      <c r="I379" t="s">
        <v>923</v>
      </c>
      <c r="J379" t="s">
        <v>53</v>
      </c>
      <c r="M379">
        <v>999</v>
      </c>
      <c r="N379">
        <v>999</v>
      </c>
      <c r="P379">
        <v>16</v>
      </c>
    </row>
    <row r="380" spans="1:18" x14ac:dyDescent="0.2">
      <c r="A380" t="str">
        <f ca="1">表_网址[[#This Row],[1级]]&amp;"-"&amp;表_网址[[#This Row],[2级]]&amp;"-"&amp;表_网址[[#This Row],[3级]]&amp;"-"&amp;表_网址[[#This Row],[级内]]</f>
        <v>903-10-10-106</v>
      </c>
      <c r="B380">
        <f>VLOOKUP(表_网址[[#This Row],[首要关键词]],表_首次要关键词[[首要关键词]:[排序]],2,0)</f>
        <v>903</v>
      </c>
      <c r="C380" s="4">
        <f>IF(表_网址[[#This Row],[次要关键词]]="",10,MATCH(表_网址[[#This Row],[次要关键词]],次要关键词,0)+10)</f>
        <v>10</v>
      </c>
      <c r="D380">
        <f ca="1">IF(表_网址[[#This Row],[重点关键词]]="",10,MATCH(表_网址[[#This Row],[重点关键词]],OFFSET(重点关键词!$A$1,MATCH($J380,首要关键词,0)*50-48,MATCH($K380,次要关键词,0),重点关键词数量,1),0)+10)</f>
        <v>10</v>
      </c>
      <c r="E380">
        <f ca="1">IF(AND(表_网址[[#This Row],[1级]]=B379,表_网址[[#This Row],[2级]]=C379,表_网址[[#This Row],[3级]]=D379),E379+1,101)</f>
        <v>106</v>
      </c>
      <c r="F380" t="s">
        <v>924</v>
      </c>
      <c r="G380" t="s">
        <v>925</v>
      </c>
      <c r="H380" t="s">
        <v>82</v>
      </c>
      <c r="I380" t="s">
        <v>926</v>
      </c>
      <c r="J380" t="s">
        <v>53</v>
      </c>
      <c r="M380">
        <v>999</v>
      </c>
      <c r="N380">
        <v>999</v>
      </c>
      <c r="P380">
        <v>32</v>
      </c>
    </row>
    <row r="381" spans="1:18" x14ac:dyDescent="0.2">
      <c r="A381" t="str">
        <f ca="1">表_网址[[#This Row],[1级]]&amp;"-"&amp;表_网址[[#This Row],[2级]]&amp;"-"&amp;表_网址[[#This Row],[3级]]&amp;"-"&amp;表_网址[[#This Row],[级内]]</f>
        <v>904-10-10-101</v>
      </c>
      <c r="B381">
        <f>VLOOKUP(表_网址[[#This Row],[首要关键词]],表_首次要关键词[[首要关键词]:[排序]],2,0)</f>
        <v>904</v>
      </c>
      <c r="C381" s="4">
        <f>IF(表_网址[[#This Row],[次要关键词]]="",10,MATCH(表_网址[[#This Row],[次要关键词]],次要关键词,0)+10)</f>
        <v>10</v>
      </c>
      <c r="D381">
        <f ca="1">IF(表_网址[[#This Row],[重点关键词]]="",10,MATCH(表_网址[[#This Row],[重点关键词]],OFFSET(重点关键词!$A$1,MATCH($J381,首要关键词,0)*50-48,MATCH($K381,次要关键词,0),重点关键词数量,1),0)+10)</f>
        <v>10</v>
      </c>
      <c r="E381">
        <f ca="1">IF(AND(表_网址[[#This Row],[1级]]=B380,表_网址[[#This Row],[2级]]=C380,表_网址[[#This Row],[3级]]=D380),E380+1,101)</f>
        <v>101</v>
      </c>
      <c r="F381" t="s">
        <v>983</v>
      </c>
      <c r="G381" t="s">
        <v>984</v>
      </c>
      <c r="H381" t="s">
        <v>82</v>
      </c>
      <c r="I381" t="s">
        <v>985</v>
      </c>
      <c r="J381" t="s">
        <v>54</v>
      </c>
      <c r="M381">
        <v>999</v>
      </c>
      <c r="N381">
        <v>999</v>
      </c>
      <c r="P381">
        <v>16</v>
      </c>
    </row>
    <row r="382" spans="1:18" x14ac:dyDescent="0.2">
      <c r="A382" t="str">
        <f ca="1">表_网址[[#This Row],[1级]]&amp;"-"&amp;表_网址[[#This Row],[2级]]&amp;"-"&amp;表_网址[[#This Row],[3级]]&amp;"-"&amp;表_网址[[#This Row],[级内]]</f>
        <v>904-10-10-102</v>
      </c>
      <c r="B382">
        <f>VLOOKUP(表_网址[[#This Row],[首要关键词]],表_首次要关键词[[首要关键词]:[排序]],2,0)</f>
        <v>904</v>
      </c>
      <c r="C382" s="4">
        <f>IF(表_网址[[#This Row],[次要关键词]]="",10,MATCH(表_网址[[#This Row],[次要关键词]],次要关键词,0)+10)</f>
        <v>10</v>
      </c>
      <c r="D382">
        <f ca="1">IF(表_网址[[#This Row],[重点关键词]]="",10,MATCH(表_网址[[#This Row],[重点关键词]],OFFSET(重点关键词!$A$1,MATCH($J382,首要关键词,0)*50-48,MATCH($K382,次要关键词,0),重点关键词数量,1),0)+10)</f>
        <v>10</v>
      </c>
      <c r="E382">
        <f ca="1">IF(AND(表_网址[[#This Row],[1级]]=B381,表_网址[[#This Row],[2级]]=C381,表_网址[[#This Row],[3级]]=D381),E381+1,101)</f>
        <v>102</v>
      </c>
      <c r="F382" t="s">
        <v>986</v>
      </c>
      <c r="G382" t="s">
        <v>987</v>
      </c>
      <c r="H382" t="s">
        <v>82</v>
      </c>
      <c r="I382" t="s">
        <v>988</v>
      </c>
      <c r="J382" t="s">
        <v>54</v>
      </c>
      <c r="M382">
        <v>999</v>
      </c>
      <c r="N382">
        <v>999</v>
      </c>
      <c r="P382">
        <v>64</v>
      </c>
    </row>
    <row r="383" spans="1:18" x14ac:dyDescent="0.2">
      <c r="A383" t="str">
        <f ca="1">表_网址[[#This Row],[1级]]&amp;"-"&amp;表_网址[[#This Row],[2级]]&amp;"-"&amp;表_网址[[#This Row],[3级]]&amp;"-"&amp;表_网址[[#This Row],[级内]]</f>
        <v>905-10-10-101</v>
      </c>
      <c r="B383">
        <f>VLOOKUP(表_网址[[#This Row],[首要关键词]],表_首次要关键词[[首要关键词]:[排序]],2,0)</f>
        <v>905</v>
      </c>
      <c r="C383" s="4">
        <f>IF(表_网址[[#This Row],[次要关键词]]="",10,MATCH(表_网址[[#This Row],[次要关键词]],次要关键词,0)+10)</f>
        <v>10</v>
      </c>
      <c r="D383">
        <f ca="1">IF(表_网址[[#This Row],[重点关键词]]="",10,MATCH(表_网址[[#This Row],[重点关键词]],OFFSET(重点关键词!$A$1,MATCH($J383,首要关键词,0)*50-48,MATCH($K383,次要关键词,0),重点关键词数量,1),0)+10)</f>
        <v>10</v>
      </c>
      <c r="E383">
        <f ca="1">IF(AND(表_网址[[#This Row],[1级]]=B382,表_网址[[#This Row],[2级]]=C382,表_网址[[#This Row],[3级]]=D382),E382+1,101)</f>
        <v>101</v>
      </c>
      <c r="F383" t="s">
        <v>989</v>
      </c>
      <c r="G383" t="s">
        <v>990</v>
      </c>
      <c r="H383" t="s">
        <v>82</v>
      </c>
      <c r="I383" t="s">
        <v>991</v>
      </c>
      <c r="J383" t="s">
        <v>55</v>
      </c>
      <c r="M383">
        <v>999</v>
      </c>
      <c r="N383">
        <v>999</v>
      </c>
      <c r="P383">
        <v>32</v>
      </c>
    </row>
    <row r="384" spans="1:18" x14ac:dyDescent="0.2">
      <c r="A384" t="str">
        <f ca="1">表_网址[[#This Row],[1级]]&amp;"-"&amp;表_网址[[#This Row],[2级]]&amp;"-"&amp;表_网址[[#This Row],[3级]]&amp;"-"&amp;表_网址[[#This Row],[级内]]</f>
        <v>905-10-10-102</v>
      </c>
      <c r="B384">
        <f>VLOOKUP(表_网址[[#This Row],[首要关键词]],表_首次要关键词[[首要关键词]:[排序]],2,0)</f>
        <v>905</v>
      </c>
      <c r="C384" s="4">
        <f>IF(表_网址[[#This Row],[次要关键词]]="",10,MATCH(表_网址[[#This Row],[次要关键词]],次要关键词,0)+10)</f>
        <v>10</v>
      </c>
      <c r="D384">
        <f ca="1">IF(表_网址[[#This Row],[重点关键词]]="",10,MATCH(表_网址[[#This Row],[重点关键词]],OFFSET(重点关键词!$A$1,MATCH($J384,首要关键词,0)*50-48,MATCH($K384,次要关键词,0),重点关键词数量,1),0)+10)</f>
        <v>10</v>
      </c>
      <c r="E384">
        <f ca="1">IF(AND(表_网址[[#This Row],[1级]]=B383,表_网址[[#This Row],[2级]]=C383,表_网址[[#This Row],[3级]]=D383),E383+1,101)</f>
        <v>102</v>
      </c>
      <c r="F384" t="s">
        <v>992</v>
      </c>
      <c r="G384" t="s">
        <v>993</v>
      </c>
      <c r="H384" t="s">
        <v>82</v>
      </c>
      <c r="I384" t="s">
        <v>994</v>
      </c>
      <c r="J384" t="s">
        <v>55</v>
      </c>
      <c r="M384">
        <v>999</v>
      </c>
      <c r="N384">
        <v>999</v>
      </c>
      <c r="P384">
        <v>32</v>
      </c>
    </row>
    <row r="385" spans="1:16" x14ac:dyDescent="0.2">
      <c r="A385" t="str">
        <f ca="1">表_网址[[#This Row],[1级]]&amp;"-"&amp;表_网址[[#This Row],[2级]]&amp;"-"&amp;表_网址[[#This Row],[3级]]&amp;"-"&amp;表_网址[[#This Row],[级内]]</f>
        <v>905-10-10-103</v>
      </c>
      <c r="B385">
        <f>VLOOKUP(表_网址[[#This Row],[首要关键词]],表_首次要关键词[[首要关键词]:[排序]],2,0)</f>
        <v>905</v>
      </c>
      <c r="C385" s="4">
        <f>IF(表_网址[[#This Row],[次要关键词]]="",10,MATCH(表_网址[[#This Row],[次要关键词]],次要关键词,0)+10)</f>
        <v>10</v>
      </c>
      <c r="D385">
        <f ca="1">IF(表_网址[[#This Row],[重点关键词]]="",10,MATCH(表_网址[[#This Row],[重点关键词]],OFFSET(重点关键词!$A$1,MATCH($J385,首要关键词,0)*50-48,MATCH($K385,次要关键词,0),重点关键词数量,1),0)+10)</f>
        <v>10</v>
      </c>
      <c r="E385">
        <f ca="1">IF(AND(表_网址[[#This Row],[1级]]=B384,表_网址[[#This Row],[2级]]=C384,表_网址[[#This Row],[3级]]=D384),E384+1,101)</f>
        <v>103</v>
      </c>
      <c r="F385" t="s">
        <v>995</v>
      </c>
      <c r="G385" t="s">
        <v>996</v>
      </c>
      <c r="H385" t="s">
        <v>82</v>
      </c>
      <c r="I385" t="s">
        <v>997</v>
      </c>
      <c r="J385" t="s">
        <v>55</v>
      </c>
      <c r="M385">
        <v>999</v>
      </c>
      <c r="N385">
        <v>999</v>
      </c>
      <c r="P385">
        <v>32</v>
      </c>
    </row>
    <row r="386" spans="1:16" x14ac:dyDescent="0.2">
      <c r="A386" t="str">
        <f ca="1">表_网址[[#This Row],[1级]]&amp;"-"&amp;表_网址[[#This Row],[2级]]&amp;"-"&amp;表_网址[[#This Row],[3级]]&amp;"-"&amp;表_网址[[#This Row],[级内]]</f>
        <v>905-10-10-104</v>
      </c>
      <c r="B386">
        <f>VLOOKUP(表_网址[[#This Row],[首要关键词]],表_首次要关键词[[首要关键词]:[排序]],2,0)</f>
        <v>905</v>
      </c>
      <c r="C386" s="4">
        <f>IF(表_网址[[#This Row],[次要关键词]]="",10,MATCH(表_网址[[#This Row],[次要关键词]],次要关键词,0)+10)</f>
        <v>10</v>
      </c>
      <c r="D386">
        <f ca="1">IF(表_网址[[#This Row],[重点关键词]]="",10,MATCH(表_网址[[#This Row],[重点关键词]],OFFSET(重点关键词!$A$1,MATCH($J386,首要关键词,0)*50-48,MATCH($K386,次要关键词,0),重点关键词数量,1),0)+10)</f>
        <v>10</v>
      </c>
      <c r="E386">
        <f ca="1">IF(AND(表_网址[[#This Row],[1级]]=B385,表_网址[[#This Row],[2级]]=C385,表_网址[[#This Row],[3级]]=D385),E385+1,101)</f>
        <v>104</v>
      </c>
      <c r="F386" t="s">
        <v>998</v>
      </c>
      <c r="G386" t="s">
        <v>999</v>
      </c>
      <c r="H386" t="s">
        <v>82</v>
      </c>
      <c r="I386" t="s">
        <v>1000</v>
      </c>
      <c r="J386" t="s">
        <v>55</v>
      </c>
      <c r="M386">
        <v>999</v>
      </c>
      <c r="N386">
        <v>999</v>
      </c>
      <c r="P386">
        <v>32</v>
      </c>
    </row>
    <row r="387" spans="1:16" x14ac:dyDescent="0.2">
      <c r="A387" t="str">
        <f ca="1">表_网址[[#This Row],[1级]]&amp;"-"&amp;表_网址[[#This Row],[2级]]&amp;"-"&amp;表_网址[[#This Row],[3级]]&amp;"-"&amp;表_网址[[#This Row],[级内]]</f>
        <v>905-10-10-105</v>
      </c>
      <c r="B387">
        <f>VLOOKUP(表_网址[[#This Row],[首要关键词]],表_首次要关键词[[首要关键词]:[排序]],2,0)</f>
        <v>905</v>
      </c>
      <c r="C387" s="4">
        <f>IF(表_网址[[#This Row],[次要关键词]]="",10,MATCH(表_网址[[#This Row],[次要关键词]],次要关键词,0)+10)</f>
        <v>10</v>
      </c>
      <c r="D387">
        <f ca="1">IF(表_网址[[#This Row],[重点关键词]]="",10,MATCH(表_网址[[#This Row],[重点关键词]],OFFSET(重点关键词!$A$1,MATCH($J387,首要关键词,0)*50-48,MATCH($K387,次要关键词,0),重点关键词数量,1),0)+10)</f>
        <v>10</v>
      </c>
      <c r="E387">
        <f ca="1">IF(AND(表_网址[[#This Row],[1级]]=B386,表_网址[[#This Row],[2级]]=C386,表_网址[[#This Row],[3级]]=D386),E386+1,101)</f>
        <v>105</v>
      </c>
      <c r="F387" t="s">
        <v>1001</v>
      </c>
      <c r="G387" t="s">
        <v>1002</v>
      </c>
      <c r="H387" t="s">
        <v>82</v>
      </c>
      <c r="I387" t="s">
        <v>1003</v>
      </c>
      <c r="J387" t="s">
        <v>55</v>
      </c>
      <c r="M387">
        <v>999</v>
      </c>
      <c r="P387">
        <v>32</v>
      </c>
    </row>
    <row r="388" spans="1:16" x14ac:dyDescent="0.2">
      <c r="A388" t="str">
        <f ca="1">表_网址[[#This Row],[1级]]&amp;"-"&amp;表_网址[[#This Row],[2级]]&amp;"-"&amp;表_网址[[#This Row],[3级]]&amp;"-"&amp;表_网址[[#This Row],[级内]]</f>
        <v>905-10-10-106</v>
      </c>
      <c r="B388">
        <f>VLOOKUP(表_网址[[#This Row],[首要关键词]],表_首次要关键词[[首要关键词]:[排序]],2,0)</f>
        <v>905</v>
      </c>
      <c r="C388" s="4">
        <f>IF(表_网址[[#This Row],[次要关键词]]="",10,MATCH(表_网址[[#This Row],[次要关键词]],次要关键词,0)+10)</f>
        <v>10</v>
      </c>
      <c r="D388">
        <f ca="1">IF(表_网址[[#This Row],[重点关键词]]="",10,MATCH(表_网址[[#This Row],[重点关键词]],OFFSET(重点关键词!$A$1,MATCH($J388,首要关键词,0)*50-48,MATCH($K388,次要关键词,0),重点关键词数量,1),0)+10)</f>
        <v>10</v>
      </c>
      <c r="E388">
        <f ca="1">IF(AND(表_网址[[#This Row],[1级]]=B387,表_网址[[#This Row],[2级]]=C387,表_网址[[#This Row],[3级]]=D387),E387+1,101)</f>
        <v>106</v>
      </c>
      <c r="F388" t="s">
        <v>1004</v>
      </c>
      <c r="G388" t="s">
        <v>1005</v>
      </c>
      <c r="H388" t="s">
        <v>82</v>
      </c>
      <c r="I388" t="s">
        <v>1006</v>
      </c>
      <c r="J388" t="s">
        <v>55</v>
      </c>
      <c r="M388">
        <v>999</v>
      </c>
      <c r="N388">
        <v>999</v>
      </c>
      <c r="P388">
        <v>32</v>
      </c>
    </row>
    <row r="389" spans="1:16" x14ac:dyDescent="0.2">
      <c r="A389" t="str">
        <f ca="1">表_网址[[#This Row],[1级]]&amp;"-"&amp;表_网址[[#This Row],[2级]]&amp;"-"&amp;表_网址[[#This Row],[3级]]&amp;"-"&amp;表_网址[[#This Row],[级内]]</f>
        <v>905-10-10-107</v>
      </c>
      <c r="B389">
        <f>VLOOKUP(表_网址[[#This Row],[首要关键词]],表_首次要关键词[[首要关键词]:[排序]],2,0)</f>
        <v>905</v>
      </c>
      <c r="C389" s="4">
        <f>IF(表_网址[[#This Row],[次要关键词]]="",10,MATCH(表_网址[[#This Row],[次要关键词]],次要关键词,0)+10)</f>
        <v>10</v>
      </c>
      <c r="D389">
        <f ca="1">IF(表_网址[[#This Row],[重点关键词]]="",10,MATCH(表_网址[[#This Row],[重点关键词]],OFFSET(重点关键词!$A$1,MATCH($J389,首要关键词,0)*50-48,MATCH($K389,次要关键词,0),重点关键词数量,1),0)+10)</f>
        <v>10</v>
      </c>
      <c r="E389">
        <f ca="1">IF(AND(表_网址[[#This Row],[1级]]=B388,表_网址[[#This Row],[2级]]=C388,表_网址[[#This Row],[3级]]=D388),E388+1,101)</f>
        <v>107</v>
      </c>
      <c r="F389" t="s">
        <v>1007</v>
      </c>
      <c r="G389" t="s">
        <v>1008</v>
      </c>
      <c r="H389" t="s">
        <v>1009</v>
      </c>
      <c r="I389" t="s">
        <v>1010</v>
      </c>
      <c r="J389" t="s">
        <v>55</v>
      </c>
      <c r="M389">
        <v>999</v>
      </c>
      <c r="N389">
        <v>999</v>
      </c>
      <c r="P389">
        <v>32</v>
      </c>
    </row>
    <row r="390" spans="1:16" x14ac:dyDescent="0.2">
      <c r="A390" t="str">
        <f ca="1">表_网址[[#This Row],[1级]]&amp;"-"&amp;表_网址[[#This Row],[2级]]&amp;"-"&amp;表_网址[[#This Row],[3级]]&amp;"-"&amp;表_网址[[#This Row],[级内]]</f>
        <v>905-10-10-108</v>
      </c>
      <c r="B390">
        <f>VLOOKUP(表_网址[[#This Row],[首要关键词]],表_首次要关键词[[首要关键词]:[排序]],2,0)</f>
        <v>905</v>
      </c>
      <c r="C390" s="4">
        <f>IF(表_网址[[#This Row],[次要关键词]]="",10,MATCH(表_网址[[#This Row],[次要关键词]],次要关键词,0)+10)</f>
        <v>10</v>
      </c>
      <c r="D390">
        <f ca="1">IF(表_网址[[#This Row],[重点关键词]]="",10,MATCH(表_网址[[#This Row],[重点关键词]],OFFSET(重点关键词!$A$1,MATCH($J390,首要关键词,0)*50-48,MATCH($K390,次要关键词,0),重点关键词数量,1),0)+10)</f>
        <v>10</v>
      </c>
      <c r="E390">
        <f ca="1">IF(AND(表_网址[[#This Row],[1级]]=B389,表_网址[[#This Row],[2级]]=C389,表_网址[[#This Row],[3级]]=D389),E389+1,101)</f>
        <v>108</v>
      </c>
      <c r="F390" t="s">
        <v>1011</v>
      </c>
      <c r="G390" t="s">
        <v>1012</v>
      </c>
      <c r="I390" t="s">
        <v>1013</v>
      </c>
      <c r="J390" t="s">
        <v>55</v>
      </c>
      <c r="M390">
        <v>999</v>
      </c>
      <c r="N390">
        <v>999</v>
      </c>
      <c r="P390">
        <v>32</v>
      </c>
    </row>
    <row r="391" spans="1:16" x14ac:dyDescent="0.2">
      <c r="A391" t="str">
        <f ca="1">表_网址[[#This Row],[1级]]&amp;"-"&amp;表_网址[[#This Row],[2级]]&amp;"-"&amp;表_网址[[#This Row],[3级]]&amp;"-"&amp;表_网址[[#This Row],[级内]]</f>
        <v>906-10-10-101</v>
      </c>
      <c r="B391">
        <f>VLOOKUP(表_网址[[#This Row],[首要关键词]],表_首次要关键词[[首要关键词]:[排序]],2,0)</f>
        <v>906</v>
      </c>
      <c r="C391" s="4">
        <f>IF(表_网址[[#This Row],[次要关键词]]="",10,MATCH(表_网址[[#This Row],[次要关键词]],次要关键词,0)+10)</f>
        <v>10</v>
      </c>
      <c r="D391">
        <f ca="1">IF(表_网址[[#This Row],[重点关键词]]="",10,MATCH(表_网址[[#This Row],[重点关键词]],OFFSET(重点关键词!$A$1,MATCH($J391,首要关键词,0)*50-48,MATCH($K391,次要关键词,0),重点关键词数量,1),0)+10)</f>
        <v>10</v>
      </c>
      <c r="E391">
        <f ca="1">IF(AND(表_网址[[#This Row],[1级]]=B390,表_网址[[#This Row],[2级]]=C390,表_网址[[#This Row],[3级]]=D390),E390+1,101)</f>
        <v>101</v>
      </c>
      <c r="F391" t="s">
        <v>1014</v>
      </c>
      <c r="G391" t="s">
        <v>1015</v>
      </c>
      <c r="H391" t="s">
        <v>82</v>
      </c>
      <c r="I391" t="s">
        <v>1016</v>
      </c>
      <c r="J391" t="s">
        <v>56</v>
      </c>
      <c r="M391">
        <v>999</v>
      </c>
      <c r="P391">
        <v>16</v>
      </c>
    </row>
    <row r="392" spans="1:16" x14ac:dyDescent="0.2">
      <c r="A392" t="str">
        <f ca="1">表_网址[[#This Row],[1级]]&amp;"-"&amp;表_网址[[#This Row],[2级]]&amp;"-"&amp;表_网址[[#This Row],[3级]]&amp;"-"&amp;表_网址[[#This Row],[级内]]</f>
        <v>907-10-10-101</v>
      </c>
      <c r="B392">
        <f>VLOOKUP(表_网址[[#This Row],[首要关键词]],表_首次要关键词[[首要关键词]:[排序]],2,0)</f>
        <v>907</v>
      </c>
      <c r="C392" s="4">
        <f>IF(表_网址[[#This Row],[次要关键词]]="",10,MATCH(表_网址[[#This Row],[次要关键词]],次要关键词,0)+10)</f>
        <v>10</v>
      </c>
      <c r="D392">
        <f ca="1">IF(表_网址[[#This Row],[重点关键词]]="",10,MATCH(表_网址[[#This Row],[重点关键词]],OFFSET(重点关键词!$A$1,MATCH($J392,首要关键词,0)*50-48,MATCH($K392,次要关键词,0),重点关键词数量,1),0)+10)</f>
        <v>10</v>
      </c>
      <c r="E392">
        <f ca="1">IF(AND(表_网址[[#This Row],[1级]]=B391,表_网址[[#This Row],[2级]]=C391,表_网址[[#This Row],[3级]]=D391),E391+1,101)</f>
        <v>101</v>
      </c>
      <c r="F392" t="s">
        <v>1017</v>
      </c>
      <c r="G392" t="s">
        <v>1018</v>
      </c>
      <c r="I392" t="s">
        <v>1019</v>
      </c>
      <c r="J392" t="s">
        <v>57</v>
      </c>
      <c r="M392">
        <v>999</v>
      </c>
      <c r="N392">
        <v>999</v>
      </c>
      <c r="P392">
        <v>16</v>
      </c>
    </row>
    <row r="393" spans="1:16" x14ac:dyDescent="0.2">
      <c r="A393" t="str">
        <f ca="1">表_网址[[#This Row],[1级]]&amp;"-"&amp;表_网址[[#This Row],[2级]]&amp;"-"&amp;表_网址[[#This Row],[3级]]&amp;"-"&amp;表_网址[[#This Row],[级内]]</f>
        <v>907-10-10-102</v>
      </c>
      <c r="B393">
        <f>VLOOKUP(表_网址[[#This Row],[首要关键词]],表_首次要关键词[[首要关键词]:[排序]],2,0)</f>
        <v>907</v>
      </c>
      <c r="C393" s="4">
        <f>IF(表_网址[[#This Row],[次要关键词]]="",10,MATCH(表_网址[[#This Row],[次要关键词]],次要关键词,0)+10)</f>
        <v>10</v>
      </c>
      <c r="D393">
        <f ca="1">IF(表_网址[[#This Row],[重点关键词]]="",10,MATCH(表_网址[[#This Row],[重点关键词]],OFFSET(重点关键词!$A$1,MATCH($J393,首要关键词,0)*50-48,MATCH($K393,次要关键词,0),重点关键词数量,1),0)+10)</f>
        <v>10</v>
      </c>
      <c r="E393">
        <f ca="1">IF(AND(表_网址[[#This Row],[1级]]=B392,表_网址[[#This Row],[2级]]=C392,表_网址[[#This Row],[3级]]=D392),E392+1,101)</f>
        <v>102</v>
      </c>
      <c r="F393" t="s">
        <v>1020</v>
      </c>
      <c r="G393" t="s">
        <v>1021</v>
      </c>
      <c r="I393" t="s">
        <v>1022</v>
      </c>
      <c r="J393" t="s">
        <v>57</v>
      </c>
      <c r="M393">
        <v>999</v>
      </c>
      <c r="N393">
        <v>999</v>
      </c>
      <c r="P393">
        <v>16</v>
      </c>
    </row>
    <row r="394" spans="1:16" x14ac:dyDescent="0.2">
      <c r="A394" t="str">
        <f ca="1">表_网址[[#This Row],[1级]]&amp;"-"&amp;表_网址[[#This Row],[2级]]&amp;"-"&amp;表_网址[[#This Row],[3级]]&amp;"-"&amp;表_网址[[#This Row],[级内]]</f>
        <v>907-10-10-103</v>
      </c>
      <c r="B394">
        <f>VLOOKUP(表_网址[[#This Row],[首要关键词]],表_首次要关键词[[首要关键词]:[排序]],2,0)</f>
        <v>907</v>
      </c>
      <c r="C394" s="4">
        <f>IF(表_网址[[#This Row],[次要关键词]]="",10,MATCH(表_网址[[#This Row],[次要关键词]],次要关键词,0)+10)</f>
        <v>10</v>
      </c>
      <c r="D394">
        <f ca="1">IF(表_网址[[#This Row],[重点关键词]]="",10,MATCH(表_网址[[#This Row],[重点关键词]],OFFSET(重点关键词!$A$1,MATCH($J394,首要关键词,0)*50-48,MATCH($K394,次要关键词,0),重点关键词数量,1),0)+10)</f>
        <v>10</v>
      </c>
      <c r="E394">
        <f ca="1">IF(AND(表_网址[[#This Row],[1级]]=B393,表_网址[[#This Row],[2级]]=C393,表_网址[[#This Row],[3级]]=D393),E393+1,101)</f>
        <v>103</v>
      </c>
      <c r="F394" t="s">
        <v>1023</v>
      </c>
      <c r="G394" t="s">
        <v>1024</v>
      </c>
      <c r="I394" t="s">
        <v>1025</v>
      </c>
      <c r="J394" t="s">
        <v>57</v>
      </c>
      <c r="M394">
        <v>999</v>
      </c>
      <c r="N394">
        <v>999</v>
      </c>
      <c r="P394">
        <v>32</v>
      </c>
    </row>
    <row r="395" spans="1:16" x14ac:dyDescent="0.2">
      <c r="A395" t="str">
        <f ca="1">表_网址[[#This Row],[1级]]&amp;"-"&amp;表_网址[[#This Row],[2级]]&amp;"-"&amp;表_网址[[#This Row],[3级]]&amp;"-"&amp;表_网址[[#This Row],[级内]]</f>
        <v>907-10-10-104</v>
      </c>
      <c r="B395">
        <f>VLOOKUP(表_网址[[#This Row],[首要关键词]],表_首次要关键词[[首要关键词]:[排序]],2,0)</f>
        <v>907</v>
      </c>
      <c r="C395" s="4">
        <f>IF(表_网址[[#This Row],[次要关键词]]="",10,MATCH(表_网址[[#This Row],[次要关键词]],次要关键词,0)+10)</f>
        <v>10</v>
      </c>
      <c r="D395">
        <f ca="1">IF(表_网址[[#This Row],[重点关键词]]="",10,MATCH(表_网址[[#This Row],[重点关键词]],OFFSET(重点关键词!$A$1,MATCH($J395,首要关键词,0)*50-48,MATCH($K395,次要关键词,0),重点关键词数量,1),0)+10)</f>
        <v>10</v>
      </c>
      <c r="E395">
        <f ca="1">IF(AND(表_网址[[#This Row],[1级]]=B394,表_网址[[#This Row],[2级]]=C394,表_网址[[#This Row],[3级]]=D394),E394+1,101)</f>
        <v>104</v>
      </c>
      <c r="F395" t="s">
        <v>1026</v>
      </c>
      <c r="G395" t="s">
        <v>1027</v>
      </c>
      <c r="I395" t="s">
        <v>1028</v>
      </c>
      <c r="J395" t="s">
        <v>57</v>
      </c>
      <c r="M395">
        <v>999</v>
      </c>
      <c r="N395">
        <v>999</v>
      </c>
      <c r="P395">
        <v>16</v>
      </c>
    </row>
    <row r="396" spans="1:16" x14ac:dyDescent="0.2">
      <c r="A396" t="str">
        <f ca="1">表_网址[[#This Row],[1级]]&amp;"-"&amp;表_网址[[#This Row],[2级]]&amp;"-"&amp;表_网址[[#This Row],[3级]]&amp;"-"&amp;表_网址[[#This Row],[级内]]</f>
        <v>907-10-10-105</v>
      </c>
      <c r="B396">
        <f>VLOOKUP(表_网址[[#This Row],[首要关键词]],表_首次要关键词[[首要关键词]:[排序]],2,0)</f>
        <v>907</v>
      </c>
      <c r="C396" s="4">
        <f>IF(表_网址[[#This Row],[次要关键词]]="",10,MATCH(表_网址[[#This Row],[次要关键词]],次要关键词,0)+10)</f>
        <v>10</v>
      </c>
      <c r="D396">
        <f ca="1">IF(表_网址[[#This Row],[重点关键词]]="",10,MATCH(表_网址[[#This Row],[重点关键词]],OFFSET(重点关键词!$A$1,MATCH($J396,首要关键词,0)*50-48,MATCH($K396,次要关键词,0),重点关键词数量,1),0)+10)</f>
        <v>10</v>
      </c>
      <c r="E396">
        <f ca="1">IF(AND(表_网址[[#This Row],[1级]]=B395,表_网址[[#This Row],[2级]]=C395,表_网址[[#This Row],[3级]]=D395),E395+1,101)</f>
        <v>105</v>
      </c>
      <c r="F396" t="s">
        <v>1029</v>
      </c>
      <c r="G396" t="s">
        <v>1030</v>
      </c>
      <c r="I396" t="s">
        <v>1031</v>
      </c>
      <c r="J396" t="s">
        <v>57</v>
      </c>
      <c r="M396">
        <v>999</v>
      </c>
      <c r="N396">
        <v>999</v>
      </c>
      <c r="P396">
        <v>60</v>
      </c>
    </row>
    <row r="397" spans="1:16" x14ac:dyDescent="0.2">
      <c r="A397" t="str">
        <f ca="1">表_网址[[#This Row],[1级]]&amp;"-"&amp;表_网址[[#This Row],[2级]]&amp;"-"&amp;表_网址[[#This Row],[3级]]&amp;"-"&amp;表_网址[[#This Row],[级内]]</f>
        <v>907-10-10-106</v>
      </c>
      <c r="B397">
        <f>VLOOKUP(表_网址[[#This Row],[首要关键词]],表_首次要关键词[[首要关键词]:[排序]],2,0)</f>
        <v>907</v>
      </c>
      <c r="C397" s="4">
        <f>IF(表_网址[[#This Row],[次要关键词]]="",10,MATCH(表_网址[[#This Row],[次要关键词]],次要关键词,0)+10)</f>
        <v>10</v>
      </c>
      <c r="D397">
        <f ca="1">IF(表_网址[[#This Row],[重点关键词]]="",10,MATCH(表_网址[[#This Row],[重点关键词]],OFFSET(重点关键词!$A$1,MATCH($J397,首要关键词,0)*50-48,MATCH($K397,次要关键词,0),重点关键词数量,1),0)+10)</f>
        <v>10</v>
      </c>
      <c r="E397">
        <f ca="1">IF(AND(表_网址[[#This Row],[1级]]=B396,表_网址[[#This Row],[2级]]=C396,表_网址[[#This Row],[3级]]=D396),E396+1,101)</f>
        <v>106</v>
      </c>
      <c r="F397" t="s">
        <v>998</v>
      </c>
      <c r="G397" t="s">
        <v>1032</v>
      </c>
      <c r="I397" t="s">
        <v>1033</v>
      </c>
      <c r="J397" t="s">
        <v>57</v>
      </c>
      <c r="M397">
        <v>999</v>
      </c>
      <c r="N397">
        <v>999</v>
      </c>
      <c r="P397">
        <v>64</v>
      </c>
    </row>
    <row r="398" spans="1:16" x14ac:dyDescent="0.2">
      <c r="A398" t="str">
        <f ca="1">表_网址[[#This Row],[1级]]&amp;"-"&amp;表_网址[[#This Row],[2级]]&amp;"-"&amp;表_网址[[#This Row],[3级]]&amp;"-"&amp;表_网址[[#This Row],[级内]]</f>
        <v>907-10-10-107</v>
      </c>
      <c r="B398">
        <f>VLOOKUP(表_网址[[#This Row],[首要关键词]],表_首次要关键词[[首要关键词]:[排序]],2,0)</f>
        <v>907</v>
      </c>
      <c r="C398" s="4">
        <f>IF(表_网址[[#This Row],[次要关键词]]="",10,MATCH(表_网址[[#This Row],[次要关键词]],次要关键词,0)+10)</f>
        <v>10</v>
      </c>
      <c r="D398">
        <f ca="1">IF(表_网址[[#This Row],[重点关键词]]="",10,MATCH(表_网址[[#This Row],[重点关键词]],OFFSET(重点关键词!$A$1,MATCH($J398,首要关键词,0)*50-48,MATCH($K398,次要关键词,0),重点关键词数量,1),0)+10)</f>
        <v>10</v>
      </c>
      <c r="E398">
        <f ca="1">IF(AND(表_网址[[#This Row],[1级]]=B397,表_网址[[#This Row],[2级]]=C397,表_网址[[#This Row],[3级]]=D397),E397+1,101)</f>
        <v>107</v>
      </c>
      <c r="F398" t="s">
        <v>1034</v>
      </c>
      <c r="G398" t="s">
        <v>1035</v>
      </c>
      <c r="I398" t="s">
        <v>1036</v>
      </c>
      <c r="J398" t="s">
        <v>57</v>
      </c>
      <c r="M398">
        <v>999</v>
      </c>
      <c r="N398">
        <v>999</v>
      </c>
      <c r="P398">
        <v>16</v>
      </c>
    </row>
    <row r="399" spans="1:16" x14ac:dyDescent="0.2">
      <c r="A399" t="str">
        <f ca="1">表_网址[[#This Row],[1级]]&amp;"-"&amp;表_网址[[#This Row],[2级]]&amp;"-"&amp;表_网址[[#This Row],[3级]]&amp;"-"&amp;表_网址[[#This Row],[级内]]</f>
        <v>907-10-10-108</v>
      </c>
      <c r="B399">
        <f>VLOOKUP(表_网址[[#This Row],[首要关键词]],表_首次要关键词[[首要关键词]:[排序]],2,0)</f>
        <v>907</v>
      </c>
      <c r="C399" s="4">
        <f>IF(表_网址[[#This Row],[次要关键词]]="",10,MATCH(表_网址[[#This Row],[次要关键词]],次要关键词,0)+10)</f>
        <v>10</v>
      </c>
      <c r="D399">
        <f ca="1">IF(表_网址[[#This Row],[重点关键词]]="",10,MATCH(表_网址[[#This Row],[重点关键词]],OFFSET(重点关键词!$A$1,MATCH($J399,首要关键词,0)*50-48,MATCH($K399,次要关键词,0),重点关键词数量,1),0)+10)</f>
        <v>10</v>
      </c>
      <c r="E399">
        <f ca="1">IF(AND(表_网址[[#This Row],[1级]]=B398,表_网址[[#This Row],[2级]]=C398,表_网址[[#This Row],[3级]]=D398),E398+1,101)</f>
        <v>108</v>
      </c>
      <c r="F399" t="s">
        <v>1037</v>
      </c>
      <c r="G399" t="s">
        <v>1038</v>
      </c>
      <c r="I399" t="s">
        <v>1039</v>
      </c>
      <c r="J399" t="s">
        <v>57</v>
      </c>
      <c r="M399">
        <v>999</v>
      </c>
      <c r="N399">
        <v>999</v>
      </c>
      <c r="P399">
        <v>48</v>
      </c>
    </row>
    <row r="400" spans="1:16" x14ac:dyDescent="0.2">
      <c r="A400" t="str">
        <f ca="1">表_网址[[#This Row],[1级]]&amp;"-"&amp;表_网址[[#This Row],[2级]]&amp;"-"&amp;表_网址[[#This Row],[3级]]&amp;"-"&amp;表_网址[[#This Row],[级内]]</f>
        <v>907-10-10-109</v>
      </c>
      <c r="B400">
        <f>VLOOKUP(表_网址[[#This Row],[首要关键词]],表_首次要关键词[[首要关键词]:[排序]],2,0)</f>
        <v>907</v>
      </c>
      <c r="C400" s="4">
        <f>IF(表_网址[[#This Row],[次要关键词]]="",10,MATCH(表_网址[[#This Row],[次要关键词]],次要关键词,0)+10)</f>
        <v>10</v>
      </c>
      <c r="D400">
        <f ca="1">IF(表_网址[[#This Row],[重点关键词]]="",10,MATCH(表_网址[[#This Row],[重点关键词]],OFFSET(重点关键词!$A$1,MATCH($J400,首要关键词,0)*50-48,MATCH($K400,次要关键词,0),重点关键词数量,1),0)+10)</f>
        <v>10</v>
      </c>
      <c r="E400">
        <f ca="1">IF(AND(表_网址[[#This Row],[1级]]=B399,表_网址[[#This Row],[2级]]=C399,表_网址[[#This Row],[3级]]=D399),E399+1,101)</f>
        <v>109</v>
      </c>
      <c r="F400" t="s">
        <v>1040</v>
      </c>
      <c r="G400" t="s">
        <v>1041</v>
      </c>
      <c r="I400" t="s">
        <v>1042</v>
      </c>
      <c r="J400" t="s">
        <v>57</v>
      </c>
      <c r="M400">
        <v>999</v>
      </c>
      <c r="N400">
        <v>999</v>
      </c>
      <c r="P400">
        <v>16</v>
      </c>
    </row>
    <row r="401" spans="1:18" x14ac:dyDescent="0.2">
      <c r="A401" t="str">
        <f ca="1">表_网址[[#This Row],[1级]]&amp;"-"&amp;表_网址[[#This Row],[2级]]&amp;"-"&amp;表_网址[[#This Row],[3级]]&amp;"-"&amp;表_网址[[#This Row],[级内]]</f>
        <v>908-10-10-101</v>
      </c>
      <c r="B401">
        <f>VLOOKUP(表_网址[[#This Row],[首要关键词]],表_首次要关键词[[首要关键词]:[排序]],2,0)</f>
        <v>908</v>
      </c>
      <c r="C401" s="4">
        <f>IF(表_网址[[#This Row],[次要关键词]]="",10,MATCH(表_网址[[#This Row],[次要关键词]],次要关键词,0)+10)</f>
        <v>10</v>
      </c>
      <c r="D401">
        <f ca="1">IF(表_网址[[#This Row],[重点关键词]]="",10,MATCH(表_网址[[#This Row],[重点关键词]],OFFSET(重点关键词!$A$1,MATCH($J401,首要关键词,0)*50-48,MATCH($K401,次要关键词,0),重点关键词数量,1),0)+10)</f>
        <v>10</v>
      </c>
      <c r="E401">
        <f ca="1">IF(AND(表_网址[[#This Row],[1级]]=B400,表_网址[[#This Row],[2级]]=C400,表_网址[[#This Row],[3级]]=D400),E400+1,101)</f>
        <v>101</v>
      </c>
      <c r="F401" t="s">
        <v>1277</v>
      </c>
      <c r="G401" t="s">
        <v>1278</v>
      </c>
      <c r="I401" t="s">
        <v>1279</v>
      </c>
      <c r="J401" t="s">
        <v>58</v>
      </c>
      <c r="M401">
        <v>999</v>
      </c>
      <c r="N401">
        <v>999</v>
      </c>
    </row>
    <row r="402" spans="1:18" x14ac:dyDescent="0.2">
      <c r="A402" t="str">
        <f ca="1">表_网址[[#This Row],[1级]]&amp;"-"&amp;表_网址[[#This Row],[2级]]&amp;"-"&amp;表_网址[[#This Row],[3级]]&amp;"-"&amp;表_网址[[#This Row],[级内]]</f>
        <v>908-11-10-101</v>
      </c>
      <c r="B402">
        <f>VLOOKUP(表_网址[[#This Row],[首要关键词]],表_首次要关键词[[首要关键词]:[排序]],2,0)</f>
        <v>908</v>
      </c>
      <c r="C402" s="4">
        <f ca="1">IF(表_网址[[#This Row],[次要关键词]]="",10,MATCH(表_网址[[#This Row],[次要关键词]],次要关键词,0)+10)</f>
        <v>11</v>
      </c>
      <c r="D402">
        <f ca="1">IF(表_网址[[#This Row],[重点关键词]]="",10,MATCH(表_网址[[#This Row],[重点关键词]],OFFSET(重点关键词!$A$1,MATCH($J402,首要关键词,0)*50-48,MATCH($K402,次要关键词,0),重点关键词数量,1),0)+10)</f>
        <v>10</v>
      </c>
      <c r="E402">
        <f ca="1">IF(AND(表_网址[[#This Row],[1级]]=B401,表_网址[[#This Row],[2级]]=C401,表_网址[[#This Row],[3级]]=D401),E401+1,101)</f>
        <v>101</v>
      </c>
      <c r="F402" t="s">
        <v>1280</v>
      </c>
      <c r="G402" t="s">
        <v>1281</v>
      </c>
      <c r="I402" t="s">
        <v>1282</v>
      </c>
      <c r="J402" t="s">
        <v>58</v>
      </c>
      <c r="K402" t="s">
        <v>1283</v>
      </c>
      <c r="M402">
        <v>999</v>
      </c>
      <c r="N402">
        <v>999</v>
      </c>
      <c r="P402">
        <v>32</v>
      </c>
    </row>
    <row r="403" spans="1:18" x14ac:dyDescent="0.2">
      <c r="A403" t="str">
        <f ca="1">表_网址[[#This Row],[1级]]&amp;"-"&amp;表_网址[[#This Row],[2级]]&amp;"-"&amp;表_网址[[#This Row],[3级]]&amp;"-"&amp;表_网址[[#This Row],[级内]]</f>
        <v>908-11-10-102</v>
      </c>
      <c r="B403">
        <f>VLOOKUP(表_网址[[#This Row],[首要关键词]],表_首次要关键词[[首要关键词]:[排序]],2,0)</f>
        <v>908</v>
      </c>
      <c r="C403" s="4">
        <f ca="1">IF(表_网址[[#This Row],[次要关键词]]="",10,MATCH(表_网址[[#This Row],[次要关键词]],次要关键词,0)+10)</f>
        <v>11</v>
      </c>
      <c r="D403">
        <f ca="1">IF(表_网址[[#This Row],[重点关键词]]="",10,MATCH(表_网址[[#This Row],[重点关键词]],OFFSET(重点关键词!$A$1,MATCH($J403,首要关键词,0)*50-48,MATCH($K403,次要关键词,0),重点关键词数量,1),0)+10)</f>
        <v>10</v>
      </c>
      <c r="E403">
        <f ca="1">IF(AND(表_网址[[#This Row],[1级]]=B402,表_网址[[#This Row],[2级]]=C402,表_网址[[#This Row],[3级]]=D402),E402+1,101)</f>
        <v>102</v>
      </c>
      <c r="F403" t="s">
        <v>1284</v>
      </c>
      <c r="G403" t="s">
        <v>1285</v>
      </c>
      <c r="I403" t="s">
        <v>1286</v>
      </c>
      <c r="J403" t="s">
        <v>58</v>
      </c>
      <c r="K403" t="s">
        <v>1283</v>
      </c>
      <c r="M403">
        <v>999</v>
      </c>
      <c r="N403">
        <v>999</v>
      </c>
      <c r="P403">
        <v>64</v>
      </c>
    </row>
    <row r="404" spans="1:18" x14ac:dyDescent="0.2">
      <c r="A404" t="str">
        <f ca="1">表_网址[[#This Row],[1级]]&amp;"-"&amp;表_网址[[#This Row],[2级]]&amp;"-"&amp;表_网址[[#This Row],[3级]]&amp;"-"&amp;表_网址[[#This Row],[级内]]</f>
        <v>908-11-10-103</v>
      </c>
      <c r="B404">
        <f>VLOOKUP(表_网址[[#This Row],[首要关键词]],表_首次要关键词[[首要关键词]:[排序]],2,0)</f>
        <v>908</v>
      </c>
      <c r="C404" s="4">
        <f ca="1">IF(表_网址[[#This Row],[次要关键词]]="",10,MATCH(表_网址[[#This Row],[次要关键词]],次要关键词,0)+10)</f>
        <v>11</v>
      </c>
      <c r="D404">
        <f ca="1">IF(表_网址[[#This Row],[重点关键词]]="",10,MATCH(表_网址[[#This Row],[重点关键词]],OFFSET(重点关键词!$A$1,MATCH($J404,首要关键词,0)*50-48,MATCH($K404,次要关键词,0),重点关键词数量,1),0)+10)</f>
        <v>10</v>
      </c>
      <c r="E404">
        <f ca="1">IF(AND(表_网址[[#This Row],[1级]]=B403,表_网址[[#This Row],[2级]]=C403,表_网址[[#This Row],[3级]]=D403),E403+1,101)</f>
        <v>103</v>
      </c>
      <c r="F404" t="s">
        <v>1287</v>
      </c>
      <c r="G404" t="s">
        <v>1288</v>
      </c>
      <c r="I404" t="s">
        <v>1289</v>
      </c>
      <c r="J404" t="s">
        <v>58</v>
      </c>
      <c r="K404" t="s">
        <v>1283</v>
      </c>
      <c r="M404">
        <v>999</v>
      </c>
      <c r="N404">
        <v>999</v>
      </c>
      <c r="P404">
        <v>16</v>
      </c>
    </row>
    <row r="405" spans="1:18" x14ac:dyDescent="0.2">
      <c r="A405" t="str">
        <f ca="1">表_网址[[#This Row],[1级]]&amp;"-"&amp;表_网址[[#This Row],[2级]]&amp;"-"&amp;表_网址[[#This Row],[3级]]&amp;"-"&amp;表_网址[[#This Row],[级内]]</f>
        <v>908-11-10-104</v>
      </c>
      <c r="B405">
        <f>VLOOKUP(表_网址[[#This Row],[首要关键词]],表_首次要关键词[[首要关键词]:[排序]],2,0)</f>
        <v>908</v>
      </c>
      <c r="C405" s="4">
        <f ca="1">IF(表_网址[[#This Row],[次要关键词]]="",10,MATCH(表_网址[[#This Row],[次要关键词]],次要关键词,0)+10)</f>
        <v>11</v>
      </c>
      <c r="D405">
        <f ca="1">IF(表_网址[[#This Row],[重点关键词]]="",10,MATCH(表_网址[[#This Row],[重点关键词]],OFFSET(重点关键词!$A$1,MATCH($J405,首要关键词,0)*50-48,MATCH($K405,次要关键词,0),重点关键词数量,1),0)+10)</f>
        <v>10</v>
      </c>
      <c r="E405">
        <f ca="1">IF(AND(表_网址[[#This Row],[1级]]=B404,表_网址[[#This Row],[2级]]=C404,表_网址[[#This Row],[3级]]=D404),E404+1,101)</f>
        <v>104</v>
      </c>
      <c r="F405" t="s">
        <v>1290</v>
      </c>
      <c r="G405" t="s">
        <v>1291</v>
      </c>
      <c r="I405" t="s">
        <v>1292</v>
      </c>
      <c r="J405" t="s">
        <v>58</v>
      </c>
      <c r="K405" t="s">
        <v>1283</v>
      </c>
      <c r="M405">
        <v>999</v>
      </c>
      <c r="N405">
        <v>999</v>
      </c>
      <c r="P405">
        <v>64</v>
      </c>
    </row>
    <row r="406" spans="1:18" x14ac:dyDescent="0.2">
      <c r="A406" t="str">
        <f ca="1">表_网址[[#This Row],[1级]]&amp;"-"&amp;表_网址[[#This Row],[2级]]&amp;"-"&amp;表_网址[[#This Row],[3级]]&amp;"-"&amp;表_网址[[#This Row],[级内]]</f>
        <v>908-11-10-105</v>
      </c>
      <c r="B406">
        <f>VLOOKUP(表_网址[[#This Row],[首要关键词]],表_首次要关键词[[首要关键词]:[排序]],2,0)</f>
        <v>908</v>
      </c>
      <c r="C406" s="4">
        <f ca="1">IF(表_网址[[#This Row],[次要关键词]]="",10,MATCH(表_网址[[#This Row],[次要关键词]],次要关键词,0)+10)</f>
        <v>11</v>
      </c>
      <c r="D406">
        <f ca="1">IF(表_网址[[#This Row],[重点关键词]]="",10,MATCH(表_网址[[#This Row],[重点关键词]],OFFSET(重点关键词!$A$1,MATCH($J406,首要关键词,0)*50-48,MATCH($K406,次要关键词,0),重点关键词数量,1),0)+10)</f>
        <v>10</v>
      </c>
      <c r="E406">
        <f ca="1">IF(AND(表_网址[[#This Row],[1级]]=B405,表_网址[[#This Row],[2级]]=C405,表_网址[[#This Row],[3级]]=D405),E405+1,101)</f>
        <v>105</v>
      </c>
      <c r="F406" t="s">
        <v>1293</v>
      </c>
      <c r="G406" t="s">
        <v>1294</v>
      </c>
      <c r="I406" t="s">
        <v>1295</v>
      </c>
      <c r="J406" t="s">
        <v>58</v>
      </c>
      <c r="K406" t="s">
        <v>1283</v>
      </c>
      <c r="M406">
        <v>999</v>
      </c>
      <c r="N406">
        <v>999</v>
      </c>
      <c r="P406">
        <v>16</v>
      </c>
    </row>
    <row r="407" spans="1:18" x14ac:dyDescent="0.2">
      <c r="A407" t="str">
        <f ca="1">表_网址[[#This Row],[1级]]&amp;"-"&amp;表_网址[[#This Row],[2级]]&amp;"-"&amp;表_网址[[#This Row],[3级]]&amp;"-"&amp;表_网址[[#This Row],[级内]]</f>
        <v>908-11-10-106</v>
      </c>
      <c r="B407">
        <f>VLOOKUP(表_网址[[#This Row],[首要关键词]],表_首次要关键词[[首要关键词]:[排序]],2,0)</f>
        <v>908</v>
      </c>
      <c r="C407" s="4">
        <f ca="1">IF(表_网址[[#This Row],[次要关键词]]="",10,MATCH(表_网址[[#This Row],[次要关键词]],次要关键词,0)+10)</f>
        <v>11</v>
      </c>
      <c r="D407">
        <f ca="1">IF(表_网址[[#This Row],[重点关键词]]="",10,MATCH(表_网址[[#This Row],[重点关键词]],OFFSET(重点关键词!$A$1,MATCH($J407,首要关键词,0)*50-48,MATCH($K407,次要关键词,0),重点关键词数量,1),0)+10)</f>
        <v>10</v>
      </c>
      <c r="E407">
        <f ca="1">IF(AND(表_网址[[#This Row],[1级]]=B406,表_网址[[#This Row],[2级]]=C406,表_网址[[#This Row],[3级]]=D406),E406+1,101)</f>
        <v>106</v>
      </c>
      <c r="F407" t="s">
        <v>1277</v>
      </c>
      <c r="G407" t="s">
        <v>1278</v>
      </c>
      <c r="I407" t="s">
        <v>1279</v>
      </c>
      <c r="J407" t="s">
        <v>58</v>
      </c>
      <c r="K407" t="s">
        <v>1283</v>
      </c>
      <c r="M407">
        <v>999</v>
      </c>
      <c r="N407">
        <v>999</v>
      </c>
      <c r="P407">
        <v>16</v>
      </c>
    </row>
    <row r="408" spans="1:18" x14ac:dyDescent="0.2">
      <c r="A408" t="str">
        <f ca="1">表_网址[[#This Row],[1级]]&amp;"-"&amp;表_网址[[#This Row],[2级]]&amp;"-"&amp;表_网址[[#This Row],[3级]]&amp;"-"&amp;表_网址[[#This Row],[级内]]</f>
        <v>908-12-10-101</v>
      </c>
      <c r="B408">
        <f>VLOOKUP(表_网址[[#This Row],[首要关键词]],表_首次要关键词[[首要关键词]:[排序]],2,0)</f>
        <v>908</v>
      </c>
      <c r="C408" s="4">
        <f ca="1">IF(表_网址[[#This Row],[次要关键词]]="",10,MATCH(表_网址[[#This Row],[次要关键词]],次要关键词,0)+10)</f>
        <v>12</v>
      </c>
      <c r="D408">
        <f ca="1">IF(表_网址[[#This Row],[重点关键词]]="",10,MATCH(表_网址[[#This Row],[重点关键词]],OFFSET(重点关键词!$A$1,MATCH($J408,首要关键词,0)*50-48,MATCH($K408,次要关键词,0),重点关键词数量,1),0)+10)</f>
        <v>10</v>
      </c>
      <c r="E408">
        <f ca="1">IF(AND(表_网址[[#This Row],[1级]]=B407,表_网址[[#This Row],[2级]]=C407,表_网址[[#This Row],[3级]]=D407),E407+1,101)</f>
        <v>101</v>
      </c>
      <c r="F408" t="s">
        <v>1296</v>
      </c>
      <c r="G408" t="s">
        <v>1297</v>
      </c>
      <c r="H408" t="s">
        <v>1298</v>
      </c>
      <c r="I408" t="s">
        <v>1299</v>
      </c>
      <c r="J408" t="s">
        <v>58</v>
      </c>
      <c r="K408" t="s">
        <v>1300</v>
      </c>
      <c r="M408">
        <v>999</v>
      </c>
      <c r="N408">
        <v>999</v>
      </c>
      <c r="P408">
        <v>16</v>
      </c>
    </row>
    <row r="409" spans="1:18" x14ac:dyDescent="0.2">
      <c r="A409" t="str">
        <f ca="1">表_网址[[#This Row],[1级]]&amp;"-"&amp;表_网址[[#This Row],[2级]]&amp;"-"&amp;表_网址[[#This Row],[3级]]&amp;"-"&amp;表_网址[[#This Row],[级内]]</f>
        <v>908-13-10-101</v>
      </c>
      <c r="B409">
        <f>VLOOKUP(表_网址[[#This Row],[首要关键词]],表_首次要关键词[[首要关键词]:[排序]],2,0)</f>
        <v>908</v>
      </c>
      <c r="C409" s="4">
        <f ca="1">IF(表_网址[[#This Row],[次要关键词]]="",10,MATCH(表_网址[[#This Row],[次要关键词]],次要关键词,0)+10)</f>
        <v>13</v>
      </c>
      <c r="D409">
        <f ca="1">IF(表_网址[[#This Row],[重点关键词]]="",10,MATCH(表_网址[[#This Row],[重点关键词]],OFFSET(重点关键词!$A$1,MATCH($J409,首要关键词,0)*50-48,MATCH($K409,次要关键词,0),重点关键词数量,1),0)+10)</f>
        <v>10</v>
      </c>
      <c r="E409">
        <f ca="1">IF(AND(表_网址[[#This Row],[1级]]=B408,表_网址[[#This Row],[2级]]=C408,表_网址[[#This Row],[3级]]=D408),E408+1,101)</f>
        <v>101</v>
      </c>
      <c r="F409" t="s">
        <v>1301</v>
      </c>
      <c r="G409" t="s">
        <v>1302</v>
      </c>
      <c r="I409" t="s">
        <v>1303</v>
      </c>
      <c r="J409" t="s">
        <v>58</v>
      </c>
      <c r="K409" t="s">
        <v>1304</v>
      </c>
      <c r="M409">
        <v>999</v>
      </c>
      <c r="N409">
        <v>999</v>
      </c>
      <c r="P409">
        <v>16</v>
      </c>
    </row>
    <row r="410" spans="1:18" x14ac:dyDescent="0.2">
      <c r="A410" t="str">
        <f ca="1">表_网址[[#This Row],[1级]]&amp;"-"&amp;表_网址[[#This Row],[2级]]&amp;"-"&amp;表_网址[[#This Row],[3级]]&amp;"-"&amp;表_网址[[#This Row],[级内]]</f>
        <v>991-10-10-101</v>
      </c>
      <c r="B410">
        <f>VLOOKUP(表_网址[[#This Row],[首要关键词]],表_首次要关键词[[首要关键词]:[排序]],2,0)</f>
        <v>991</v>
      </c>
      <c r="C410" s="4">
        <f>IF(表_网址[[#This Row],[次要关键词]]="",10,MATCH(表_网址[[#This Row],[次要关键词]],次要关键词,0)+10)</f>
        <v>10</v>
      </c>
      <c r="D410">
        <f ca="1">IF(表_网址[[#This Row],[重点关键词]]="",10,MATCH(表_网址[[#This Row],[重点关键词]],OFFSET(重点关键词!$A$1,MATCH($J410,首要关键词,0)*50-48,MATCH($K410,次要关键词,0),重点关键词数量,1),0)+10)</f>
        <v>10</v>
      </c>
      <c r="E410">
        <f ca="1">IF(AND(表_网址[[#This Row],[1级]]=B409,表_网址[[#This Row],[2级]]=C409,表_网址[[#This Row],[3级]]=D409),E409+1,101)</f>
        <v>101</v>
      </c>
      <c r="F410" t="s">
        <v>82</v>
      </c>
      <c r="J410" t="s">
        <v>59</v>
      </c>
    </row>
    <row r="411" spans="1:18" x14ac:dyDescent="0.2">
      <c r="A411" t="str">
        <f ca="1">表_网址[[#This Row],[1级]]&amp;"-"&amp;表_网址[[#This Row],[2级]]&amp;"-"&amp;表_网址[[#This Row],[3级]]&amp;"-"&amp;表_网址[[#This Row],[级内]]</f>
        <v>991-11-10-101</v>
      </c>
      <c r="B411">
        <f>VLOOKUP(表_网址[[#This Row],[首要关键词]],表_首次要关键词[[首要关键词]:[排序]],2,0)</f>
        <v>991</v>
      </c>
      <c r="C411" s="4">
        <f ca="1">IF(表_网址[[#This Row],[次要关键词]]="",10,MATCH(表_网址[[#This Row],[次要关键词]],次要关键词,0)+10)</f>
        <v>11</v>
      </c>
      <c r="D411">
        <f ca="1">IF(表_网址[[#This Row],[重点关键词]]="",10,MATCH(表_网址[[#This Row],[重点关键词]],OFFSET(重点关键词!$A$1,MATCH($J411,首要关键词,0)*50-48,MATCH($K411,次要关键词,0),重点关键词数量,1),0)+10)</f>
        <v>10</v>
      </c>
      <c r="E411">
        <f ca="1">IF(AND(表_网址[[#This Row],[1级]]=B410,表_网址[[#This Row],[2级]]=C410,表_网址[[#This Row],[3级]]=D410),E410+1,101)</f>
        <v>101</v>
      </c>
      <c r="F411" t="s">
        <v>1332</v>
      </c>
      <c r="G411" t="s">
        <v>1333</v>
      </c>
      <c r="H411" t="s">
        <v>82</v>
      </c>
      <c r="I411" t="s">
        <v>1334</v>
      </c>
      <c r="J411" t="s">
        <v>59</v>
      </c>
      <c r="K411" t="s">
        <v>1283</v>
      </c>
      <c r="M411">
        <v>999</v>
      </c>
      <c r="N411">
        <v>999</v>
      </c>
      <c r="P411">
        <v>32</v>
      </c>
    </row>
    <row r="412" spans="1:18" x14ac:dyDescent="0.2">
      <c r="A412" t="str">
        <f ca="1">表_网址[[#This Row],[1级]]&amp;"-"&amp;表_网址[[#This Row],[2级]]&amp;"-"&amp;表_网址[[#This Row],[3级]]&amp;"-"&amp;表_网址[[#This Row],[级内]]</f>
        <v>991-11-10-102</v>
      </c>
      <c r="B412">
        <f>VLOOKUP(表_网址[[#This Row],[首要关键词]],表_首次要关键词[[首要关键词]:[排序]],2,0)</f>
        <v>991</v>
      </c>
      <c r="C412" s="4">
        <f ca="1">IF(表_网址[[#This Row],[次要关键词]]="",10,MATCH(表_网址[[#This Row],[次要关键词]],次要关键词,0)+10)</f>
        <v>11</v>
      </c>
      <c r="D412">
        <f ca="1">IF(表_网址[[#This Row],[重点关键词]]="",10,MATCH(表_网址[[#This Row],[重点关键词]],OFFSET(重点关键词!$A$1,MATCH($J412,首要关键词,0)*50-48,MATCH($K412,次要关键词,0),重点关键词数量,1),0)+10)</f>
        <v>10</v>
      </c>
      <c r="E412">
        <f ca="1">IF(AND(表_网址[[#This Row],[1级]]=B411,表_网址[[#This Row],[2级]]=C411,表_网址[[#This Row],[3级]]=D411),E411+1,101)</f>
        <v>102</v>
      </c>
      <c r="F412" t="s">
        <v>1335</v>
      </c>
      <c r="G412" t="s">
        <v>1336</v>
      </c>
      <c r="I412" t="s">
        <v>1337</v>
      </c>
      <c r="J412" t="s">
        <v>59</v>
      </c>
      <c r="K412" t="s">
        <v>1283</v>
      </c>
      <c r="M412">
        <v>999</v>
      </c>
      <c r="N412">
        <v>999</v>
      </c>
      <c r="P412">
        <v>32</v>
      </c>
    </row>
    <row r="413" spans="1:18" x14ac:dyDescent="0.2">
      <c r="A413" t="str">
        <f ca="1">表_网址[[#This Row],[1级]]&amp;"-"&amp;表_网址[[#This Row],[2级]]&amp;"-"&amp;表_网址[[#This Row],[3级]]&amp;"-"&amp;表_网址[[#This Row],[级内]]</f>
        <v>991-11-10-103</v>
      </c>
      <c r="B413">
        <f>VLOOKUP(表_网址[[#This Row],[首要关键词]],表_首次要关键词[[首要关键词]:[排序]],2,0)</f>
        <v>991</v>
      </c>
      <c r="C413" s="4">
        <f ca="1">IF(表_网址[[#This Row],[次要关键词]]="",10,MATCH(表_网址[[#This Row],[次要关键词]],次要关键词,0)+10)</f>
        <v>11</v>
      </c>
      <c r="D413">
        <f ca="1">IF(表_网址[[#This Row],[重点关键词]]="",10,MATCH(表_网址[[#This Row],[重点关键词]],OFFSET(重点关键词!$A$1,MATCH($J413,首要关键词,0)*50-48,MATCH($K413,次要关键词,0),重点关键词数量,1),0)+10)</f>
        <v>10</v>
      </c>
      <c r="E413">
        <f ca="1">IF(AND(表_网址[[#This Row],[1级]]=B412,表_网址[[#This Row],[2级]]=C412,表_网址[[#This Row],[3级]]=D412),E412+1,101)</f>
        <v>103</v>
      </c>
      <c r="F413" t="s">
        <v>1338</v>
      </c>
      <c r="G413" t="s">
        <v>1339</v>
      </c>
      <c r="I413" t="s">
        <v>1340</v>
      </c>
      <c r="J413" t="s">
        <v>59</v>
      </c>
      <c r="K413" t="s">
        <v>1283</v>
      </c>
      <c r="M413">
        <v>999</v>
      </c>
      <c r="N413">
        <v>999</v>
      </c>
      <c r="P413">
        <v>32</v>
      </c>
    </row>
    <row r="414" spans="1:18" x14ac:dyDescent="0.2">
      <c r="A414" t="str">
        <f ca="1">表_网址[[#This Row],[1级]]&amp;"-"&amp;表_网址[[#This Row],[2级]]&amp;"-"&amp;表_网址[[#This Row],[3级]]&amp;"-"&amp;表_网址[[#This Row],[级内]]</f>
        <v>991-11-10-104</v>
      </c>
      <c r="B414">
        <f>VLOOKUP(表_网址[[#This Row],[首要关键词]],表_首次要关键词[[首要关键词]:[排序]],2,0)</f>
        <v>991</v>
      </c>
      <c r="C414" s="4">
        <f ca="1">IF(表_网址[[#This Row],[次要关键词]]="",10,MATCH(表_网址[[#This Row],[次要关键词]],次要关键词,0)+10)</f>
        <v>11</v>
      </c>
      <c r="D414">
        <f ca="1">IF(表_网址[[#This Row],[重点关键词]]="",10,MATCH(表_网址[[#This Row],[重点关键词]],OFFSET(重点关键词!$A$1,MATCH($J414,首要关键词,0)*50-48,MATCH($K414,次要关键词,0),重点关键词数量,1),0)+10)</f>
        <v>10</v>
      </c>
      <c r="E414">
        <f ca="1">IF(AND(表_网址[[#This Row],[1级]]=B413,表_网址[[#This Row],[2级]]=C413,表_网址[[#This Row],[3级]]=D413),E413+1,101)</f>
        <v>104</v>
      </c>
      <c r="F414" t="s">
        <v>1341</v>
      </c>
      <c r="G414" t="s">
        <v>1342</v>
      </c>
      <c r="H414" t="s">
        <v>82</v>
      </c>
      <c r="J414" t="s">
        <v>59</v>
      </c>
      <c r="K414" t="s">
        <v>1283</v>
      </c>
      <c r="M414">
        <v>999</v>
      </c>
      <c r="Q414" t="s">
        <v>557</v>
      </c>
      <c r="R414" t="s">
        <v>558</v>
      </c>
    </row>
    <row r="415" spans="1:18" x14ac:dyDescent="0.2">
      <c r="A415" t="str">
        <f ca="1">表_网址[[#This Row],[1级]]&amp;"-"&amp;表_网址[[#This Row],[2级]]&amp;"-"&amp;表_网址[[#This Row],[3级]]&amp;"-"&amp;表_网址[[#This Row],[级内]]</f>
        <v>991-12-10-101</v>
      </c>
      <c r="B415">
        <f>VLOOKUP(表_网址[[#This Row],[首要关键词]],表_首次要关键词[[首要关键词]:[排序]],2,0)</f>
        <v>991</v>
      </c>
      <c r="C415" s="4">
        <f ca="1">IF(表_网址[[#This Row],[次要关键词]]="",10,MATCH(表_网址[[#This Row],[次要关键词]],次要关键词,0)+10)</f>
        <v>12</v>
      </c>
      <c r="D415">
        <f ca="1">IF(表_网址[[#This Row],[重点关键词]]="",10,MATCH(表_网址[[#This Row],[重点关键词]],OFFSET(重点关键词!$A$1,MATCH($J415,首要关键词,0)*50-48,MATCH($K415,次要关键词,0),重点关键词数量,1),0)+10)</f>
        <v>10</v>
      </c>
      <c r="E415">
        <f ca="1">IF(AND(表_网址[[#This Row],[1级]]=B414,表_网址[[#This Row],[2级]]=C414,表_网址[[#This Row],[3级]]=D414),E414+1,101)</f>
        <v>101</v>
      </c>
      <c r="J415" t="s">
        <v>59</v>
      </c>
      <c r="K415" t="s">
        <v>46</v>
      </c>
    </row>
    <row r="416" spans="1:18" x14ac:dyDescent="0.2">
      <c r="A416" t="str">
        <f ca="1">表_网址[[#This Row],[1级]]&amp;"-"&amp;表_网址[[#This Row],[2级]]&amp;"-"&amp;表_网址[[#This Row],[3级]]&amp;"-"&amp;表_网址[[#This Row],[级内]]</f>
        <v>991-12-11-101</v>
      </c>
      <c r="B416">
        <f>VLOOKUP(表_网址[[#This Row],[首要关键词]],表_首次要关键词[[首要关键词]:[排序]],2,0)</f>
        <v>991</v>
      </c>
      <c r="C416" s="4">
        <f ca="1">IF(表_网址[[#This Row],[次要关键词]]="",10,MATCH(表_网址[[#This Row],[次要关键词]],次要关键词,0)+10)</f>
        <v>12</v>
      </c>
      <c r="D416">
        <f ca="1">IF(表_网址[[#This Row],[重点关键词]]="",10,MATCH(表_网址[[#This Row],[重点关键词]],OFFSET(重点关键词!$A$1,MATCH($J416,首要关键词,0)*50-48,MATCH($K416,次要关键词,0),重点关键词数量,1),0)+10)</f>
        <v>11</v>
      </c>
      <c r="E416">
        <f ca="1">IF(AND(表_网址[[#This Row],[1级]]=B415,表_网址[[#This Row],[2级]]=C415,表_网址[[#This Row],[3级]]=D415),E415+1,101)</f>
        <v>101</v>
      </c>
      <c r="F416" t="s">
        <v>1343</v>
      </c>
      <c r="G416" t="s">
        <v>1344</v>
      </c>
      <c r="H416" t="s">
        <v>1345</v>
      </c>
      <c r="J416" t="s">
        <v>59</v>
      </c>
      <c r="K416" t="s">
        <v>46</v>
      </c>
      <c r="L416" t="s">
        <v>1346</v>
      </c>
      <c r="M416">
        <v>999</v>
      </c>
    </row>
    <row r="417" spans="1:13" x14ac:dyDescent="0.2">
      <c r="A417" t="str">
        <f ca="1">表_网址[[#This Row],[1级]]&amp;"-"&amp;表_网址[[#This Row],[2级]]&amp;"-"&amp;表_网址[[#This Row],[3级]]&amp;"-"&amp;表_网址[[#This Row],[级内]]</f>
        <v>991-12-11-102</v>
      </c>
      <c r="B417">
        <f>VLOOKUP(表_网址[[#This Row],[首要关键词]],表_首次要关键词[[首要关键词]:[排序]],2,0)</f>
        <v>991</v>
      </c>
      <c r="C417" s="4">
        <f ca="1">IF(表_网址[[#This Row],[次要关键词]]="",10,MATCH(表_网址[[#This Row],[次要关键词]],次要关键词,0)+10)</f>
        <v>12</v>
      </c>
      <c r="D417">
        <f ca="1">IF(表_网址[[#This Row],[重点关键词]]="",10,MATCH(表_网址[[#This Row],[重点关键词]],OFFSET(重点关键词!$A$1,MATCH($J417,首要关键词,0)*50-48,MATCH($K417,次要关键词,0),重点关键词数量,1),0)+10)</f>
        <v>11</v>
      </c>
      <c r="E417">
        <f ca="1">IF(AND(表_网址[[#This Row],[1级]]=B416,表_网址[[#This Row],[2级]]=C416,表_网址[[#This Row],[3级]]=D416),E416+1,101)</f>
        <v>102</v>
      </c>
      <c r="F417" t="s">
        <v>1347</v>
      </c>
      <c r="G417" t="s">
        <v>1348</v>
      </c>
      <c r="H417" t="s">
        <v>1349</v>
      </c>
      <c r="J417" t="s">
        <v>59</v>
      </c>
      <c r="K417" t="s">
        <v>46</v>
      </c>
      <c r="L417" t="s">
        <v>1346</v>
      </c>
      <c r="M417">
        <v>999</v>
      </c>
    </row>
    <row r="418" spans="1:13" x14ac:dyDescent="0.2">
      <c r="A418" t="str">
        <f ca="1">表_网址[[#This Row],[1级]]&amp;"-"&amp;表_网址[[#This Row],[2级]]&amp;"-"&amp;表_网址[[#This Row],[3级]]&amp;"-"&amp;表_网址[[#This Row],[级内]]</f>
        <v>991-12-11-103</v>
      </c>
      <c r="B418">
        <f>VLOOKUP(表_网址[[#This Row],[首要关键词]],表_首次要关键词[[首要关键词]:[排序]],2,0)</f>
        <v>991</v>
      </c>
      <c r="C418" s="4">
        <f ca="1">IF(表_网址[[#This Row],[次要关键词]]="",10,MATCH(表_网址[[#This Row],[次要关键词]],次要关键词,0)+10)</f>
        <v>12</v>
      </c>
      <c r="D418">
        <f ca="1">IF(表_网址[[#This Row],[重点关键词]]="",10,MATCH(表_网址[[#This Row],[重点关键词]],OFFSET(重点关键词!$A$1,MATCH($J418,首要关键词,0)*50-48,MATCH($K418,次要关键词,0),重点关键词数量,1),0)+10)</f>
        <v>11</v>
      </c>
      <c r="E418">
        <f ca="1">IF(AND(表_网址[[#This Row],[1级]]=B417,表_网址[[#This Row],[2级]]=C417,表_网址[[#This Row],[3级]]=D417),E417+1,101)</f>
        <v>103</v>
      </c>
      <c r="F418" t="s">
        <v>1350</v>
      </c>
      <c r="G418" t="s">
        <v>1351</v>
      </c>
      <c r="H418" t="s">
        <v>1352</v>
      </c>
      <c r="J418" t="s">
        <v>59</v>
      </c>
      <c r="K418" t="s">
        <v>46</v>
      </c>
      <c r="L418" t="s">
        <v>1346</v>
      </c>
      <c r="M418">
        <v>999</v>
      </c>
    </row>
    <row r="419" spans="1:13" x14ac:dyDescent="0.2">
      <c r="A419" t="str">
        <f ca="1">表_网址[[#This Row],[1级]]&amp;"-"&amp;表_网址[[#This Row],[2级]]&amp;"-"&amp;表_网址[[#This Row],[3级]]&amp;"-"&amp;表_网址[[#This Row],[级内]]</f>
        <v>991-12-11-104</v>
      </c>
      <c r="B419">
        <f>VLOOKUP(表_网址[[#This Row],[首要关键词]],表_首次要关键词[[首要关键词]:[排序]],2,0)</f>
        <v>991</v>
      </c>
      <c r="C419" s="4">
        <f ca="1">IF(表_网址[[#This Row],[次要关键词]]="",10,MATCH(表_网址[[#This Row],[次要关键词]],次要关键词,0)+10)</f>
        <v>12</v>
      </c>
      <c r="D419">
        <f ca="1">IF(表_网址[[#This Row],[重点关键词]]="",10,MATCH(表_网址[[#This Row],[重点关键词]],OFFSET(重点关键词!$A$1,MATCH($J419,首要关键词,0)*50-48,MATCH($K419,次要关键词,0),重点关键词数量,1),0)+10)</f>
        <v>11</v>
      </c>
      <c r="E419">
        <f ca="1">IF(AND(表_网址[[#This Row],[1级]]=B418,表_网址[[#This Row],[2级]]=C418,表_网址[[#This Row],[3级]]=D418),E418+1,101)</f>
        <v>104</v>
      </c>
      <c r="F419" t="s">
        <v>1353</v>
      </c>
      <c r="G419" t="s">
        <v>1354</v>
      </c>
      <c r="H419" t="s">
        <v>1355</v>
      </c>
      <c r="J419" t="s">
        <v>59</v>
      </c>
      <c r="K419" t="s">
        <v>46</v>
      </c>
      <c r="L419" t="s">
        <v>1346</v>
      </c>
      <c r="M419">
        <v>999</v>
      </c>
    </row>
    <row r="420" spans="1:13" x14ac:dyDescent="0.2">
      <c r="A420" t="str">
        <f ca="1">表_网址[[#This Row],[1级]]&amp;"-"&amp;表_网址[[#This Row],[2级]]&amp;"-"&amp;表_网址[[#This Row],[3级]]&amp;"-"&amp;表_网址[[#This Row],[级内]]</f>
        <v>991-12-12-101</v>
      </c>
      <c r="B420">
        <f>VLOOKUP(表_网址[[#This Row],[首要关键词]],表_首次要关键词[[首要关键词]:[排序]],2,0)</f>
        <v>991</v>
      </c>
      <c r="C420" s="4">
        <f ca="1">IF(表_网址[[#This Row],[次要关键词]]="",10,MATCH(表_网址[[#This Row],[次要关键词]],次要关键词,0)+10)</f>
        <v>12</v>
      </c>
      <c r="D420">
        <f ca="1">IF(表_网址[[#This Row],[重点关键词]]="",10,MATCH(表_网址[[#This Row],[重点关键词]],OFFSET(重点关键词!$A$1,MATCH($J420,首要关键词,0)*50-48,MATCH($K420,次要关键词,0),重点关键词数量,1),0)+10)</f>
        <v>12</v>
      </c>
      <c r="E420">
        <f ca="1">IF(AND(表_网址[[#This Row],[1级]]=B419,表_网址[[#This Row],[2级]]=C419,表_网址[[#This Row],[3级]]=D419),E419+1,101)</f>
        <v>101</v>
      </c>
      <c r="F420" t="s">
        <v>1356</v>
      </c>
      <c r="G420" t="s">
        <v>1357</v>
      </c>
      <c r="J420" t="s">
        <v>59</v>
      </c>
      <c r="K420" t="s">
        <v>46</v>
      </c>
      <c r="L420" t="s">
        <v>1358</v>
      </c>
      <c r="M420">
        <v>999</v>
      </c>
    </row>
    <row r="421" spans="1:13" x14ac:dyDescent="0.2">
      <c r="A421" t="str">
        <f ca="1">表_网址[[#This Row],[1级]]&amp;"-"&amp;表_网址[[#This Row],[2级]]&amp;"-"&amp;表_网址[[#This Row],[3级]]&amp;"-"&amp;表_网址[[#This Row],[级内]]</f>
        <v>991-12-12-102</v>
      </c>
      <c r="B421">
        <f>VLOOKUP(表_网址[[#This Row],[首要关键词]],表_首次要关键词[[首要关键词]:[排序]],2,0)</f>
        <v>991</v>
      </c>
      <c r="C421" s="4">
        <f ca="1">IF(表_网址[[#This Row],[次要关键词]]="",10,MATCH(表_网址[[#This Row],[次要关键词]],次要关键词,0)+10)</f>
        <v>12</v>
      </c>
      <c r="D421">
        <f ca="1">IF(表_网址[[#This Row],[重点关键词]]="",10,MATCH(表_网址[[#This Row],[重点关键词]],OFFSET(重点关键词!$A$1,MATCH($J421,首要关键词,0)*50-48,MATCH($K421,次要关键词,0),重点关键词数量,1),0)+10)</f>
        <v>12</v>
      </c>
      <c r="E421">
        <f ca="1">IF(AND(表_网址[[#This Row],[1级]]=B420,表_网址[[#This Row],[2级]]=C420,表_网址[[#This Row],[3级]]=D420),E420+1,101)</f>
        <v>102</v>
      </c>
      <c r="F421" t="s">
        <v>1359</v>
      </c>
      <c r="G421" t="s">
        <v>1360</v>
      </c>
      <c r="H421" t="s">
        <v>1361</v>
      </c>
      <c r="J421" t="s">
        <v>59</v>
      </c>
      <c r="K421" t="s">
        <v>46</v>
      </c>
      <c r="L421" t="s">
        <v>1358</v>
      </c>
      <c r="M421">
        <v>999</v>
      </c>
    </row>
    <row r="422" spans="1:13" x14ac:dyDescent="0.2">
      <c r="A422" t="str">
        <f ca="1">表_网址[[#This Row],[1级]]&amp;"-"&amp;表_网址[[#This Row],[2级]]&amp;"-"&amp;表_网址[[#This Row],[3级]]&amp;"-"&amp;表_网址[[#This Row],[级内]]</f>
        <v>991-12-12-103</v>
      </c>
      <c r="B422">
        <f>VLOOKUP(表_网址[[#This Row],[首要关键词]],表_首次要关键词[[首要关键词]:[排序]],2,0)</f>
        <v>991</v>
      </c>
      <c r="C422" s="4">
        <f ca="1">IF(表_网址[[#This Row],[次要关键词]]="",10,MATCH(表_网址[[#This Row],[次要关键词]],次要关键词,0)+10)</f>
        <v>12</v>
      </c>
      <c r="D422">
        <f ca="1">IF(表_网址[[#This Row],[重点关键词]]="",10,MATCH(表_网址[[#This Row],[重点关键词]],OFFSET(重点关键词!$A$1,MATCH($J422,首要关键词,0)*50-48,MATCH($K422,次要关键词,0),重点关键词数量,1),0)+10)</f>
        <v>12</v>
      </c>
      <c r="E422">
        <f ca="1">IF(AND(表_网址[[#This Row],[1级]]=B421,表_网址[[#This Row],[2级]]=C421,表_网址[[#This Row],[3级]]=D421),E421+1,101)</f>
        <v>103</v>
      </c>
      <c r="F422" t="s">
        <v>1362</v>
      </c>
      <c r="G422" t="s">
        <v>1363</v>
      </c>
      <c r="H422" t="s">
        <v>1364</v>
      </c>
      <c r="J422" t="s">
        <v>59</v>
      </c>
      <c r="K422" t="s">
        <v>46</v>
      </c>
      <c r="L422" t="s">
        <v>1358</v>
      </c>
      <c r="M422">
        <v>999</v>
      </c>
    </row>
    <row r="423" spans="1:13" x14ac:dyDescent="0.2">
      <c r="A423" t="str">
        <f ca="1">表_网址[[#This Row],[1级]]&amp;"-"&amp;表_网址[[#This Row],[2级]]&amp;"-"&amp;表_网址[[#This Row],[3级]]&amp;"-"&amp;表_网址[[#This Row],[级内]]</f>
        <v>991-12-12-104</v>
      </c>
      <c r="B423">
        <f>VLOOKUP(表_网址[[#This Row],[首要关键词]],表_首次要关键词[[首要关键词]:[排序]],2,0)</f>
        <v>991</v>
      </c>
      <c r="C423" s="4">
        <f ca="1">IF(表_网址[[#This Row],[次要关键词]]="",10,MATCH(表_网址[[#This Row],[次要关键词]],次要关键词,0)+10)</f>
        <v>12</v>
      </c>
      <c r="D423">
        <f ca="1">IF(表_网址[[#This Row],[重点关键词]]="",10,MATCH(表_网址[[#This Row],[重点关键词]],OFFSET(重点关键词!$A$1,MATCH($J423,首要关键词,0)*50-48,MATCH($K423,次要关键词,0),重点关键词数量,1),0)+10)</f>
        <v>12</v>
      </c>
      <c r="E423">
        <f ca="1">IF(AND(表_网址[[#This Row],[1级]]=B422,表_网址[[#This Row],[2级]]=C422,表_网址[[#This Row],[3级]]=D422),E422+1,101)</f>
        <v>104</v>
      </c>
      <c r="F423" t="s">
        <v>1365</v>
      </c>
      <c r="G423" t="s">
        <v>1366</v>
      </c>
      <c r="H423" t="s">
        <v>1367</v>
      </c>
      <c r="J423" t="s">
        <v>59</v>
      </c>
      <c r="K423" t="s">
        <v>46</v>
      </c>
      <c r="L423" t="s">
        <v>1358</v>
      </c>
      <c r="M423">
        <v>999</v>
      </c>
    </row>
    <row r="424" spans="1:13" x14ac:dyDescent="0.2">
      <c r="A424" t="str">
        <f ca="1">表_网址[[#This Row],[1级]]&amp;"-"&amp;表_网址[[#This Row],[2级]]&amp;"-"&amp;表_网址[[#This Row],[3级]]&amp;"-"&amp;表_网址[[#This Row],[级内]]</f>
        <v>991-12-13-101</v>
      </c>
      <c r="B424">
        <f>VLOOKUP(表_网址[[#This Row],[首要关键词]],表_首次要关键词[[首要关键词]:[排序]],2,0)</f>
        <v>991</v>
      </c>
      <c r="C424" s="4">
        <f ca="1">IF(表_网址[[#This Row],[次要关键词]]="",10,MATCH(表_网址[[#This Row],[次要关键词]],次要关键词,0)+10)</f>
        <v>12</v>
      </c>
      <c r="D424">
        <f ca="1">IF(表_网址[[#This Row],[重点关键词]]="",10,MATCH(表_网址[[#This Row],[重点关键词]],OFFSET(重点关键词!$A$1,MATCH($J424,首要关键词,0)*50-48,MATCH($K424,次要关键词,0),重点关键词数量,1),0)+10)</f>
        <v>13</v>
      </c>
      <c r="E424">
        <f ca="1">IF(AND(表_网址[[#This Row],[1级]]=B423,表_网址[[#This Row],[2级]]=C423,表_网址[[#This Row],[3级]]=D423),E423+1,101)</f>
        <v>101</v>
      </c>
      <c r="F424" t="s">
        <v>1368</v>
      </c>
      <c r="G424" t="s">
        <v>1369</v>
      </c>
      <c r="J424" t="s">
        <v>59</v>
      </c>
      <c r="K424" t="s">
        <v>46</v>
      </c>
      <c r="L424" t="s">
        <v>1370</v>
      </c>
      <c r="M424">
        <v>999</v>
      </c>
    </row>
    <row r="425" spans="1:13" x14ac:dyDescent="0.2">
      <c r="A425" t="str">
        <f ca="1">表_网址[[#This Row],[1级]]&amp;"-"&amp;表_网址[[#This Row],[2级]]&amp;"-"&amp;表_网址[[#This Row],[3级]]&amp;"-"&amp;表_网址[[#This Row],[级内]]</f>
        <v>991-12-13-102</v>
      </c>
      <c r="B425">
        <f>VLOOKUP(表_网址[[#This Row],[首要关键词]],表_首次要关键词[[首要关键词]:[排序]],2,0)</f>
        <v>991</v>
      </c>
      <c r="C425" s="4">
        <f ca="1">IF(表_网址[[#This Row],[次要关键词]]="",10,MATCH(表_网址[[#This Row],[次要关键词]],次要关键词,0)+10)</f>
        <v>12</v>
      </c>
      <c r="D425">
        <f ca="1">IF(表_网址[[#This Row],[重点关键词]]="",10,MATCH(表_网址[[#This Row],[重点关键词]],OFFSET(重点关键词!$A$1,MATCH($J425,首要关键词,0)*50-48,MATCH($K425,次要关键词,0),重点关键词数量,1),0)+10)</f>
        <v>13</v>
      </c>
      <c r="E425">
        <f ca="1">IF(AND(表_网址[[#This Row],[1级]]=B424,表_网址[[#This Row],[2级]]=C424,表_网址[[#This Row],[3级]]=D424),E424+1,101)</f>
        <v>102</v>
      </c>
      <c r="F425" t="s">
        <v>1371</v>
      </c>
      <c r="G425" t="s">
        <v>1372</v>
      </c>
      <c r="J425" t="s">
        <v>59</v>
      </c>
      <c r="K425" t="s">
        <v>46</v>
      </c>
      <c r="L425" t="s">
        <v>1370</v>
      </c>
      <c r="M425">
        <v>999</v>
      </c>
    </row>
    <row r="426" spans="1:13" x14ac:dyDescent="0.2">
      <c r="A426" t="str">
        <f ca="1">表_网址[[#This Row],[1级]]&amp;"-"&amp;表_网址[[#This Row],[2级]]&amp;"-"&amp;表_网址[[#This Row],[3级]]&amp;"-"&amp;表_网址[[#This Row],[级内]]</f>
        <v>991-12-13-103</v>
      </c>
      <c r="B426">
        <f>VLOOKUP(表_网址[[#This Row],[首要关键词]],表_首次要关键词[[首要关键词]:[排序]],2,0)</f>
        <v>991</v>
      </c>
      <c r="C426" s="4">
        <f ca="1">IF(表_网址[[#This Row],[次要关键词]]="",10,MATCH(表_网址[[#This Row],[次要关键词]],次要关键词,0)+10)</f>
        <v>12</v>
      </c>
      <c r="D426">
        <f ca="1">IF(表_网址[[#This Row],[重点关键词]]="",10,MATCH(表_网址[[#This Row],[重点关键词]],OFFSET(重点关键词!$A$1,MATCH($J426,首要关键词,0)*50-48,MATCH($K426,次要关键词,0),重点关键词数量,1),0)+10)</f>
        <v>13</v>
      </c>
      <c r="E426">
        <f ca="1">IF(AND(表_网址[[#This Row],[1级]]=B425,表_网址[[#This Row],[2级]]=C425,表_网址[[#This Row],[3级]]=D425),E425+1,101)</f>
        <v>103</v>
      </c>
      <c r="F426" t="s">
        <v>1373</v>
      </c>
      <c r="G426" t="s">
        <v>1374</v>
      </c>
      <c r="H426" t="s">
        <v>1375</v>
      </c>
      <c r="J426" t="s">
        <v>59</v>
      </c>
      <c r="K426" t="s">
        <v>46</v>
      </c>
      <c r="L426" t="s">
        <v>1370</v>
      </c>
      <c r="M426">
        <v>999</v>
      </c>
    </row>
    <row r="427" spans="1:13" x14ac:dyDescent="0.2">
      <c r="A427" t="str">
        <f ca="1">表_网址[[#This Row],[1级]]&amp;"-"&amp;表_网址[[#This Row],[2级]]&amp;"-"&amp;表_网址[[#This Row],[3级]]&amp;"-"&amp;表_网址[[#This Row],[级内]]</f>
        <v>991-12-13-104</v>
      </c>
      <c r="B427">
        <f>VLOOKUP(表_网址[[#This Row],[首要关键词]],表_首次要关键词[[首要关键词]:[排序]],2,0)</f>
        <v>991</v>
      </c>
      <c r="C427" s="4">
        <f ca="1">IF(表_网址[[#This Row],[次要关键词]]="",10,MATCH(表_网址[[#This Row],[次要关键词]],次要关键词,0)+10)</f>
        <v>12</v>
      </c>
      <c r="D427">
        <f ca="1">IF(表_网址[[#This Row],[重点关键词]]="",10,MATCH(表_网址[[#This Row],[重点关键词]],OFFSET(重点关键词!$A$1,MATCH($J427,首要关键词,0)*50-48,MATCH($K427,次要关键词,0),重点关键词数量,1),0)+10)</f>
        <v>13</v>
      </c>
      <c r="E427">
        <f ca="1">IF(AND(表_网址[[#This Row],[1级]]=B426,表_网址[[#This Row],[2级]]=C426,表_网址[[#This Row],[3级]]=D426),E426+1,101)</f>
        <v>104</v>
      </c>
      <c r="F427" t="s">
        <v>1376</v>
      </c>
      <c r="G427" t="s">
        <v>1377</v>
      </c>
      <c r="H427" t="s">
        <v>1378</v>
      </c>
      <c r="J427" t="s">
        <v>59</v>
      </c>
      <c r="K427" t="s">
        <v>46</v>
      </c>
      <c r="L427" t="s">
        <v>1370</v>
      </c>
      <c r="M427">
        <v>999</v>
      </c>
    </row>
    <row r="428" spans="1:13" x14ac:dyDescent="0.2">
      <c r="A428" t="str">
        <f ca="1">表_网址[[#This Row],[1级]]&amp;"-"&amp;表_网址[[#This Row],[2级]]&amp;"-"&amp;表_网址[[#This Row],[3级]]&amp;"-"&amp;表_网址[[#This Row],[级内]]</f>
        <v>991-12-13-105</v>
      </c>
      <c r="B428">
        <f>VLOOKUP(表_网址[[#This Row],[首要关键词]],表_首次要关键词[[首要关键词]:[排序]],2,0)</f>
        <v>991</v>
      </c>
      <c r="C428" s="4">
        <f ca="1">IF(表_网址[[#This Row],[次要关键词]]="",10,MATCH(表_网址[[#This Row],[次要关键词]],次要关键词,0)+10)</f>
        <v>12</v>
      </c>
      <c r="D428">
        <f ca="1">IF(表_网址[[#This Row],[重点关键词]]="",10,MATCH(表_网址[[#This Row],[重点关键词]],OFFSET(重点关键词!$A$1,MATCH($J428,首要关键词,0)*50-48,MATCH($K428,次要关键词,0),重点关键词数量,1),0)+10)</f>
        <v>13</v>
      </c>
      <c r="E428">
        <f ca="1">IF(AND(表_网址[[#This Row],[1级]]=B427,表_网址[[#This Row],[2级]]=C427,表_网址[[#This Row],[3级]]=D427),E427+1,101)</f>
        <v>105</v>
      </c>
      <c r="F428" t="s">
        <v>1379</v>
      </c>
      <c r="G428" t="s">
        <v>1380</v>
      </c>
      <c r="H428" t="s">
        <v>1381</v>
      </c>
      <c r="J428" t="s">
        <v>59</v>
      </c>
      <c r="K428" t="s">
        <v>46</v>
      </c>
      <c r="L428" t="s">
        <v>1370</v>
      </c>
      <c r="M428">
        <v>999</v>
      </c>
    </row>
    <row r="429" spans="1:13" x14ac:dyDescent="0.2">
      <c r="A429" t="str">
        <f ca="1">表_网址[[#This Row],[1级]]&amp;"-"&amp;表_网址[[#This Row],[2级]]&amp;"-"&amp;表_网址[[#This Row],[3级]]&amp;"-"&amp;表_网址[[#This Row],[级内]]</f>
        <v>991-12-13-106</v>
      </c>
      <c r="B429">
        <f>VLOOKUP(表_网址[[#This Row],[首要关键词]],表_首次要关键词[[首要关键词]:[排序]],2,0)</f>
        <v>991</v>
      </c>
      <c r="C429" s="4">
        <f ca="1">IF(表_网址[[#This Row],[次要关键词]]="",10,MATCH(表_网址[[#This Row],[次要关键词]],次要关键词,0)+10)</f>
        <v>12</v>
      </c>
      <c r="D429">
        <f ca="1">IF(表_网址[[#This Row],[重点关键词]]="",10,MATCH(表_网址[[#This Row],[重点关键词]],OFFSET(重点关键词!$A$1,MATCH($J429,首要关键词,0)*50-48,MATCH($K429,次要关键词,0),重点关键词数量,1),0)+10)</f>
        <v>13</v>
      </c>
      <c r="E429">
        <f ca="1">IF(AND(表_网址[[#This Row],[1级]]=B428,表_网址[[#This Row],[2级]]=C428,表_网址[[#This Row],[3级]]=D428),E428+1,101)</f>
        <v>106</v>
      </c>
      <c r="F429" t="s">
        <v>1382</v>
      </c>
      <c r="G429" t="s">
        <v>1383</v>
      </c>
      <c r="J429" t="s">
        <v>59</v>
      </c>
      <c r="K429" t="s">
        <v>46</v>
      </c>
      <c r="L429" t="s">
        <v>1370</v>
      </c>
      <c r="M429">
        <v>999</v>
      </c>
    </row>
    <row r="430" spans="1:13" x14ac:dyDescent="0.2">
      <c r="A430" t="str">
        <f ca="1">表_网址[[#This Row],[1级]]&amp;"-"&amp;表_网址[[#This Row],[2级]]&amp;"-"&amp;表_网址[[#This Row],[3级]]&amp;"-"&amp;表_网址[[#This Row],[级内]]</f>
        <v>991-12-13-107</v>
      </c>
      <c r="B430">
        <f>VLOOKUP(表_网址[[#This Row],[首要关键词]],表_首次要关键词[[首要关键词]:[排序]],2,0)</f>
        <v>991</v>
      </c>
      <c r="C430" s="4">
        <f ca="1">IF(表_网址[[#This Row],[次要关键词]]="",10,MATCH(表_网址[[#This Row],[次要关键词]],次要关键词,0)+10)</f>
        <v>12</v>
      </c>
      <c r="D430">
        <f ca="1">IF(表_网址[[#This Row],[重点关键词]]="",10,MATCH(表_网址[[#This Row],[重点关键词]],OFFSET(重点关键词!$A$1,MATCH($J430,首要关键词,0)*50-48,MATCH($K430,次要关键词,0),重点关键词数量,1),0)+10)</f>
        <v>13</v>
      </c>
      <c r="E430">
        <f ca="1">IF(AND(表_网址[[#This Row],[1级]]=B429,表_网址[[#This Row],[2级]]=C429,表_网址[[#This Row],[3级]]=D429),E429+1,101)</f>
        <v>107</v>
      </c>
      <c r="F430" t="s">
        <v>1384</v>
      </c>
      <c r="G430" t="s">
        <v>1385</v>
      </c>
      <c r="J430" t="s">
        <v>59</v>
      </c>
      <c r="K430" t="s">
        <v>46</v>
      </c>
      <c r="L430" t="s">
        <v>1370</v>
      </c>
      <c r="M430">
        <v>999</v>
      </c>
    </row>
    <row r="431" spans="1:13" x14ac:dyDescent="0.2">
      <c r="A431" t="str">
        <f ca="1">表_网址[[#This Row],[1级]]&amp;"-"&amp;表_网址[[#This Row],[2级]]&amp;"-"&amp;表_网址[[#This Row],[3级]]&amp;"-"&amp;表_网址[[#This Row],[级内]]</f>
        <v>991-12-13-108</v>
      </c>
      <c r="B431">
        <f>VLOOKUP(表_网址[[#This Row],[首要关键词]],表_首次要关键词[[首要关键词]:[排序]],2,0)</f>
        <v>991</v>
      </c>
      <c r="C431" s="4">
        <f ca="1">IF(表_网址[[#This Row],[次要关键词]]="",10,MATCH(表_网址[[#This Row],[次要关键词]],次要关键词,0)+10)</f>
        <v>12</v>
      </c>
      <c r="D431">
        <f ca="1">IF(表_网址[[#This Row],[重点关键词]]="",10,MATCH(表_网址[[#This Row],[重点关键词]],OFFSET(重点关键词!$A$1,MATCH($J431,首要关键词,0)*50-48,MATCH($K431,次要关键词,0),重点关键词数量,1),0)+10)</f>
        <v>13</v>
      </c>
      <c r="E431">
        <f ca="1">IF(AND(表_网址[[#This Row],[1级]]=B430,表_网址[[#This Row],[2级]]=C430,表_网址[[#This Row],[3级]]=D430),E430+1,101)</f>
        <v>108</v>
      </c>
      <c r="F431" t="s">
        <v>1386</v>
      </c>
      <c r="G431" t="s">
        <v>1387</v>
      </c>
      <c r="J431" t="s">
        <v>59</v>
      </c>
      <c r="K431" t="s">
        <v>46</v>
      </c>
      <c r="L431" t="s">
        <v>1370</v>
      </c>
      <c r="M431">
        <v>999</v>
      </c>
    </row>
    <row r="432" spans="1:13" x14ac:dyDescent="0.2">
      <c r="A432" t="str">
        <f ca="1">表_网址[[#This Row],[1级]]&amp;"-"&amp;表_网址[[#This Row],[2级]]&amp;"-"&amp;表_网址[[#This Row],[3级]]&amp;"-"&amp;表_网址[[#This Row],[级内]]</f>
        <v>991-12-13-109</v>
      </c>
      <c r="B432">
        <f>VLOOKUP(表_网址[[#This Row],[首要关键词]],表_首次要关键词[[首要关键词]:[排序]],2,0)</f>
        <v>991</v>
      </c>
      <c r="C432" s="4">
        <f ca="1">IF(表_网址[[#This Row],[次要关键词]]="",10,MATCH(表_网址[[#This Row],[次要关键词]],次要关键词,0)+10)</f>
        <v>12</v>
      </c>
      <c r="D432">
        <f ca="1">IF(表_网址[[#This Row],[重点关键词]]="",10,MATCH(表_网址[[#This Row],[重点关键词]],OFFSET(重点关键词!$A$1,MATCH($J432,首要关键词,0)*50-48,MATCH($K432,次要关键词,0),重点关键词数量,1),0)+10)</f>
        <v>13</v>
      </c>
      <c r="E432">
        <f ca="1">IF(AND(表_网址[[#This Row],[1级]]=B431,表_网址[[#This Row],[2级]]=C431,表_网址[[#This Row],[3级]]=D431),E431+1,101)</f>
        <v>109</v>
      </c>
      <c r="F432" t="s">
        <v>1388</v>
      </c>
      <c r="G432" t="s">
        <v>1389</v>
      </c>
      <c r="J432" t="s">
        <v>59</v>
      </c>
      <c r="K432" t="s">
        <v>46</v>
      </c>
      <c r="L432" t="s">
        <v>1370</v>
      </c>
      <c r="M432">
        <v>999</v>
      </c>
    </row>
    <row r="433" spans="1:13" x14ac:dyDescent="0.2">
      <c r="A433" t="str">
        <f ca="1">表_网址[[#This Row],[1级]]&amp;"-"&amp;表_网址[[#This Row],[2级]]&amp;"-"&amp;表_网址[[#This Row],[3级]]&amp;"-"&amp;表_网址[[#This Row],[级内]]</f>
        <v>991-12-13-110</v>
      </c>
      <c r="B433">
        <f>VLOOKUP(表_网址[[#This Row],[首要关键词]],表_首次要关键词[[首要关键词]:[排序]],2,0)</f>
        <v>991</v>
      </c>
      <c r="C433" s="4">
        <f ca="1">IF(表_网址[[#This Row],[次要关键词]]="",10,MATCH(表_网址[[#This Row],[次要关键词]],次要关键词,0)+10)</f>
        <v>12</v>
      </c>
      <c r="D433">
        <f ca="1">IF(表_网址[[#This Row],[重点关键词]]="",10,MATCH(表_网址[[#This Row],[重点关键词]],OFFSET(重点关键词!$A$1,MATCH($J433,首要关键词,0)*50-48,MATCH($K433,次要关键词,0),重点关键词数量,1),0)+10)</f>
        <v>13</v>
      </c>
      <c r="E433">
        <f ca="1">IF(AND(表_网址[[#This Row],[1级]]=B432,表_网址[[#This Row],[2级]]=C432,表_网址[[#This Row],[3级]]=D432),E432+1,101)</f>
        <v>110</v>
      </c>
      <c r="F433" t="s">
        <v>1390</v>
      </c>
      <c r="G433" t="s">
        <v>1391</v>
      </c>
      <c r="J433" t="s">
        <v>59</v>
      </c>
      <c r="K433" t="s">
        <v>46</v>
      </c>
      <c r="L433" t="s">
        <v>1370</v>
      </c>
      <c r="M433">
        <v>999</v>
      </c>
    </row>
    <row r="434" spans="1:13" x14ac:dyDescent="0.2">
      <c r="A434" t="str">
        <f ca="1">表_网址[[#This Row],[1级]]&amp;"-"&amp;表_网址[[#This Row],[2级]]&amp;"-"&amp;表_网址[[#This Row],[3级]]&amp;"-"&amp;表_网址[[#This Row],[级内]]</f>
        <v>991-12-13-111</v>
      </c>
      <c r="B434">
        <f>VLOOKUP(表_网址[[#This Row],[首要关键词]],表_首次要关键词[[首要关键词]:[排序]],2,0)</f>
        <v>991</v>
      </c>
      <c r="C434" s="4">
        <f ca="1">IF(表_网址[[#This Row],[次要关键词]]="",10,MATCH(表_网址[[#This Row],[次要关键词]],次要关键词,0)+10)</f>
        <v>12</v>
      </c>
      <c r="D434">
        <f ca="1">IF(表_网址[[#This Row],[重点关键词]]="",10,MATCH(表_网址[[#This Row],[重点关键词]],OFFSET(重点关键词!$A$1,MATCH($J434,首要关键词,0)*50-48,MATCH($K434,次要关键词,0),重点关键词数量,1),0)+10)</f>
        <v>13</v>
      </c>
      <c r="E434">
        <f ca="1">IF(AND(表_网址[[#This Row],[1级]]=B433,表_网址[[#This Row],[2级]]=C433,表_网址[[#This Row],[3级]]=D433),E433+1,101)</f>
        <v>111</v>
      </c>
      <c r="F434" t="s">
        <v>1392</v>
      </c>
      <c r="G434" t="s">
        <v>1393</v>
      </c>
      <c r="J434" t="s">
        <v>59</v>
      </c>
      <c r="K434" t="s">
        <v>46</v>
      </c>
      <c r="L434" t="s">
        <v>1370</v>
      </c>
      <c r="M434">
        <v>999</v>
      </c>
    </row>
    <row r="435" spans="1:13" x14ac:dyDescent="0.2">
      <c r="A435" t="str">
        <f ca="1">表_网址[[#This Row],[1级]]&amp;"-"&amp;表_网址[[#This Row],[2级]]&amp;"-"&amp;表_网址[[#This Row],[3级]]&amp;"-"&amp;表_网址[[#This Row],[级内]]</f>
        <v>991-12-13-112</v>
      </c>
      <c r="B435">
        <f>VLOOKUP(表_网址[[#This Row],[首要关键词]],表_首次要关键词[[首要关键词]:[排序]],2,0)</f>
        <v>991</v>
      </c>
      <c r="C435" s="4">
        <f ca="1">IF(表_网址[[#This Row],[次要关键词]]="",10,MATCH(表_网址[[#This Row],[次要关键词]],次要关键词,0)+10)</f>
        <v>12</v>
      </c>
      <c r="D435">
        <f ca="1">IF(表_网址[[#This Row],[重点关键词]]="",10,MATCH(表_网址[[#This Row],[重点关键词]],OFFSET(重点关键词!$A$1,MATCH($J435,首要关键词,0)*50-48,MATCH($K435,次要关键词,0),重点关键词数量,1),0)+10)</f>
        <v>13</v>
      </c>
      <c r="E435">
        <f ca="1">IF(AND(表_网址[[#This Row],[1级]]=B434,表_网址[[#This Row],[2级]]=C434,表_网址[[#This Row],[3级]]=D434),E434+1,101)</f>
        <v>112</v>
      </c>
      <c r="F435" t="s">
        <v>1394</v>
      </c>
      <c r="G435" t="s">
        <v>1395</v>
      </c>
      <c r="H435" t="s">
        <v>1396</v>
      </c>
      <c r="J435" t="s">
        <v>59</v>
      </c>
      <c r="K435" t="s">
        <v>46</v>
      </c>
      <c r="L435" t="s">
        <v>1370</v>
      </c>
      <c r="M435">
        <v>999</v>
      </c>
    </row>
    <row r="436" spans="1:13" x14ac:dyDescent="0.2">
      <c r="A436" t="str">
        <f ca="1">表_网址[[#This Row],[1级]]&amp;"-"&amp;表_网址[[#This Row],[2级]]&amp;"-"&amp;表_网址[[#This Row],[3级]]&amp;"-"&amp;表_网址[[#This Row],[级内]]</f>
        <v>991-12-13-113</v>
      </c>
      <c r="B436">
        <f>VLOOKUP(表_网址[[#This Row],[首要关键词]],表_首次要关键词[[首要关键词]:[排序]],2,0)</f>
        <v>991</v>
      </c>
      <c r="C436" s="4">
        <f ca="1">IF(表_网址[[#This Row],[次要关键词]]="",10,MATCH(表_网址[[#This Row],[次要关键词]],次要关键词,0)+10)</f>
        <v>12</v>
      </c>
      <c r="D436">
        <f ca="1">IF(表_网址[[#This Row],[重点关键词]]="",10,MATCH(表_网址[[#This Row],[重点关键词]],OFFSET(重点关键词!$A$1,MATCH($J436,首要关键词,0)*50-48,MATCH($K436,次要关键词,0),重点关键词数量,1),0)+10)</f>
        <v>13</v>
      </c>
      <c r="E436">
        <f ca="1">IF(AND(表_网址[[#This Row],[1级]]=B435,表_网址[[#This Row],[2级]]=C435,表_网址[[#This Row],[3级]]=D435),E435+1,101)</f>
        <v>113</v>
      </c>
      <c r="F436" t="s">
        <v>1397</v>
      </c>
      <c r="G436" t="s">
        <v>1398</v>
      </c>
      <c r="J436" t="s">
        <v>59</v>
      </c>
      <c r="K436" t="s">
        <v>46</v>
      </c>
      <c r="L436" t="s">
        <v>1370</v>
      </c>
      <c r="M436">
        <v>999</v>
      </c>
    </row>
    <row r="437" spans="1:13" x14ac:dyDescent="0.2">
      <c r="A437" t="str">
        <f ca="1">表_网址[[#This Row],[1级]]&amp;"-"&amp;表_网址[[#This Row],[2级]]&amp;"-"&amp;表_网址[[#This Row],[3级]]&amp;"-"&amp;表_网址[[#This Row],[级内]]</f>
        <v>991-12-13-114</v>
      </c>
      <c r="B437">
        <f>VLOOKUP(表_网址[[#This Row],[首要关键词]],表_首次要关键词[[首要关键词]:[排序]],2,0)</f>
        <v>991</v>
      </c>
      <c r="C437" s="4">
        <f ca="1">IF(表_网址[[#This Row],[次要关键词]]="",10,MATCH(表_网址[[#This Row],[次要关键词]],次要关键词,0)+10)</f>
        <v>12</v>
      </c>
      <c r="D437">
        <f ca="1">IF(表_网址[[#This Row],[重点关键词]]="",10,MATCH(表_网址[[#This Row],[重点关键词]],OFFSET(重点关键词!$A$1,MATCH($J437,首要关键词,0)*50-48,MATCH($K437,次要关键词,0),重点关键词数量,1),0)+10)</f>
        <v>13</v>
      </c>
      <c r="E437">
        <f ca="1">IF(AND(表_网址[[#This Row],[1级]]=B436,表_网址[[#This Row],[2级]]=C436,表_网址[[#This Row],[3级]]=D436),E436+1,101)</f>
        <v>114</v>
      </c>
      <c r="F437" t="s">
        <v>1399</v>
      </c>
      <c r="G437" t="s">
        <v>1400</v>
      </c>
      <c r="J437" t="s">
        <v>59</v>
      </c>
      <c r="K437" t="s">
        <v>46</v>
      </c>
      <c r="L437" t="s">
        <v>1370</v>
      </c>
      <c r="M437">
        <v>999</v>
      </c>
    </row>
    <row r="438" spans="1:13" x14ac:dyDescent="0.2">
      <c r="A438" t="str">
        <f ca="1">表_网址[[#This Row],[1级]]&amp;"-"&amp;表_网址[[#This Row],[2级]]&amp;"-"&amp;表_网址[[#This Row],[3级]]&amp;"-"&amp;表_网址[[#This Row],[级内]]</f>
        <v>991-12-13-115</v>
      </c>
      <c r="B438">
        <f>VLOOKUP(表_网址[[#This Row],[首要关键词]],表_首次要关键词[[首要关键词]:[排序]],2,0)</f>
        <v>991</v>
      </c>
      <c r="C438" s="4">
        <f ca="1">IF(表_网址[[#This Row],[次要关键词]]="",10,MATCH(表_网址[[#This Row],[次要关键词]],次要关键词,0)+10)</f>
        <v>12</v>
      </c>
      <c r="D438">
        <f ca="1">IF(表_网址[[#This Row],[重点关键词]]="",10,MATCH(表_网址[[#This Row],[重点关键词]],OFFSET(重点关键词!$A$1,MATCH($J438,首要关键词,0)*50-48,MATCH($K438,次要关键词,0),重点关键词数量,1),0)+10)</f>
        <v>13</v>
      </c>
      <c r="E438">
        <f ca="1">IF(AND(表_网址[[#This Row],[1级]]=B437,表_网址[[#This Row],[2级]]=C437,表_网址[[#This Row],[3级]]=D437),E437+1,101)</f>
        <v>115</v>
      </c>
      <c r="F438" t="s">
        <v>1401</v>
      </c>
      <c r="G438" t="s">
        <v>1402</v>
      </c>
      <c r="J438" t="s">
        <v>59</v>
      </c>
      <c r="K438" t="s">
        <v>46</v>
      </c>
      <c r="L438" t="s">
        <v>1370</v>
      </c>
      <c r="M438">
        <v>999</v>
      </c>
    </row>
    <row r="439" spans="1:13" x14ac:dyDescent="0.2">
      <c r="A439" t="str">
        <f ca="1">表_网址[[#This Row],[1级]]&amp;"-"&amp;表_网址[[#This Row],[2级]]&amp;"-"&amp;表_网址[[#This Row],[3级]]&amp;"-"&amp;表_网址[[#This Row],[级内]]</f>
        <v>991-12-13-116</v>
      </c>
      <c r="B439">
        <f>VLOOKUP(表_网址[[#This Row],[首要关键词]],表_首次要关键词[[首要关键词]:[排序]],2,0)</f>
        <v>991</v>
      </c>
      <c r="C439" s="4">
        <f ca="1">IF(表_网址[[#This Row],[次要关键词]]="",10,MATCH(表_网址[[#This Row],[次要关键词]],次要关键词,0)+10)</f>
        <v>12</v>
      </c>
      <c r="D439">
        <f ca="1">IF(表_网址[[#This Row],[重点关键词]]="",10,MATCH(表_网址[[#This Row],[重点关键词]],OFFSET(重点关键词!$A$1,MATCH($J439,首要关键词,0)*50-48,MATCH($K439,次要关键词,0),重点关键词数量,1),0)+10)</f>
        <v>13</v>
      </c>
      <c r="E439">
        <f ca="1">IF(AND(表_网址[[#This Row],[1级]]=B438,表_网址[[#This Row],[2级]]=C438,表_网址[[#This Row],[3级]]=D438),E438+1,101)</f>
        <v>116</v>
      </c>
      <c r="F439" t="s">
        <v>1403</v>
      </c>
      <c r="G439" t="s">
        <v>1404</v>
      </c>
      <c r="J439" t="s">
        <v>59</v>
      </c>
      <c r="K439" t="s">
        <v>46</v>
      </c>
      <c r="L439" t="s">
        <v>1370</v>
      </c>
      <c r="M439">
        <v>999</v>
      </c>
    </row>
    <row r="440" spans="1:13" x14ac:dyDescent="0.2">
      <c r="A440" t="str">
        <f ca="1">表_网址[[#This Row],[1级]]&amp;"-"&amp;表_网址[[#This Row],[2级]]&amp;"-"&amp;表_网址[[#This Row],[3级]]&amp;"-"&amp;表_网址[[#This Row],[级内]]</f>
        <v>991-12-13-117</v>
      </c>
      <c r="B440">
        <f>VLOOKUP(表_网址[[#This Row],[首要关键词]],表_首次要关键词[[首要关键词]:[排序]],2,0)</f>
        <v>991</v>
      </c>
      <c r="C440" s="4">
        <f ca="1">IF(表_网址[[#This Row],[次要关键词]]="",10,MATCH(表_网址[[#This Row],[次要关键词]],次要关键词,0)+10)</f>
        <v>12</v>
      </c>
      <c r="D440">
        <f ca="1">IF(表_网址[[#This Row],[重点关键词]]="",10,MATCH(表_网址[[#This Row],[重点关键词]],OFFSET(重点关键词!$A$1,MATCH($J440,首要关键词,0)*50-48,MATCH($K440,次要关键词,0),重点关键词数量,1),0)+10)</f>
        <v>13</v>
      </c>
      <c r="E440">
        <f ca="1">IF(AND(表_网址[[#This Row],[1级]]=B439,表_网址[[#This Row],[2级]]=C439,表_网址[[#This Row],[3级]]=D439),E439+1,101)</f>
        <v>117</v>
      </c>
      <c r="F440" t="s">
        <v>1405</v>
      </c>
      <c r="G440" t="s">
        <v>1406</v>
      </c>
      <c r="H440" t="s">
        <v>1407</v>
      </c>
      <c r="J440" t="s">
        <v>59</v>
      </c>
      <c r="K440" t="s">
        <v>46</v>
      </c>
      <c r="L440" t="s">
        <v>1370</v>
      </c>
      <c r="M440">
        <v>999</v>
      </c>
    </row>
    <row r="441" spans="1:13" x14ac:dyDescent="0.2">
      <c r="A441" t="str">
        <f ca="1">表_网址[[#This Row],[1级]]&amp;"-"&amp;表_网址[[#This Row],[2级]]&amp;"-"&amp;表_网址[[#This Row],[3级]]&amp;"-"&amp;表_网址[[#This Row],[级内]]</f>
        <v>991-12-13-118</v>
      </c>
      <c r="B441">
        <f>VLOOKUP(表_网址[[#This Row],[首要关键词]],表_首次要关键词[[首要关键词]:[排序]],2,0)</f>
        <v>991</v>
      </c>
      <c r="C441" s="4">
        <f ca="1">IF(表_网址[[#This Row],[次要关键词]]="",10,MATCH(表_网址[[#This Row],[次要关键词]],次要关键词,0)+10)</f>
        <v>12</v>
      </c>
      <c r="D441">
        <f ca="1">IF(表_网址[[#This Row],[重点关键词]]="",10,MATCH(表_网址[[#This Row],[重点关键词]],OFFSET(重点关键词!$A$1,MATCH($J441,首要关键词,0)*50-48,MATCH($K441,次要关键词,0),重点关键词数量,1),0)+10)</f>
        <v>13</v>
      </c>
      <c r="E441">
        <f ca="1">IF(AND(表_网址[[#This Row],[1级]]=B440,表_网址[[#This Row],[2级]]=C440,表_网址[[#This Row],[3级]]=D440),E440+1,101)</f>
        <v>118</v>
      </c>
      <c r="F441" t="s">
        <v>1408</v>
      </c>
      <c r="G441" t="s">
        <v>1409</v>
      </c>
      <c r="H441" t="s">
        <v>1410</v>
      </c>
      <c r="J441" t="s">
        <v>59</v>
      </c>
      <c r="K441" t="s">
        <v>46</v>
      </c>
      <c r="L441" t="s">
        <v>1370</v>
      </c>
      <c r="M441">
        <v>999</v>
      </c>
    </row>
    <row r="442" spans="1:13" x14ac:dyDescent="0.2">
      <c r="A442" t="str">
        <f ca="1">表_网址[[#This Row],[1级]]&amp;"-"&amp;表_网址[[#This Row],[2级]]&amp;"-"&amp;表_网址[[#This Row],[3级]]&amp;"-"&amp;表_网址[[#This Row],[级内]]</f>
        <v>991-12-13-119</v>
      </c>
      <c r="B442">
        <f>VLOOKUP(表_网址[[#This Row],[首要关键词]],表_首次要关键词[[首要关键词]:[排序]],2,0)</f>
        <v>991</v>
      </c>
      <c r="C442" s="4">
        <f ca="1">IF(表_网址[[#This Row],[次要关键词]]="",10,MATCH(表_网址[[#This Row],[次要关键词]],次要关键词,0)+10)</f>
        <v>12</v>
      </c>
      <c r="D442">
        <f ca="1">IF(表_网址[[#This Row],[重点关键词]]="",10,MATCH(表_网址[[#This Row],[重点关键词]],OFFSET(重点关键词!$A$1,MATCH($J442,首要关键词,0)*50-48,MATCH($K442,次要关键词,0),重点关键词数量,1),0)+10)</f>
        <v>13</v>
      </c>
      <c r="E442">
        <f ca="1">IF(AND(表_网址[[#This Row],[1级]]=B441,表_网址[[#This Row],[2级]]=C441,表_网址[[#This Row],[3级]]=D441),E441+1,101)</f>
        <v>119</v>
      </c>
      <c r="F442" t="s">
        <v>1411</v>
      </c>
      <c r="G442" t="s">
        <v>1412</v>
      </c>
      <c r="J442" t="s">
        <v>59</v>
      </c>
      <c r="K442" t="s">
        <v>46</v>
      </c>
      <c r="L442" t="s">
        <v>1370</v>
      </c>
      <c r="M442">
        <v>999</v>
      </c>
    </row>
    <row r="443" spans="1:13" x14ac:dyDescent="0.2">
      <c r="A443" t="str">
        <f ca="1">表_网址[[#This Row],[1级]]&amp;"-"&amp;表_网址[[#This Row],[2级]]&amp;"-"&amp;表_网址[[#This Row],[3级]]&amp;"-"&amp;表_网址[[#This Row],[级内]]</f>
        <v>991-12-13-120</v>
      </c>
      <c r="B443">
        <f>VLOOKUP(表_网址[[#This Row],[首要关键词]],表_首次要关键词[[首要关键词]:[排序]],2,0)</f>
        <v>991</v>
      </c>
      <c r="C443" s="4">
        <f ca="1">IF(表_网址[[#This Row],[次要关键词]]="",10,MATCH(表_网址[[#This Row],[次要关键词]],次要关键词,0)+10)</f>
        <v>12</v>
      </c>
      <c r="D443">
        <f ca="1">IF(表_网址[[#This Row],[重点关键词]]="",10,MATCH(表_网址[[#This Row],[重点关键词]],OFFSET(重点关键词!$A$1,MATCH($J443,首要关键词,0)*50-48,MATCH($K443,次要关键词,0),重点关键词数量,1),0)+10)</f>
        <v>13</v>
      </c>
      <c r="E443">
        <f ca="1">IF(AND(表_网址[[#This Row],[1级]]=B442,表_网址[[#This Row],[2级]]=C442,表_网址[[#This Row],[3级]]=D442),E442+1,101)</f>
        <v>120</v>
      </c>
      <c r="F443" t="s">
        <v>1413</v>
      </c>
      <c r="G443" t="s">
        <v>1414</v>
      </c>
      <c r="H443" t="s">
        <v>1415</v>
      </c>
      <c r="J443" t="s">
        <v>59</v>
      </c>
      <c r="K443" t="s">
        <v>46</v>
      </c>
      <c r="L443" t="s">
        <v>1370</v>
      </c>
      <c r="M443">
        <v>999</v>
      </c>
    </row>
    <row r="444" spans="1:13" x14ac:dyDescent="0.2">
      <c r="A444" t="str">
        <f ca="1">表_网址[[#This Row],[1级]]&amp;"-"&amp;表_网址[[#This Row],[2级]]&amp;"-"&amp;表_网址[[#This Row],[3级]]&amp;"-"&amp;表_网址[[#This Row],[级内]]</f>
        <v>991-12-13-121</v>
      </c>
      <c r="B444">
        <f>VLOOKUP(表_网址[[#This Row],[首要关键词]],表_首次要关键词[[首要关键词]:[排序]],2,0)</f>
        <v>991</v>
      </c>
      <c r="C444" s="4">
        <f ca="1">IF(表_网址[[#This Row],[次要关键词]]="",10,MATCH(表_网址[[#This Row],[次要关键词]],次要关键词,0)+10)</f>
        <v>12</v>
      </c>
      <c r="D444">
        <f ca="1">IF(表_网址[[#This Row],[重点关键词]]="",10,MATCH(表_网址[[#This Row],[重点关键词]],OFFSET(重点关键词!$A$1,MATCH($J444,首要关键词,0)*50-48,MATCH($K444,次要关键词,0),重点关键词数量,1),0)+10)</f>
        <v>13</v>
      </c>
      <c r="E444">
        <f ca="1">IF(AND(表_网址[[#This Row],[1级]]=B443,表_网址[[#This Row],[2级]]=C443,表_网址[[#This Row],[3级]]=D443),E443+1,101)</f>
        <v>121</v>
      </c>
      <c r="F444" t="s">
        <v>1416</v>
      </c>
      <c r="G444" t="s">
        <v>1417</v>
      </c>
      <c r="H444" t="s">
        <v>1418</v>
      </c>
      <c r="J444" t="s">
        <v>59</v>
      </c>
      <c r="K444" t="s">
        <v>46</v>
      </c>
      <c r="L444" t="s">
        <v>1370</v>
      </c>
      <c r="M444">
        <v>999</v>
      </c>
    </row>
    <row r="445" spans="1:13" x14ac:dyDescent="0.2">
      <c r="A445" t="str">
        <f ca="1">表_网址[[#This Row],[1级]]&amp;"-"&amp;表_网址[[#This Row],[2级]]&amp;"-"&amp;表_网址[[#This Row],[3级]]&amp;"-"&amp;表_网址[[#This Row],[级内]]</f>
        <v>991-12-13-122</v>
      </c>
      <c r="B445">
        <f>VLOOKUP(表_网址[[#This Row],[首要关键词]],表_首次要关键词[[首要关键词]:[排序]],2,0)</f>
        <v>991</v>
      </c>
      <c r="C445" s="4">
        <f ca="1">IF(表_网址[[#This Row],[次要关键词]]="",10,MATCH(表_网址[[#This Row],[次要关键词]],次要关键词,0)+10)</f>
        <v>12</v>
      </c>
      <c r="D445">
        <f ca="1">IF(表_网址[[#This Row],[重点关键词]]="",10,MATCH(表_网址[[#This Row],[重点关键词]],OFFSET(重点关键词!$A$1,MATCH($J445,首要关键词,0)*50-48,MATCH($K445,次要关键词,0),重点关键词数量,1),0)+10)</f>
        <v>13</v>
      </c>
      <c r="E445">
        <f ca="1">IF(AND(表_网址[[#This Row],[1级]]=B444,表_网址[[#This Row],[2级]]=C444,表_网址[[#This Row],[3级]]=D444),E444+1,101)</f>
        <v>122</v>
      </c>
      <c r="F445" t="s">
        <v>1419</v>
      </c>
      <c r="G445" t="s">
        <v>1420</v>
      </c>
      <c r="H445" t="s">
        <v>1421</v>
      </c>
      <c r="J445" t="s">
        <v>59</v>
      </c>
      <c r="K445" t="s">
        <v>46</v>
      </c>
      <c r="L445" t="s">
        <v>1370</v>
      </c>
      <c r="M445">
        <v>999</v>
      </c>
    </row>
    <row r="446" spans="1:13" x14ac:dyDescent="0.2">
      <c r="A446" t="str">
        <f ca="1">表_网址[[#This Row],[1级]]&amp;"-"&amp;表_网址[[#This Row],[2级]]&amp;"-"&amp;表_网址[[#This Row],[3级]]&amp;"-"&amp;表_网址[[#This Row],[级内]]</f>
        <v>991-12-13-123</v>
      </c>
      <c r="B446">
        <f>VLOOKUP(表_网址[[#This Row],[首要关键词]],表_首次要关键词[[首要关键词]:[排序]],2,0)</f>
        <v>991</v>
      </c>
      <c r="C446" s="4">
        <f ca="1">IF(表_网址[[#This Row],[次要关键词]]="",10,MATCH(表_网址[[#This Row],[次要关键词]],次要关键词,0)+10)</f>
        <v>12</v>
      </c>
      <c r="D446">
        <f ca="1">IF(表_网址[[#This Row],[重点关键词]]="",10,MATCH(表_网址[[#This Row],[重点关键词]],OFFSET(重点关键词!$A$1,MATCH($J446,首要关键词,0)*50-48,MATCH($K446,次要关键词,0),重点关键词数量,1),0)+10)</f>
        <v>13</v>
      </c>
      <c r="E446">
        <f ca="1">IF(AND(表_网址[[#This Row],[1级]]=B445,表_网址[[#This Row],[2级]]=C445,表_网址[[#This Row],[3级]]=D445),E445+1,101)</f>
        <v>123</v>
      </c>
      <c r="F446" t="s">
        <v>1422</v>
      </c>
      <c r="G446" t="s">
        <v>1423</v>
      </c>
      <c r="H446" t="s">
        <v>1424</v>
      </c>
      <c r="J446" t="s">
        <v>59</v>
      </c>
      <c r="K446" t="s">
        <v>46</v>
      </c>
      <c r="L446" t="s">
        <v>1370</v>
      </c>
      <c r="M446">
        <v>999</v>
      </c>
    </row>
    <row r="447" spans="1:13" x14ac:dyDescent="0.2">
      <c r="A447" t="str">
        <f ca="1">表_网址[[#This Row],[1级]]&amp;"-"&amp;表_网址[[#This Row],[2级]]&amp;"-"&amp;表_网址[[#This Row],[3级]]&amp;"-"&amp;表_网址[[#This Row],[级内]]</f>
        <v>991-12-13-124</v>
      </c>
      <c r="B447">
        <f>VLOOKUP(表_网址[[#This Row],[首要关键词]],表_首次要关键词[[首要关键词]:[排序]],2,0)</f>
        <v>991</v>
      </c>
      <c r="C447" s="4">
        <f ca="1">IF(表_网址[[#This Row],[次要关键词]]="",10,MATCH(表_网址[[#This Row],[次要关键词]],次要关键词,0)+10)</f>
        <v>12</v>
      </c>
      <c r="D447">
        <f ca="1">IF(表_网址[[#This Row],[重点关键词]]="",10,MATCH(表_网址[[#This Row],[重点关键词]],OFFSET(重点关键词!$A$1,MATCH($J447,首要关键词,0)*50-48,MATCH($K447,次要关键词,0),重点关键词数量,1),0)+10)</f>
        <v>13</v>
      </c>
      <c r="E447">
        <f ca="1">IF(AND(表_网址[[#This Row],[1级]]=B446,表_网址[[#This Row],[2级]]=C446,表_网址[[#This Row],[3级]]=D446),E446+1,101)</f>
        <v>124</v>
      </c>
      <c r="F447" t="s">
        <v>1425</v>
      </c>
      <c r="G447" t="s">
        <v>1426</v>
      </c>
      <c r="J447" t="s">
        <v>59</v>
      </c>
      <c r="K447" t="s">
        <v>46</v>
      </c>
      <c r="L447" t="s">
        <v>1370</v>
      </c>
      <c r="M447">
        <v>999</v>
      </c>
    </row>
    <row r="448" spans="1:13" x14ac:dyDescent="0.2">
      <c r="A448" t="str">
        <f ca="1">表_网址[[#This Row],[1级]]&amp;"-"&amp;表_网址[[#This Row],[2级]]&amp;"-"&amp;表_网址[[#This Row],[3级]]&amp;"-"&amp;表_网址[[#This Row],[级内]]</f>
        <v>991-12-13-125</v>
      </c>
      <c r="B448">
        <f>VLOOKUP(表_网址[[#This Row],[首要关键词]],表_首次要关键词[[首要关键词]:[排序]],2,0)</f>
        <v>991</v>
      </c>
      <c r="C448" s="4">
        <f ca="1">IF(表_网址[[#This Row],[次要关键词]]="",10,MATCH(表_网址[[#This Row],[次要关键词]],次要关键词,0)+10)</f>
        <v>12</v>
      </c>
      <c r="D448">
        <f ca="1">IF(表_网址[[#This Row],[重点关键词]]="",10,MATCH(表_网址[[#This Row],[重点关键词]],OFFSET(重点关键词!$A$1,MATCH($J448,首要关键词,0)*50-48,MATCH($K448,次要关键词,0),重点关键词数量,1),0)+10)</f>
        <v>13</v>
      </c>
      <c r="E448">
        <f ca="1">IF(AND(表_网址[[#This Row],[1级]]=B447,表_网址[[#This Row],[2级]]=C447,表_网址[[#This Row],[3级]]=D447),E447+1,101)</f>
        <v>125</v>
      </c>
      <c r="F448" t="s">
        <v>1427</v>
      </c>
      <c r="G448" t="s">
        <v>1428</v>
      </c>
      <c r="J448" t="s">
        <v>59</v>
      </c>
      <c r="K448" t="s">
        <v>46</v>
      </c>
      <c r="L448" t="s">
        <v>1370</v>
      </c>
      <c r="M448">
        <v>999</v>
      </c>
    </row>
    <row r="449" spans="1:13" x14ac:dyDescent="0.2">
      <c r="A449" t="str">
        <f ca="1">表_网址[[#This Row],[1级]]&amp;"-"&amp;表_网址[[#This Row],[2级]]&amp;"-"&amp;表_网址[[#This Row],[3级]]&amp;"-"&amp;表_网址[[#This Row],[级内]]</f>
        <v>991-12-13-126</v>
      </c>
      <c r="B449">
        <f>VLOOKUP(表_网址[[#This Row],[首要关键词]],表_首次要关键词[[首要关键词]:[排序]],2,0)</f>
        <v>991</v>
      </c>
      <c r="C449" s="4">
        <f ca="1">IF(表_网址[[#This Row],[次要关键词]]="",10,MATCH(表_网址[[#This Row],[次要关键词]],次要关键词,0)+10)</f>
        <v>12</v>
      </c>
      <c r="D449">
        <f ca="1">IF(表_网址[[#This Row],[重点关键词]]="",10,MATCH(表_网址[[#This Row],[重点关键词]],OFFSET(重点关键词!$A$1,MATCH($J449,首要关键词,0)*50-48,MATCH($K449,次要关键词,0),重点关键词数量,1),0)+10)</f>
        <v>13</v>
      </c>
      <c r="E449">
        <f ca="1">IF(AND(表_网址[[#This Row],[1级]]=B448,表_网址[[#This Row],[2级]]=C448,表_网址[[#This Row],[3级]]=D448),E448+1,101)</f>
        <v>126</v>
      </c>
      <c r="F449" t="s">
        <v>1429</v>
      </c>
      <c r="G449" t="s">
        <v>1430</v>
      </c>
      <c r="J449" t="s">
        <v>59</v>
      </c>
      <c r="K449" t="s">
        <v>46</v>
      </c>
      <c r="L449" t="s">
        <v>1370</v>
      </c>
      <c r="M449">
        <v>999</v>
      </c>
    </row>
    <row r="450" spans="1:13" x14ac:dyDescent="0.2">
      <c r="A450" t="str">
        <f ca="1">表_网址[[#This Row],[1级]]&amp;"-"&amp;表_网址[[#This Row],[2级]]&amp;"-"&amp;表_网址[[#This Row],[3级]]&amp;"-"&amp;表_网址[[#This Row],[级内]]</f>
        <v>991-12-13-127</v>
      </c>
      <c r="B450">
        <f>VLOOKUP(表_网址[[#This Row],[首要关键词]],表_首次要关键词[[首要关键词]:[排序]],2,0)</f>
        <v>991</v>
      </c>
      <c r="C450" s="4">
        <f ca="1">IF(表_网址[[#This Row],[次要关键词]]="",10,MATCH(表_网址[[#This Row],[次要关键词]],次要关键词,0)+10)</f>
        <v>12</v>
      </c>
      <c r="D450">
        <f ca="1">IF(表_网址[[#This Row],[重点关键词]]="",10,MATCH(表_网址[[#This Row],[重点关键词]],OFFSET(重点关键词!$A$1,MATCH($J450,首要关键词,0)*50-48,MATCH($K450,次要关键词,0),重点关键词数量,1),0)+10)</f>
        <v>13</v>
      </c>
      <c r="E450">
        <f ca="1">IF(AND(表_网址[[#This Row],[1级]]=B449,表_网址[[#This Row],[2级]]=C449,表_网址[[#This Row],[3级]]=D449),E449+1,101)</f>
        <v>127</v>
      </c>
      <c r="F450" t="s">
        <v>1431</v>
      </c>
      <c r="G450" t="s">
        <v>1432</v>
      </c>
      <c r="H450" t="s">
        <v>1433</v>
      </c>
      <c r="J450" t="s">
        <v>59</v>
      </c>
      <c r="K450" t="s">
        <v>46</v>
      </c>
      <c r="L450" t="s">
        <v>1370</v>
      </c>
      <c r="M450">
        <v>999</v>
      </c>
    </row>
    <row r="451" spans="1:13" x14ac:dyDescent="0.2">
      <c r="A451" t="str">
        <f ca="1">表_网址[[#This Row],[1级]]&amp;"-"&amp;表_网址[[#This Row],[2级]]&amp;"-"&amp;表_网址[[#This Row],[3级]]&amp;"-"&amp;表_网址[[#This Row],[级内]]</f>
        <v>991-12-13-128</v>
      </c>
      <c r="B451">
        <f>VLOOKUP(表_网址[[#This Row],[首要关键词]],表_首次要关键词[[首要关键词]:[排序]],2,0)</f>
        <v>991</v>
      </c>
      <c r="C451" s="4">
        <f ca="1">IF(表_网址[[#This Row],[次要关键词]]="",10,MATCH(表_网址[[#This Row],[次要关键词]],次要关键词,0)+10)</f>
        <v>12</v>
      </c>
      <c r="D451">
        <f ca="1">IF(表_网址[[#This Row],[重点关键词]]="",10,MATCH(表_网址[[#This Row],[重点关键词]],OFFSET(重点关键词!$A$1,MATCH($J451,首要关键词,0)*50-48,MATCH($K451,次要关键词,0),重点关键词数量,1),0)+10)</f>
        <v>13</v>
      </c>
      <c r="E451">
        <f ca="1">IF(AND(表_网址[[#This Row],[1级]]=B450,表_网址[[#This Row],[2级]]=C450,表_网址[[#This Row],[3级]]=D450),E450+1,101)</f>
        <v>128</v>
      </c>
      <c r="F451" t="s">
        <v>1434</v>
      </c>
      <c r="G451" t="s">
        <v>1435</v>
      </c>
      <c r="H451" t="s">
        <v>1436</v>
      </c>
      <c r="J451" t="s">
        <v>59</v>
      </c>
      <c r="K451" t="s">
        <v>46</v>
      </c>
      <c r="L451" t="s">
        <v>1370</v>
      </c>
      <c r="M451">
        <v>999</v>
      </c>
    </row>
    <row r="452" spans="1:13" x14ac:dyDescent="0.2">
      <c r="A452" t="str">
        <f ca="1">表_网址[[#This Row],[1级]]&amp;"-"&amp;表_网址[[#This Row],[2级]]&amp;"-"&amp;表_网址[[#This Row],[3级]]&amp;"-"&amp;表_网址[[#This Row],[级内]]</f>
        <v>991-12-13-129</v>
      </c>
      <c r="B452">
        <f>VLOOKUP(表_网址[[#This Row],[首要关键词]],表_首次要关键词[[首要关键词]:[排序]],2,0)</f>
        <v>991</v>
      </c>
      <c r="C452" s="4">
        <f ca="1">IF(表_网址[[#This Row],[次要关键词]]="",10,MATCH(表_网址[[#This Row],[次要关键词]],次要关键词,0)+10)</f>
        <v>12</v>
      </c>
      <c r="D452">
        <f ca="1">IF(表_网址[[#This Row],[重点关键词]]="",10,MATCH(表_网址[[#This Row],[重点关键词]],OFFSET(重点关键词!$A$1,MATCH($J452,首要关键词,0)*50-48,MATCH($K452,次要关键词,0),重点关键词数量,1),0)+10)</f>
        <v>13</v>
      </c>
      <c r="E452">
        <f ca="1">IF(AND(表_网址[[#This Row],[1级]]=B451,表_网址[[#This Row],[2级]]=C451,表_网址[[#This Row],[3级]]=D451),E451+1,101)</f>
        <v>129</v>
      </c>
      <c r="F452" t="s">
        <v>1437</v>
      </c>
      <c r="G452" t="s">
        <v>1438</v>
      </c>
      <c r="J452" t="s">
        <v>59</v>
      </c>
      <c r="K452" t="s">
        <v>46</v>
      </c>
      <c r="L452" t="s">
        <v>1370</v>
      </c>
      <c r="M452">
        <v>999</v>
      </c>
    </row>
    <row r="453" spans="1:13" x14ac:dyDescent="0.2">
      <c r="A453" t="str">
        <f ca="1">表_网址[[#This Row],[1级]]&amp;"-"&amp;表_网址[[#This Row],[2级]]&amp;"-"&amp;表_网址[[#This Row],[3级]]&amp;"-"&amp;表_网址[[#This Row],[级内]]</f>
        <v>991-12-13-130</v>
      </c>
      <c r="B453">
        <f>VLOOKUP(表_网址[[#This Row],[首要关键词]],表_首次要关键词[[首要关键词]:[排序]],2,0)</f>
        <v>991</v>
      </c>
      <c r="C453" s="4">
        <f ca="1">IF(表_网址[[#This Row],[次要关键词]]="",10,MATCH(表_网址[[#This Row],[次要关键词]],次要关键词,0)+10)</f>
        <v>12</v>
      </c>
      <c r="D453">
        <f ca="1">IF(表_网址[[#This Row],[重点关键词]]="",10,MATCH(表_网址[[#This Row],[重点关键词]],OFFSET(重点关键词!$A$1,MATCH($J453,首要关键词,0)*50-48,MATCH($K453,次要关键词,0),重点关键词数量,1),0)+10)</f>
        <v>13</v>
      </c>
      <c r="E453">
        <f ca="1">IF(AND(表_网址[[#This Row],[1级]]=B452,表_网址[[#This Row],[2级]]=C452,表_网址[[#This Row],[3级]]=D452),E452+1,101)</f>
        <v>130</v>
      </c>
      <c r="F453" t="s">
        <v>1439</v>
      </c>
      <c r="G453" t="s">
        <v>1440</v>
      </c>
      <c r="J453" t="s">
        <v>59</v>
      </c>
      <c r="K453" t="s">
        <v>46</v>
      </c>
      <c r="L453" t="s">
        <v>1370</v>
      </c>
      <c r="M453">
        <v>999</v>
      </c>
    </row>
    <row r="454" spans="1:13" x14ac:dyDescent="0.2">
      <c r="A454" t="str">
        <f ca="1">表_网址[[#This Row],[1级]]&amp;"-"&amp;表_网址[[#This Row],[2级]]&amp;"-"&amp;表_网址[[#This Row],[3级]]&amp;"-"&amp;表_网址[[#This Row],[级内]]</f>
        <v>991-12-13-131</v>
      </c>
      <c r="B454">
        <f>VLOOKUP(表_网址[[#This Row],[首要关键词]],表_首次要关键词[[首要关键词]:[排序]],2,0)</f>
        <v>991</v>
      </c>
      <c r="C454" s="4">
        <f ca="1">IF(表_网址[[#This Row],[次要关键词]]="",10,MATCH(表_网址[[#This Row],[次要关键词]],次要关键词,0)+10)</f>
        <v>12</v>
      </c>
      <c r="D454">
        <f ca="1">IF(表_网址[[#This Row],[重点关键词]]="",10,MATCH(表_网址[[#This Row],[重点关键词]],OFFSET(重点关键词!$A$1,MATCH($J454,首要关键词,0)*50-48,MATCH($K454,次要关键词,0),重点关键词数量,1),0)+10)</f>
        <v>13</v>
      </c>
      <c r="E454">
        <f ca="1">IF(AND(表_网址[[#This Row],[1级]]=B453,表_网址[[#This Row],[2级]]=C453,表_网址[[#This Row],[3级]]=D453),E453+1,101)</f>
        <v>131</v>
      </c>
      <c r="F454" t="s">
        <v>1441</v>
      </c>
      <c r="G454" t="s">
        <v>1442</v>
      </c>
      <c r="J454" t="s">
        <v>59</v>
      </c>
      <c r="K454" t="s">
        <v>46</v>
      </c>
      <c r="L454" t="s">
        <v>1370</v>
      </c>
      <c r="M454">
        <v>999</v>
      </c>
    </row>
    <row r="455" spans="1:13" x14ac:dyDescent="0.2">
      <c r="A455" t="str">
        <f ca="1">表_网址[[#This Row],[1级]]&amp;"-"&amp;表_网址[[#This Row],[2级]]&amp;"-"&amp;表_网址[[#This Row],[3级]]&amp;"-"&amp;表_网址[[#This Row],[级内]]</f>
        <v>991-12-13-132</v>
      </c>
      <c r="B455">
        <f>VLOOKUP(表_网址[[#This Row],[首要关键词]],表_首次要关键词[[首要关键词]:[排序]],2,0)</f>
        <v>991</v>
      </c>
      <c r="C455" s="4">
        <f ca="1">IF(表_网址[[#This Row],[次要关键词]]="",10,MATCH(表_网址[[#This Row],[次要关键词]],次要关键词,0)+10)</f>
        <v>12</v>
      </c>
      <c r="D455">
        <f ca="1">IF(表_网址[[#This Row],[重点关键词]]="",10,MATCH(表_网址[[#This Row],[重点关键词]],OFFSET(重点关键词!$A$1,MATCH($J455,首要关键词,0)*50-48,MATCH($K455,次要关键词,0),重点关键词数量,1),0)+10)</f>
        <v>13</v>
      </c>
      <c r="E455">
        <f ca="1">IF(AND(表_网址[[#This Row],[1级]]=B454,表_网址[[#This Row],[2级]]=C454,表_网址[[#This Row],[3级]]=D454),E454+1,101)</f>
        <v>132</v>
      </c>
      <c r="F455" t="s">
        <v>1443</v>
      </c>
      <c r="G455" t="s">
        <v>1444</v>
      </c>
      <c r="H455" t="s">
        <v>1445</v>
      </c>
      <c r="J455" t="s">
        <v>59</v>
      </c>
      <c r="K455" t="s">
        <v>46</v>
      </c>
      <c r="L455" t="s">
        <v>1370</v>
      </c>
      <c r="M455">
        <v>999</v>
      </c>
    </row>
    <row r="456" spans="1:13" x14ac:dyDescent="0.2">
      <c r="A456" t="str">
        <f ca="1">表_网址[[#This Row],[1级]]&amp;"-"&amp;表_网址[[#This Row],[2级]]&amp;"-"&amp;表_网址[[#This Row],[3级]]&amp;"-"&amp;表_网址[[#This Row],[级内]]</f>
        <v>991-12-13-133</v>
      </c>
      <c r="B456">
        <f>VLOOKUP(表_网址[[#This Row],[首要关键词]],表_首次要关键词[[首要关键词]:[排序]],2,0)</f>
        <v>991</v>
      </c>
      <c r="C456" s="4">
        <f ca="1">IF(表_网址[[#This Row],[次要关键词]]="",10,MATCH(表_网址[[#This Row],[次要关键词]],次要关键词,0)+10)</f>
        <v>12</v>
      </c>
      <c r="D456">
        <f ca="1">IF(表_网址[[#This Row],[重点关键词]]="",10,MATCH(表_网址[[#This Row],[重点关键词]],OFFSET(重点关键词!$A$1,MATCH($J456,首要关键词,0)*50-48,MATCH($K456,次要关键词,0),重点关键词数量,1),0)+10)</f>
        <v>13</v>
      </c>
      <c r="E456">
        <f ca="1">IF(AND(表_网址[[#This Row],[1级]]=B455,表_网址[[#This Row],[2级]]=C455,表_网址[[#This Row],[3级]]=D455),E455+1,101)</f>
        <v>133</v>
      </c>
      <c r="F456" t="s">
        <v>1446</v>
      </c>
      <c r="G456" t="s">
        <v>1447</v>
      </c>
      <c r="J456" t="s">
        <v>59</v>
      </c>
      <c r="K456" t="s">
        <v>46</v>
      </c>
      <c r="L456" t="s">
        <v>1370</v>
      </c>
      <c r="M456">
        <v>999</v>
      </c>
    </row>
    <row r="457" spans="1:13" x14ac:dyDescent="0.2">
      <c r="A457" t="str">
        <f ca="1">表_网址[[#This Row],[1级]]&amp;"-"&amp;表_网址[[#This Row],[2级]]&amp;"-"&amp;表_网址[[#This Row],[3级]]&amp;"-"&amp;表_网址[[#This Row],[级内]]</f>
        <v>991-12-13-134</v>
      </c>
      <c r="B457">
        <f>VLOOKUP(表_网址[[#This Row],[首要关键词]],表_首次要关键词[[首要关键词]:[排序]],2,0)</f>
        <v>991</v>
      </c>
      <c r="C457" s="4">
        <f ca="1">IF(表_网址[[#This Row],[次要关键词]]="",10,MATCH(表_网址[[#This Row],[次要关键词]],次要关键词,0)+10)</f>
        <v>12</v>
      </c>
      <c r="D457">
        <f ca="1">IF(表_网址[[#This Row],[重点关键词]]="",10,MATCH(表_网址[[#This Row],[重点关键词]],OFFSET(重点关键词!$A$1,MATCH($J457,首要关键词,0)*50-48,MATCH($K457,次要关键词,0),重点关键词数量,1),0)+10)</f>
        <v>13</v>
      </c>
      <c r="E457">
        <f ca="1">IF(AND(表_网址[[#This Row],[1级]]=B456,表_网址[[#This Row],[2级]]=C456,表_网址[[#This Row],[3级]]=D456),E456+1,101)</f>
        <v>134</v>
      </c>
      <c r="F457" t="s">
        <v>1448</v>
      </c>
      <c r="G457" t="s">
        <v>1449</v>
      </c>
      <c r="J457" t="s">
        <v>59</v>
      </c>
      <c r="K457" t="s">
        <v>46</v>
      </c>
      <c r="L457" t="s">
        <v>1370</v>
      </c>
      <c r="M457">
        <v>999</v>
      </c>
    </row>
    <row r="458" spans="1:13" x14ac:dyDescent="0.2">
      <c r="A458" t="str">
        <f ca="1">表_网址[[#This Row],[1级]]&amp;"-"&amp;表_网址[[#This Row],[2级]]&amp;"-"&amp;表_网址[[#This Row],[3级]]&amp;"-"&amp;表_网址[[#This Row],[级内]]</f>
        <v>991-12-13-135</v>
      </c>
      <c r="B458">
        <f>VLOOKUP(表_网址[[#This Row],[首要关键词]],表_首次要关键词[[首要关键词]:[排序]],2,0)</f>
        <v>991</v>
      </c>
      <c r="C458" s="4">
        <f ca="1">IF(表_网址[[#This Row],[次要关键词]]="",10,MATCH(表_网址[[#This Row],[次要关键词]],次要关键词,0)+10)</f>
        <v>12</v>
      </c>
      <c r="D458">
        <f ca="1">IF(表_网址[[#This Row],[重点关键词]]="",10,MATCH(表_网址[[#This Row],[重点关键词]],OFFSET(重点关键词!$A$1,MATCH($J458,首要关键词,0)*50-48,MATCH($K458,次要关键词,0),重点关键词数量,1),0)+10)</f>
        <v>13</v>
      </c>
      <c r="E458">
        <f ca="1">IF(AND(表_网址[[#This Row],[1级]]=B457,表_网址[[#This Row],[2级]]=C457,表_网址[[#This Row],[3级]]=D457),E457+1,101)</f>
        <v>135</v>
      </c>
      <c r="F458" t="s">
        <v>1450</v>
      </c>
      <c r="G458" t="s">
        <v>1451</v>
      </c>
      <c r="J458" t="s">
        <v>59</v>
      </c>
      <c r="K458" t="s">
        <v>46</v>
      </c>
      <c r="L458" t="s">
        <v>1370</v>
      </c>
      <c r="M458">
        <v>999</v>
      </c>
    </row>
    <row r="459" spans="1:13" x14ac:dyDescent="0.2">
      <c r="A459" t="str">
        <f ca="1">表_网址[[#This Row],[1级]]&amp;"-"&amp;表_网址[[#This Row],[2级]]&amp;"-"&amp;表_网址[[#This Row],[3级]]&amp;"-"&amp;表_网址[[#This Row],[级内]]</f>
        <v>991-12-13-136</v>
      </c>
      <c r="B459">
        <f>VLOOKUP(表_网址[[#This Row],[首要关键词]],表_首次要关键词[[首要关键词]:[排序]],2,0)</f>
        <v>991</v>
      </c>
      <c r="C459" s="4">
        <f ca="1">IF(表_网址[[#This Row],[次要关键词]]="",10,MATCH(表_网址[[#This Row],[次要关键词]],次要关键词,0)+10)</f>
        <v>12</v>
      </c>
      <c r="D459">
        <f ca="1">IF(表_网址[[#This Row],[重点关键词]]="",10,MATCH(表_网址[[#This Row],[重点关键词]],OFFSET(重点关键词!$A$1,MATCH($J459,首要关键词,0)*50-48,MATCH($K459,次要关键词,0),重点关键词数量,1),0)+10)</f>
        <v>13</v>
      </c>
      <c r="E459">
        <f ca="1">IF(AND(表_网址[[#This Row],[1级]]=B458,表_网址[[#This Row],[2级]]=C458,表_网址[[#This Row],[3级]]=D458),E458+1,101)</f>
        <v>136</v>
      </c>
      <c r="F459" t="s">
        <v>1452</v>
      </c>
      <c r="G459" t="s">
        <v>1453</v>
      </c>
      <c r="J459" t="s">
        <v>59</v>
      </c>
      <c r="K459" t="s">
        <v>46</v>
      </c>
      <c r="L459" t="s">
        <v>1370</v>
      </c>
      <c r="M459">
        <v>999</v>
      </c>
    </row>
    <row r="460" spans="1:13" x14ac:dyDescent="0.2">
      <c r="A460" t="str">
        <f ca="1">表_网址[[#This Row],[1级]]&amp;"-"&amp;表_网址[[#This Row],[2级]]&amp;"-"&amp;表_网址[[#This Row],[3级]]&amp;"-"&amp;表_网址[[#This Row],[级内]]</f>
        <v>991-12-13-137</v>
      </c>
      <c r="B460">
        <f>VLOOKUP(表_网址[[#This Row],[首要关键词]],表_首次要关键词[[首要关键词]:[排序]],2,0)</f>
        <v>991</v>
      </c>
      <c r="C460" s="4">
        <f ca="1">IF(表_网址[[#This Row],[次要关键词]]="",10,MATCH(表_网址[[#This Row],[次要关键词]],次要关键词,0)+10)</f>
        <v>12</v>
      </c>
      <c r="D460">
        <f ca="1">IF(表_网址[[#This Row],[重点关键词]]="",10,MATCH(表_网址[[#This Row],[重点关键词]],OFFSET(重点关键词!$A$1,MATCH($J460,首要关键词,0)*50-48,MATCH($K460,次要关键词,0),重点关键词数量,1),0)+10)</f>
        <v>13</v>
      </c>
      <c r="E460">
        <f ca="1">IF(AND(表_网址[[#This Row],[1级]]=B459,表_网址[[#This Row],[2级]]=C459,表_网址[[#This Row],[3级]]=D459),E459+1,101)</f>
        <v>137</v>
      </c>
      <c r="F460" t="s">
        <v>1454</v>
      </c>
      <c r="G460" t="s">
        <v>1455</v>
      </c>
      <c r="J460" t="s">
        <v>59</v>
      </c>
      <c r="K460" t="s">
        <v>46</v>
      </c>
      <c r="L460" t="s">
        <v>1370</v>
      </c>
      <c r="M460">
        <v>999</v>
      </c>
    </row>
    <row r="461" spans="1:13" x14ac:dyDescent="0.2">
      <c r="A461" t="str">
        <f ca="1">表_网址[[#This Row],[1级]]&amp;"-"&amp;表_网址[[#This Row],[2级]]&amp;"-"&amp;表_网址[[#This Row],[3级]]&amp;"-"&amp;表_网址[[#This Row],[级内]]</f>
        <v>991-12-13-138</v>
      </c>
      <c r="B461">
        <f>VLOOKUP(表_网址[[#This Row],[首要关键词]],表_首次要关键词[[首要关键词]:[排序]],2,0)</f>
        <v>991</v>
      </c>
      <c r="C461" s="4">
        <f ca="1">IF(表_网址[[#This Row],[次要关键词]]="",10,MATCH(表_网址[[#This Row],[次要关键词]],次要关键词,0)+10)</f>
        <v>12</v>
      </c>
      <c r="D461">
        <f ca="1">IF(表_网址[[#This Row],[重点关键词]]="",10,MATCH(表_网址[[#This Row],[重点关键词]],OFFSET(重点关键词!$A$1,MATCH($J461,首要关键词,0)*50-48,MATCH($K461,次要关键词,0),重点关键词数量,1),0)+10)</f>
        <v>13</v>
      </c>
      <c r="E461">
        <f ca="1">IF(AND(表_网址[[#This Row],[1级]]=B460,表_网址[[#This Row],[2级]]=C460,表_网址[[#This Row],[3级]]=D460),E460+1,101)</f>
        <v>138</v>
      </c>
      <c r="F461" t="s">
        <v>1456</v>
      </c>
      <c r="G461" t="s">
        <v>1457</v>
      </c>
      <c r="H461" t="s">
        <v>1458</v>
      </c>
      <c r="J461" t="s">
        <v>59</v>
      </c>
      <c r="K461" t="s">
        <v>46</v>
      </c>
      <c r="L461" t="s">
        <v>1370</v>
      </c>
      <c r="M461">
        <v>999</v>
      </c>
    </row>
    <row r="462" spans="1:13" x14ac:dyDescent="0.2">
      <c r="A462" t="str">
        <f ca="1">表_网址[[#This Row],[1级]]&amp;"-"&amp;表_网址[[#This Row],[2级]]&amp;"-"&amp;表_网址[[#This Row],[3级]]&amp;"-"&amp;表_网址[[#This Row],[级内]]</f>
        <v>991-12-13-139</v>
      </c>
      <c r="B462">
        <f>VLOOKUP(表_网址[[#This Row],[首要关键词]],表_首次要关键词[[首要关键词]:[排序]],2,0)</f>
        <v>991</v>
      </c>
      <c r="C462" s="4">
        <f ca="1">IF(表_网址[[#This Row],[次要关键词]]="",10,MATCH(表_网址[[#This Row],[次要关键词]],次要关键词,0)+10)</f>
        <v>12</v>
      </c>
      <c r="D462">
        <f ca="1">IF(表_网址[[#This Row],[重点关键词]]="",10,MATCH(表_网址[[#This Row],[重点关键词]],OFFSET(重点关键词!$A$1,MATCH($J462,首要关键词,0)*50-48,MATCH($K462,次要关键词,0),重点关键词数量,1),0)+10)</f>
        <v>13</v>
      </c>
      <c r="E462">
        <f ca="1">IF(AND(表_网址[[#This Row],[1级]]=B461,表_网址[[#This Row],[2级]]=C461,表_网址[[#This Row],[3级]]=D461),E461+1,101)</f>
        <v>139</v>
      </c>
      <c r="F462" t="s">
        <v>1459</v>
      </c>
      <c r="G462" t="s">
        <v>1460</v>
      </c>
      <c r="J462" t="s">
        <v>59</v>
      </c>
      <c r="K462" t="s">
        <v>46</v>
      </c>
      <c r="L462" t="s">
        <v>1370</v>
      </c>
      <c r="M462">
        <v>999</v>
      </c>
    </row>
    <row r="463" spans="1:13" x14ac:dyDescent="0.2">
      <c r="A463" t="str">
        <f ca="1">表_网址[[#This Row],[1级]]&amp;"-"&amp;表_网址[[#This Row],[2级]]&amp;"-"&amp;表_网址[[#This Row],[3级]]&amp;"-"&amp;表_网址[[#This Row],[级内]]</f>
        <v>991-12-13-140</v>
      </c>
      <c r="B463">
        <f>VLOOKUP(表_网址[[#This Row],[首要关键词]],表_首次要关键词[[首要关键词]:[排序]],2,0)</f>
        <v>991</v>
      </c>
      <c r="C463" s="4">
        <f ca="1">IF(表_网址[[#This Row],[次要关键词]]="",10,MATCH(表_网址[[#This Row],[次要关键词]],次要关键词,0)+10)</f>
        <v>12</v>
      </c>
      <c r="D463">
        <f ca="1">IF(表_网址[[#This Row],[重点关键词]]="",10,MATCH(表_网址[[#This Row],[重点关键词]],OFFSET(重点关键词!$A$1,MATCH($J463,首要关键词,0)*50-48,MATCH($K463,次要关键词,0),重点关键词数量,1),0)+10)</f>
        <v>13</v>
      </c>
      <c r="E463">
        <f ca="1">IF(AND(表_网址[[#This Row],[1级]]=B462,表_网址[[#This Row],[2级]]=C462,表_网址[[#This Row],[3级]]=D462),E462+1,101)</f>
        <v>140</v>
      </c>
      <c r="F463" t="s">
        <v>1461</v>
      </c>
      <c r="G463" t="s">
        <v>1462</v>
      </c>
      <c r="J463" t="s">
        <v>59</v>
      </c>
      <c r="K463" t="s">
        <v>46</v>
      </c>
      <c r="L463" t="s">
        <v>1370</v>
      </c>
      <c r="M463">
        <v>999</v>
      </c>
    </row>
    <row r="464" spans="1:13" x14ac:dyDescent="0.2">
      <c r="A464" t="str">
        <f ca="1">表_网址[[#This Row],[1级]]&amp;"-"&amp;表_网址[[#This Row],[2级]]&amp;"-"&amp;表_网址[[#This Row],[3级]]&amp;"-"&amp;表_网址[[#This Row],[级内]]</f>
        <v>991-12-13-141</v>
      </c>
      <c r="B464">
        <f>VLOOKUP(表_网址[[#This Row],[首要关键词]],表_首次要关键词[[首要关键词]:[排序]],2,0)</f>
        <v>991</v>
      </c>
      <c r="C464" s="4">
        <f ca="1">IF(表_网址[[#This Row],[次要关键词]]="",10,MATCH(表_网址[[#This Row],[次要关键词]],次要关键词,0)+10)</f>
        <v>12</v>
      </c>
      <c r="D464">
        <f ca="1">IF(表_网址[[#This Row],[重点关键词]]="",10,MATCH(表_网址[[#This Row],[重点关键词]],OFFSET(重点关键词!$A$1,MATCH($J464,首要关键词,0)*50-48,MATCH($K464,次要关键词,0),重点关键词数量,1),0)+10)</f>
        <v>13</v>
      </c>
      <c r="E464">
        <f ca="1">IF(AND(表_网址[[#This Row],[1级]]=B463,表_网址[[#This Row],[2级]]=C463,表_网址[[#This Row],[3级]]=D463),E463+1,101)</f>
        <v>141</v>
      </c>
      <c r="F464" t="s">
        <v>1463</v>
      </c>
      <c r="G464" t="s">
        <v>1464</v>
      </c>
      <c r="J464" t="s">
        <v>59</v>
      </c>
      <c r="K464" t="s">
        <v>46</v>
      </c>
      <c r="L464" t="s">
        <v>1370</v>
      </c>
      <c r="M464">
        <v>999</v>
      </c>
    </row>
    <row r="465" spans="1:13" x14ac:dyDescent="0.2">
      <c r="A465" t="str">
        <f ca="1">表_网址[[#This Row],[1级]]&amp;"-"&amp;表_网址[[#This Row],[2级]]&amp;"-"&amp;表_网址[[#This Row],[3级]]&amp;"-"&amp;表_网址[[#This Row],[级内]]</f>
        <v>991-12-13-142</v>
      </c>
      <c r="B465">
        <f>VLOOKUP(表_网址[[#This Row],[首要关键词]],表_首次要关键词[[首要关键词]:[排序]],2,0)</f>
        <v>991</v>
      </c>
      <c r="C465" s="4">
        <f ca="1">IF(表_网址[[#This Row],[次要关键词]]="",10,MATCH(表_网址[[#This Row],[次要关键词]],次要关键词,0)+10)</f>
        <v>12</v>
      </c>
      <c r="D465">
        <f ca="1">IF(表_网址[[#This Row],[重点关键词]]="",10,MATCH(表_网址[[#This Row],[重点关键词]],OFFSET(重点关键词!$A$1,MATCH($J465,首要关键词,0)*50-48,MATCH($K465,次要关键词,0),重点关键词数量,1),0)+10)</f>
        <v>13</v>
      </c>
      <c r="E465">
        <f ca="1">IF(AND(表_网址[[#This Row],[1级]]=B464,表_网址[[#This Row],[2级]]=C464,表_网址[[#This Row],[3级]]=D464),E464+1,101)</f>
        <v>142</v>
      </c>
      <c r="F465" t="s">
        <v>1465</v>
      </c>
      <c r="G465" t="s">
        <v>1466</v>
      </c>
      <c r="H465" t="s">
        <v>1467</v>
      </c>
      <c r="J465" t="s">
        <v>59</v>
      </c>
      <c r="K465" t="s">
        <v>46</v>
      </c>
      <c r="L465" t="s">
        <v>1370</v>
      </c>
      <c r="M465">
        <v>999</v>
      </c>
    </row>
    <row r="466" spans="1:13" x14ac:dyDescent="0.2">
      <c r="A466" t="str">
        <f ca="1">表_网址[[#This Row],[1级]]&amp;"-"&amp;表_网址[[#This Row],[2级]]&amp;"-"&amp;表_网址[[#This Row],[3级]]&amp;"-"&amp;表_网址[[#This Row],[级内]]</f>
        <v>991-12-13-143</v>
      </c>
      <c r="B466">
        <f>VLOOKUP(表_网址[[#This Row],[首要关键词]],表_首次要关键词[[首要关键词]:[排序]],2,0)</f>
        <v>991</v>
      </c>
      <c r="C466" s="4">
        <f ca="1">IF(表_网址[[#This Row],[次要关键词]]="",10,MATCH(表_网址[[#This Row],[次要关键词]],次要关键词,0)+10)</f>
        <v>12</v>
      </c>
      <c r="D466">
        <f ca="1">IF(表_网址[[#This Row],[重点关键词]]="",10,MATCH(表_网址[[#This Row],[重点关键词]],OFFSET(重点关键词!$A$1,MATCH($J466,首要关键词,0)*50-48,MATCH($K466,次要关键词,0),重点关键词数量,1),0)+10)</f>
        <v>13</v>
      </c>
      <c r="E466">
        <f ca="1">IF(AND(表_网址[[#This Row],[1级]]=B465,表_网址[[#This Row],[2级]]=C465,表_网址[[#This Row],[3级]]=D465),E465+1,101)</f>
        <v>143</v>
      </c>
      <c r="F466" t="s">
        <v>1468</v>
      </c>
      <c r="G466" t="s">
        <v>1469</v>
      </c>
      <c r="J466" t="s">
        <v>59</v>
      </c>
      <c r="K466" t="s">
        <v>46</v>
      </c>
      <c r="L466" t="s">
        <v>1370</v>
      </c>
      <c r="M466">
        <v>999</v>
      </c>
    </row>
    <row r="467" spans="1:13" x14ac:dyDescent="0.2">
      <c r="A467" t="str">
        <f ca="1">表_网址[[#This Row],[1级]]&amp;"-"&amp;表_网址[[#This Row],[2级]]&amp;"-"&amp;表_网址[[#This Row],[3级]]&amp;"-"&amp;表_网址[[#This Row],[级内]]</f>
        <v>991-12-14-101</v>
      </c>
      <c r="B467">
        <f>VLOOKUP(表_网址[[#This Row],[首要关键词]],表_首次要关键词[[首要关键词]:[排序]],2,0)</f>
        <v>991</v>
      </c>
      <c r="C467" s="4">
        <f ca="1">IF(表_网址[[#This Row],[次要关键词]]="",10,MATCH(表_网址[[#This Row],[次要关键词]],次要关键词,0)+10)</f>
        <v>12</v>
      </c>
      <c r="D467">
        <f ca="1">IF(表_网址[[#This Row],[重点关键词]]="",10,MATCH(表_网址[[#This Row],[重点关键词]],OFFSET(重点关键词!$A$1,MATCH($J467,首要关键词,0)*50-48,MATCH($K467,次要关键词,0),重点关键词数量,1),0)+10)</f>
        <v>14</v>
      </c>
      <c r="E467">
        <f ca="1">IF(AND(表_网址[[#This Row],[1级]]=B466,表_网址[[#This Row],[2级]]=C466,表_网址[[#This Row],[3级]]=D466),E466+1,101)</f>
        <v>101</v>
      </c>
      <c r="F467" t="s">
        <v>1470</v>
      </c>
      <c r="G467" t="s">
        <v>1471</v>
      </c>
      <c r="J467" t="s">
        <v>59</v>
      </c>
      <c r="K467" t="s">
        <v>46</v>
      </c>
      <c r="L467" t="s">
        <v>1283</v>
      </c>
      <c r="M467">
        <v>999</v>
      </c>
    </row>
    <row r="468" spans="1:13" x14ac:dyDescent="0.2">
      <c r="A468" t="str">
        <f ca="1">表_网址[[#This Row],[1级]]&amp;"-"&amp;表_网址[[#This Row],[2级]]&amp;"-"&amp;表_网址[[#This Row],[3级]]&amp;"-"&amp;表_网址[[#This Row],[级内]]</f>
        <v>991-12-14-102</v>
      </c>
      <c r="B468">
        <f>VLOOKUP(表_网址[[#This Row],[首要关键词]],表_首次要关键词[[首要关键词]:[排序]],2,0)</f>
        <v>991</v>
      </c>
      <c r="C468" s="4">
        <f ca="1">IF(表_网址[[#This Row],[次要关键词]]="",10,MATCH(表_网址[[#This Row],[次要关键词]],次要关键词,0)+10)</f>
        <v>12</v>
      </c>
      <c r="D468">
        <f ca="1">IF(表_网址[[#This Row],[重点关键词]]="",10,MATCH(表_网址[[#This Row],[重点关键词]],OFFSET(重点关键词!$A$1,MATCH($J468,首要关键词,0)*50-48,MATCH($K468,次要关键词,0),重点关键词数量,1),0)+10)</f>
        <v>14</v>
      </c>
      <c r="E468">
        <f ca="1">IF(AND(表_网址[[#This Row],[1级]]=B467,表_网址[[#This Row],[2级]]=C467,表_网址[[#This Row],[3级]]=D467),E467+1,101)</f>
        <v>102</v>
      </c>
      <c r="F468" t="s">
        <v>1472</v>
      </c>
      <c r="G468" t="s">
        <v>1473</v>
      </c>
      <c r="J468" t="s">
        <v>59</v>
      </c>
      <c r="K468" t="s">
        <v>46</v>
      </c>
      <c r="L468" t="s">
        <v>1283</v>
      </c>
      <c r="M468">
        <v>999</v>
      </c>
    </row>
    <row r="469" spans="1:13" x14ac:dyDescent="0.2">
      <c r="A469" t="str">
        <f ca="1">表_网址[[#This Row],[1级]]&amp;"-"&amp;表_网址[[#This Row],[2级]]&amp;"-"&amp;表_网址[[#This Row],[3级]]&amp;"-"&amp;表_网址[[#This Row],[级内]]</f>
        <v>991-12-14-103</v>
      </c>
      <c r="B469">
        <f>VLOOKUP(表_网址[[#This Row],[首要关键词]],表_首次要关键词[[首要关键词]:[排序]],2,0)</f>
        <v>991</v>
      </c>
      <c r="C469" s="4">
        <f ca="1">IF(表_网址[[#This Row],[次要关键词]]="",10,MATCH(表_网址[[#This Row],[次要关键词]],次要关键词,0)+10)</f>
        <v>12</v>
      </c>
      <c r="D469">
        <f ca="1">IF(表_网址[[#This Row],[重点关键词]]="",10,MATCH(表_网址[[#This Row],[重点关键词]],OFFSET(重点关键词!$A$1,MATCH($J469,首要关键词,0)*50-48,MATCH($K469,次要关键词,0),重点关键词数量,1),0)+10)</f>
        <v>14</v>
      </c>
      <c r="E469">
        <f ca="1">IF(AND(表_网址[[#This Row],[1级]]=B468,表_网址[[#This Row],[2级]]=C468,表_网址[[#This Row],[3级]]=D468),E468+1,101)</f>
        <v>103</v>
      </c>
      <c r="F469" t="s">
        <v>1474</v>
      </c>
      <c r="G469" t="s">
        <v>1475</v>
      </c>
      <c r="J469" t="s">
        <v>59</v>
      </c>
      <c r="K469" t="s">
        <v>46</v>
      </c>
      <c r="L469" t="s">
        <v>1283</v>
      </c>
      <c r="M469">
        <v>999</v>
      </c>
    </row>
    <row r="470" spans="1:13" x14ac:dyDescent="0.2">
      <c r="A470" t="str">
        <f ca="1">表_网址[[#This Row],[1级]]&amp;"-"&amp;表_网址[[#This Row],[2级]]&amp;"-"&amp;表_网址[[#This Row],[3级]]&amp;"-"&amp;表_网址[[#This Row],[级内]]</f>
        <v>991-12-14-104</v>
      </c>
      <c r="B470">
        <f>VLOOKUP(表_网址[[#This Row],[首要关键词]],表_首次要关键词[[首要关键词]:[排序]],2,0)</f>
        <v>991</v>
      </c>
      <c r="C470" s="4">
        <f ca="1">IF(表_网址[[#This Row],[次要关键词]]="",10,MATCH(表_网址[[#This Row],[次要关键词]],次要关键词,0)+10)</f>
        <v>12</v>
      </c>
      <c r="D470">
        <f ca="1">IF(表_网址[[#This Row],[重点关键词]]="",10,MATCH(表_网址[[#This Row],[重点关键词]],OFFSET(重点关键词!$A$1,MATCH($J470,首要关键词,0)*50-48,MATCH($K470,次要关键词,0),重点关键词数量,1),0)+10)</f>
        <v>14</v>
      </c>
      <c r="E470">
        <f ca="1">IF(AND(表_网址[[#This Row],[1级]]=B469,表_网址[[#This Row],[2级]]=C469,表_网址[[#This Row],[3级]]=D469),E469+1,101)</f>
        <v>104</v>
      </c>
      <c r="F470" t="s">
        <v>1476</v>
      </c>
      <c r="G470" t="s">
        <v>1477</v>
      </c>
      <c r="J470" t="s">
        <v>59</v>
      </c>
      <c r="K470" t="s">
        <v>46</v>
      </c>
      <c r="L470" t="s">
        <v>1283</v>
      </c>
      <c r="M470">
        <v>999</v>
      </c>
    </row>
    <row r="471" spans="1:13" x14ac:dyDescent="0.2">
      <c r="A471" t="str">
        <f ca="1">表_网址[[#This Row],[1级]]&amp;"-"&amp;表_网址[[#This Row],[2级]]&amp;"-"&amp;表_网址[[#This Row],[3级]]&amp;"-"&amp;表_网址[[#This Row],[级内]]</f>
        <v>991-12-14-105</v>
      </c>
      <c r="B471">
        <f>VLOOKUP(表_网址[[#This Row],[首要关键词]],表_首次要关键词[[首要关键词]:[排序]],2,0)</f>
        <v>991</v>
      </c>
      <c r="C471" s="4">
        <f ca="1">IF(表_网址[[#This Row],[次要关键词]]="",10,MATCH(表_网址[[#This Row],[次要关键词]],次要关键词,0)+10)</f>
        <v>12</v>
      </c>
      <c r="D471">
        <f ca="1">IF(表_网址[[#This Row],[重点关键词]]="",10,MATCH(表_网址[[#This Row],[重点关键词]],OFFSET(重点关键词!$A$1,MATCH($J471,首要关键词,0)*50-48,MATCH($K471,次要关键词,0),重点关键词数量,1),0)+10)</f>
        <v>14</v>
      </c>
      <c r="E471">
        <f ca="1">IF(AND(表_网址[[#This Row],[1级]]=B470,表_网址[[#This Row],[2级]]=C470,表_网址[[#This Row],[3级]]=D470),E470+1,101)</f>
        <v>105</v>
      </c>
      <c r="F471" t="s">
        <v>1478</v>
      </c>
      <c r="G471" t="s">
        <v>1479</v>
      </c>
      <c r="J471" t="s">
        <v>59</v>
      </c>
      <c r="K471" t="s">
        <v>46</v>
      </c>
      <c r="L471" t="s">
        <v>1283</v>
      </c>
      <c r="M471">
        <v>999</v>
      </c>
    </row>
    <row r="472" spans="1:13" x14ac:dyDescent="0.2">
      <c r="A472" t="str">
        <f ca="1">表_网址[[#This Row],[1级]]&amp;"-"&amp;表_网址[[#This Row],[2级]]&amp;"-"&amp;表_网址[[#This Row],[3级]]&amp;"-"&amp;表_网址[[#This Row],[级内]]</f>
        <v>991-12-14-106</v>
      </c>
      <c r="B472">
        <f>VLOOKUP(表_网址[[#This Row],[首要关键词]],表_首次要关键词[[首要关键词]:[排序]],2,0)</f>
        <v>991</v>
      </c>
      <c r="C472" s="4">
        <f ca="1">IF(表_网址[[#This Row],[次要关键词]]="",10,MATCH(表_网址[[#This Row],[次要关键词]],次要关键词,0)+10)</f>
        <v>12</v>
      </c>
      <c r="D472">
        <f ca="1">IF(表_网址[[#This Row],[重点关键词]]="",10,MATCH(表_网址[[#This Row],[重点关键词]],OFFSET(重点关键词!$A$1,MATCH($J472,首要关键词,0)*50-48,MATCH($K472,次要关键词,0),重点关键词数量,1),0)+10)</f>
        <v>14</v>
      </c>
      <c r="E472">
        <f ca="1">IF(AND(表_网址[[#This Row],[1级]]=B471,表_网址[[#This Row],[2级]]=C471,表_网址[[#This Row],[3级]]=D471),E471+1,101)</f>
        <v>106</v>
      </c>
      <c r="F472" t="s">
        <v>1480</v>
      </c>
      <c r="G472" t="s">
        <v>1481</v>
      </c>
      <c r="J472" t="s">
        <v>59</v>
      </c>
      <c r="K472" t="s">
        <v>46</v>
      </c>
      <c r="L472" t="s">
        <v>1283</v>
      </c>
      <c r="M472">
        <v>999</v>
      </c>
    </row>
    <row r="473" spans="1:13" x14ac:dyDescent="0.2">
      <c r="A473" t="str">
        <f ca="1">表_网址[[#This Row],[1级]]&amp;"-"&amp;表_网址[[#This Row],[2级]]&amp;"-"&amp;表_网址[[#This Row],[3级]]&amp;"-"&amp;表_网址[[#This Row],[级内]]</f>
        <v>991-12-14-107</v>
      </c>
      <c r="B473">
        <f>VLOOKUP(表_网址[[#This Row],[首要关键词]],表_首次要关键词[[首要关键词]:[排序]],2,0)</f>
        <v>991</v>
      </c>
      <c r="C473" s="4">
        <f ca="1">IF(表_网址[[#This Row],[次要关键词]]="",10,MATCH(表_网址[[#This Row],[次要关键词]],次要关键词,0)+10)</f>
        <v>12</v>
      </c>
      <c r="D473">
        <f ca="1">IF(表_网址[[#This Row],[重点关键词]]="",10,MATCH(表_网址[[#This Row],[重点关键词]],OFFSET(重点关键词!$A$1,MATCH($J473,首要关键词,0)*50-48,MATCH($K473,次要关键词,0),重点关键词数量,1),0)+10)</f>
        <v>14</v>
      </c>
      <c r="E473">
        <f ca="1">IF(AND(表_网址[[#This Row],[1级]]=B472,表_网址[[#This Row],[2级]]=C472,表_网址[[#This Row],[3级]]=D472),E472+1,101)</f>
        <v>107</v>
      </c>
      <c r="F473" t="s">
        <v>1482</v>
      </c>
      <c r="G473" t="s">
        <v>1483</v>
      </c>
      <c r="J473" t="s">
        <v>59</v>
      </c>
      <c r="K473" t="s">
        <v>46</v>
      </c>
      <c r="L473" t="s">
        <v>1283</v>
      </c>
      <c r="M473">
        <v>999</v>
      </c>
    </row>
    <row r="474" spans="1:13" x14ac:dyDescent="0.2">
      <c r="A474" t="str">
        <f ca="1">表_网址[[#This Row],[1级]]&amp;"-"&amp;表_网址[[#This Row],[2级]]&amp;"-"&amp;表_网址[[#This Row],[3级]]&amp;"-"&amp;表_网址[[#This Row],[级内]]</f>
        <v>991-12-14-108</v>
      </c>
      <c r="B474">
        <f>VLOOKUP(表_网址[[#This Row],[首要关键词]],表_首次要关键词[[首要关键词]:[排序]],2,0)</f>
        <v>991</v>
      </c>
      <c r="C474" s="4">
        <f ca="1">IF(表_网址[[#This Row],[次要关键词]]="",10,MATCH(表_网址[[#This Row],[次要关键词]],次要关键词,0)+10)</f>
        <v>12</v>
      </c>
      <c r="D474">
        <f ca="1">IF(表_网址[[#This Row],[重点关键词]]="",10,MATCH(表_网址[[#This Row],[重点关键词]],OFFSET(重点关键词!$A$1,MATCH($J474,首要关键词,0)*50-48,MATCH($K474,次要关键词,0),重点关键词数量,1),0)+10)</f>
        <v>14</v>
      </c>
      <c r="E474">
        <f ca="1">IF(AND(表_网址[[#This Row],[1级]]=B473,表_网址[[#This Row],[2级]]=C473,表_网址[[#This Row],[3级]]=D473),E473+1,101)</f>
        <v>108</v>
      </c>
      <c r="F474" t="s">
        <v>1484</v>
      </c>
      <c r="G474" t="s">
        <v>1485</v>
      </c>
      <c r="J474" t="s">
        <v>59</v>
      </c>
      <c r="K474" t="s">
        <v>46</v>
      </c>
      <c r="L474" t="s">
        <v>1283</v>
      </c>
      <c r="M474">
        <v>999</v>
      </c>
    </row>
    <row r="475" spans="1:13" x14ac:dyDescent="0.2">
      <c r="A475" t="str">
        <f ca="1">表_网址[[#This Row],[1级]]&amp;"-"&amp;表_网址[[#This Row],[2级]]&amp;"-"&amp;表_网址[[#This Row],[3级]]&amp;"-"&amp;表_网址[[#This Row],[级内]]</f>
        <v>991-12-14-109</v>
      </c>
      <c r="B475">
        <f>VLOOKUP(表_网址[[#This Row],[首要关键词]],表_首次要关键词[[首要关键词]:[排序]],2,0)</f>
        <v>991</v>
      </c>
      <c r="C475" s="4">
        <f ca="1">IF(表_网址[[#This Row],[次要关键词]]="",10,MATCH(表_网址[[#This Row],[次要关键词]],次要关键词,0)+10)</f>
        <v>12</v>
      </c>
      <c r="D475">
        <f ca="1">IF(表_网址[[#This Row],[重点关键词]]="",10,MATCH(表_网址[[#This Row],[重点关键词]],OFFSET(重点关键词!$A$1,MATCH($J475,首要关键词,0)*50-48,MATCH($K475,次要关键词,0),重点关键词数量,1),0)+10)</f>
        <v>14</v>
      </c>
      <c r="E475">
        <f ca="1">IF(AND(表_网址[[#This Row],[1级]]=B474,表_网址[[#This Row],[2级]]=C474,表_网址[[#This Row],[3级]]=D474),E474+1,101)</f>
        <v>109</v>
      </c>
      <c r="F475" t="s">
        <v>1486</v>
      </c>
      <c r="G475" t="s">
        <v>1487</v>
      </c>
      <c r="J475" t="s">
        <v>59</v>
      </c>
      <c r="K475" t="s">
        <v>46</v>
      </c>
      <c r="L475" t="s">
        <v>1283</v>
      </c>
      <c r="M475">
        <v>999</v>
      </c>
    </row>
    <row r="476" spans="1:13" x14ac:dyDescent="0.2">
      <c r="A476" t="str">
        <f ca="1">表_网址[[#This Row],[1级]]&amp;"-"&amp;表_网址[[#This Row],[2级]]&amp;"-"&amp;表_网址[[#This Row],[3级]]&amp;"-"&amp;表_网址[[#This Row],[级内]]</f>
        <v>991-12-14-110</v>
      </c>
      <c r="B476">
        <f>VLOOKUP(表_网址[[#This Row],[首要关键词]],表_首次要关键词[[首要关键词]:[排序]],2,0)</f>
        <v>991</v>
      </c>
      <c r="C476" s="4">
        <f ca="1">IF(表_网址[[#This Row],[次要关键词]]="",10,MATCH(表_网址[[#This Row],[次要关键词]],次要关键词,0)+10)</f>
        <v>12</v>
      </c>
      <c r="D476">
        <f ca="1">IF(表_网址[[#This Row],[重点关键词]]="",10,MATCH(表_网址[[#This Row],[重点关键词]],OFFSET(重点关键词!$A$1,MATCH($J476,首要关键词,0)*50-48,MATCH($K476,次要关键词,0),重点关键词数量,1),0)+10)</f>
        <v>14</v>
      </c>
      <c r="E476">
        <f ca="1">IF(AND(表_网址[[#This Row],[1级]]=B475,表_网址[[#This Row],[2级]]=C475,表_网址[[#This Row],[3级]]=D475),E475+1,101)</f>
        <v>110</v>
      </c>
      <c r="F476" t="s">
        <v>1488</v>
      </c>
      <c r="G476" t="s">
        <v>1489</v>
      </c>
      <c r="J476" t="s">
        <v>59</v>
      </c>
      <c r="K476" t="s">
        <v>46</v>
      </c>
      <c r="L476" t="s">
        <v>1283</v>
      </c>
      <c r="M476">
        <v>999</v>
      </c>
    </row>
    <row r="477" spans="1:13" x14ac:dyDescent="0.2">
      <c r="A477" t="str">
        <f ca="1">表_网址[[#This Row],[1级]]&amp;"-"&amp;表_网址[[#This Row],[2级]]&amp;"-"&amp;表_网址[[#This Row],[3级]]&amp;"-"&amp;表_网址[[#This Row],[级内]]</f>
        <v>991-12-14-111</v>
      </c>
      <c r="B477">
        <f>VLOOKUP(表_网址[[#This Row],[首要关键词]],表_首次要关键词[[首要关键词]:[排序]],2,0)</f>
        <v>991</v>
      </c>
      <c r="C477" s="4">
        <f ca="1">IF(表_网址[[#This Row],[次要关键词]]="",10,MATCH(表_网址[[#This Row],[次要关键词]],次要关键词,0)+10)</f>
        <v>12</v>
      </c>
      <c r="D477">
        <f ca="1">IF(表_网址[[#This Row],[重点关键词]]="",10,MATCH(表_网址[[#This Row],[重点关键词]],OFFSET(重点关键词!$A$1,MATCH($J477,首要关键词,0)*50-48,MATCH($K477,次要关键词,0),重点关键词数量,1),0)+10)</f>
        <v>14</v>
      </c>
      <c r="E477">
        <f ca="1">IF(AND(表_网址[[#This Row],[1级]]=B476,表_网址[[#This Row],[2级]]=C476,表_网址[[#This Row],[3级]]=D476),E476+1,101)</f>
        <v>111</v>
      </c>
      <c r="F477" t="s">
        <v>1490</v>
      </c>
      <c r="G477" t="s">
        <v>1491</v>
      </c>
      <c r="J477" t="s">
        <v>59</v>
      </c>
      <c r="K477" t="s">
        <v>46</v>
      </c>
      <c r="L477" t="s">
        <v>1283</v>
      </c>
      <c r="M477">
        <v>999</v>
      </c>
    </row>
    <row r="478" spans="1:13" x14ac:dyDescent="0.2">
      <c r="A478" t="str">
        <f ca="1">表_网址[[#This Row],[1级]]&amp;"-"&amp;表_网址[[#This Row],[2级]]&amp;"-"&amp;表_网址[[#This Row],[3级]]&amp;"-"&amp;表_网址[[#This Row],[级内]]</f>
        <v>991-12-14-112</v>
      </c>
      <c r="B478">
        <f>VLOOKUP(表_网址[[#This Row],[首要关键词]],表_首次要关键词[[首要关键词]:[排序]],2,0)</f>
        <v>991</v>
      </c>
      <c r="C478" s="4">
        <f ca="1">IF(表_网址[[#This Row],[次要关键词]]="",10,MATCH(表_网址[[#This Row],[次要关键词]],次要关键词,0)+10)</f>
        <v>12</v>
      </c>
      <c r="D478">
        <f ca="1">IF(表_网址[[#This Row],[重点关键词]]="",10,MATCH(表_网址[[#This Row],[重点关键词]],OFFSET(重点关键词!$A$1,MATCH($J478,首要关键词,0)*50-48,MATCH($K478,次要关键词,0),重点关键词数量,1),0)+10)</f>
        <v>14</v>
      </c>
      <c r="E478">
        <f ca="1">IF(AND(表_网址[[#This Row],[1级]]=B477,表_网址[[#This Row],[2级]]=C477,表_网址[[#This Row],[3级]]=D477),E477+1,101)</f>
        <v>112</v>
      </c>
      <c r="F478" t="s">
        <v>1492</v>
      </c>
      <c r="G478" t="s">
        <v>1493</v>
      </c>
      <c r="J478" t="s">
        <v>59</v>
      </c>
      <c r="K478" t="s">
        <v>46</v>
      </c>
      <c r="L478" t="s">
        <v>1283</v>
      </c>
      <c r="M478">
        <v>999</v>
      </c>
    </row>
    <row r="479" spans="1:13" x14ac:dyDescent="0.2">
      <c r="A479" t="str">
        <f ca="1">表_网址[[#This Row],[1级]]&amp;"-"&amp;表_网址[[#This Row],[2级]]&amp;"-"&amp;表_网址[[#This Row],[3级]]&amp;"-"&amp;表_网址[[#This Row],[级内]]</f>
        <v>991-12-14-113</v>
      </c>
      <c r="B479">
        <f>VLOOKUP(表_网址[[#This Row],[首要关键词]],表_首次要关键词[[首要关键词]:[排序]],2,0)</f>
        <v>991</v>
      </c>
      <c r="C479" s="4">
        <f ca="1">IF(表_网址[[#This Row],[次要关键词]]="",10,MATCH(表_网址[[#This Row],[次要关键词]],次要关键词,0)+10)</f>
        <v>12</v>
      </c>
      <c r="D479">
        <f ca="1">IF(表_网址[[#This Row],[重点关键词]]="",10,MATCH(表_网址[[#This Row],[重点关键词]],OFFSET(重点关键词!$A$1,MATCH($J479,首要关键词,0)*50-48,MATCH($K479,次要关键词,0),重点关键词数量,1),0)+10)</f>
        <v>14</v>
      </c>
      <c r="E479">
        <f ca="1">IF(AND(表_网址[[#This Row],[1级]]=B478,表_网址[[#This Row],[2级]]=C478,表_网址[[#This Row],[3级]]=D478),E478+1,101)</f>
        <v>113</v>
      </c>
      <c r="F479" t="s">
        <v>1494</v>
      </c>
      <c r="G479" t="s">
        <v>1495</v>
      </c>
      <c r="J479" t="s">
        <v>59</v>
      </c>
      <c r="K479" t="s">
        <v>46</v>
      </c>
      <c r="L479" t="s">
        <v>1283</v>
      </c>
      <c r="M479">
        <v>999</v>
      </c>
    </row>
    <row r="480" spans="1:13" x14ac:dyDescent="0.2">
      <c r="A480" t="str">
        <f ca="1">表_网址[[#This Row],[1级]]&amp;"-"&amp;表_网址[[#This Row],[2级]]&amp;"-"&amp;表_网址[[#This Row],[3级]]&amp;"-"&amp;表_网址[[#This Row],[级内]]</f>
        <v>991-12-14-114</v>
      </c>
      <c r="B480">
        <f>VLOOKUP(表_网址[[#This Row],[首要关键词]],表_首次要关键词[[首要关键词]:[排序]],2,0)</f>
        <v>991</v>
      </c>
      <c r="C480" s="4">
        <f ca="1">IF(表_网址[[#This Row],[次要关键词]]="",10,MATCH(表_网址[[#This Row],[次要关键词]],次要关键词,0)+10)</f>
        <v>12</v>
      </c>
      <c r="D480">
        <f ca="1">IF(表_网址[[#This Row],[重点关键词]]="",10,MATCH(表_网址[[#This Row],[重点关键词]],OFFSET(重点关键词!$A$1,MATCH($J480,首要关键词,0)*50-48,MATCH($K480,次要关键词,0),重点关键词数量,1),0)+10)</f>
        <v>14</v>
      </c>
      <c r="E480">
        <f ca="1">IF(AND(表_网址[[#This Row],[1级]]=B479,表_网址[[#This Row],[2级]]=C479,表_网址[[#This Row],[3级]]=D479),E479+1,101)</f>
        <v>114</v>
      </c>
      <c r="F480" t="s">
        <v>1496</v>
      </c>
      <c r="G480" t="s">
        <v>1497</v>
      </c>
      <c r="J480" t="s">
        <v>59</v>
      </c>
      <c r="K480" t="s">
        <v>46</v>
      </c>
      <c r="L480" t="s">
        <v>1283</v>
      </c>
      <c r="M480">
        <v>999</v>
      </c>
    </row>
    <row r="481" spans="1:13" x14ac:dyDescent="0.2">
      <c r="A481" t="str">
        <f ca="1">表_网址[[#This Row],[1级]]&amp;"-"&amp;表_网址[[#This Row],[2级]]&amp;"-"&amp;表_网址[[#This Row],[3级]]&amp;"-"&amp;表_网址[[#This Row],[级内]]</f>
        <v>991-12-14-115</v>
      </c>
      <c r="B481">
        <f>VLOOKUP(表_网址[[#This Row],[首要关键词]],表_首次要关键词[[首要关键词]:[排序]],2,0)</f>
        <v>991</v>
      </c>
      <c r="C481" s="4">
        <f ca="1">IF(表_网址[[#This Row],[次要关键词]]="",10,MATCH(表_网址[[#This Row],[次要关键词]],次要关键词,0)+10)</f>
        <v>12</v>
      </c>
      <c r="D481">
        <f ca="1">IF(表_网址[[#This Row],[重点关键词]]="",10,MATCH(表_网址[[#This Row],[重点关键词]],OFFSET(重点关键词!$A$1,MATCH($J481,首要关键词,0)*50-48,MATCH($K481,次要关键词,0),重点关键词数量,1),0)+10)</f>
        <v>14</v>
      </c>
      <c r="E481">
        <f ca="1">IF(AND(表_网址[[#This Row],[1级]]=B480,表_网址[[#This Row],[2级]]=C480,表_网址[[#This Row],[3级]]=D480),E480+1,101)</f>
        <v>115</v>
      </c>
      <c r="F481" t="s">
        <v>1498</v>
      </c>
      <c r="G481" t="s">
        <v>1499</v>
      </c>
      <c r="J481" t="s">
        <v>59</v>
      </c>
      <c r="K481" t="s">
        <v>46</v>
      </c>
      <c r="L481" t="s">
        <v>1283</v>
      </c>
      <c r="M481">
        <v>999</v>
      </c>
    </row>
    <row r="482" spans="1:13" x14ac:dyDescent="0.2">
      <c r="A482" t="str">
        <f ca="1">表_网址[[#This Row],[1级]]&amp;"-"&amp;表_网址[[#This Row],[2级]]&amp;"-"&amp;表_网址[[#This Row],[3级]]&amp;"-"&amp;表_网址[[#This Row],[级内]]</f>
        <v>991-12-14-116</v>
      </c>
      <c r="B482">
        <f>VLOOKUP(表_网址[[#This Row],[首要关键词]],表_首次要关键词[[首要关键词]:[排序]],2,0)</f>
        <v>991</v>
      </c>
      <c r="C482" s="4">
        <f ca="1">IF(表_网址[[#This Row],[次要关键词]]="",10,MATCH(表_网址[[#This Row],[次要关键词]],次要关键词,0)+10)</f>
        <v>12</v>
      </c>
      <c r="D482">
        <f ca="1">IF(表_网址[[#This Row],[重点关键词]]="",10,MATCH(表_网址[[#This Row],[重点关键词]],OFFSET(重点关键词!$A$1,MATCH($J482,首要关键词,0)*50-48,MATCH($K482,次要关键词,0),重点关键词数量,1),0)+10)</f>
        <v>14</v>
      </c>
      <c r="E482">
        <f ca="1">IF(AND(表_网址[[#This Row],[1级]]=B481,表_网址[[#This Row],[2级]]=C481,表_网址[[#This Row],[3级]]=D481),E481+1,101)</f>
        <v>116</v>
      </c>
      <c r="F482" t="s">
        <v>1500</v>
      </c>
      <c r="G482" t="s">
        <v>1501</v>
      </c>
      <c r="J482" t="s">
        <v>59</v>
      </c>
      <c r="K482" t="s">
        <v>46</v>
      </c>
      <c r="L482" t="s">
        <v>1283</v>
      </c>
      <c r="M482">
        <v>999</v>
      </c>
    </row>
    <row r="483" spans="1:13" x14ac:dyDescent="0.2">
      <c r="A483" t="str">
        <f ca="1">表_网址[[#This Row],[1级]]&amp;"-"&amp;表_网址[[#This Row],[2级]]&amp;"-"&amp;表_网址[[#This Row],[3级]]&amp;"-"&amp;表_网址[[#This Row],[级内]]</f>
        <v>991-12-14-117</v>
      </c>
      <c r="B483">
        <f>VLOOKUP(表_网址[[#This Row],[首要关键词]],表_首次要关键词[[首要关键词]:[排序]],2,0)</f>
        <v>991</v>
      </c>
      <c r="C483" s="4">
        <f ca="1">IF(表_网址[[#This Row],[次要关键词]]="",10,MATCH(表_网址[[#This Row],[次要关键词]],次要关键词,0)+10)</f>
        <v>12</v>
      </c>
      <c r="D483">
        <f ca="1">IF(表_网址[[#This Row],[重点关键词]]="",10,MATCH(表_网址[[#This Row],[重点关键词]],OFFSET(重点关键词!$A$1,MATCH($J483,首要关键词,0)*50-48,MATCH($K483,次要关键词,0),重点关键词数量,1),0)+10)</f>
        <v>14</v>
      </c>
      <c r="E483">
        <f ca="1">IF(AND(表_网址[[#This Row],[1级]]=B482,表_网址[[#This Row],[2级]]=C482,表_网址[[#This Row],[3级]]=D482),E482+1,101)</f>
        <v>117</v>
      </c>
      <c r="F483" t="s">
        <v>1502</v>
      </c>
      <c r="G483" t="s">
        <v>1503</v>
      </c>
      <c r="J483" t="s">
        <v>59</v>
      </c>
      <c r="K483" t="s">
        <v>46</v>
      </c>
      <c r="L483" t="s">
        <v>1283</v>
      </c>
      <c r="M483">
        <v>999</v>
      </c>
    </row>
    <row r="484" spans="1:13" x14ac:dyDescent="0.2">
      <c r="A484" t="str">
        <f ca="1">表_网址[[#This Row],[1级]]&amp;"-"&amp;表_网址[[#This Row],[2级]]&amp;"-"&amp;表_网址[[#This Row],[3级]]&amp;"-"&amp;表_网址[[#This Row],[级内]]</f>
        <v>991-12-14-118</v>
      </c>
      <c r="B484">
        <f>VLOOKUP(表_网址[[#This Row],[首要关键词]],表_首次要关键词[[首要关键词]:[排序]],2,0)</f>
        <v>991</v>
      </c>
      <c r="C484" s="4">
        <f ca="1">IF(表_网址[[#This Row],[次要关键词]]="",10,MATCH(表_网址[[#This Row],[次要关键词]],次要关键词,0)+10)</f>
        <v>12</v>
      </c>
      <c r="D484">
        <f ca="1">IF(表_网址[[#This Row],[重点关键词]]="",10,MATCH(表_网址[[#This Row],[重点关键词]],OFFSET(重点关键词!$A$1,MATCH($J484,首要关键词,0)*50-48,MATCH($K484,次要关键词,0),重点关键词数量,1),0)+10)</f>
        <v>14</v>
      </c>
      <c r="E484">
        <f ca="1">IF(AND(表_网址[[#This Row],[1级]]=B483,表_网址[[#This Row],[2级]]=C483,表_网址[[#This Row],[3级]]=D483),E483+1,101)</f>
        <v>118</v>
      </c>
      <c r="F484" t="s">
        <v>1504</v>
      </c>
      <c r="G484" t="s">
        <v>1505</v>
      </c>
      <c r="J484" t="s">
        <v>59</v>
      </c>
      <c r="K484" t="s">
        <v>46</v>
      </c>
      <c r="L484" t="s">
        <v>1283</v>
      </c>
      <c r="M484">
        <v>999</v>
      </c>
    </row>
    <row r="485" spans="1:13" x14ac:dyDescent="0.2">
      <c r="A485" t="str">
        <f ca="1">表_网址[[#This Row],[1级]]&amp;"-"&amp;表_网址[[#This Row],[2级]]&amp;"-"&amp;表_网址[[#This Row],[3级]]&amp;"-"&amp;表_网址[[#This Row],[级内]]</f>
        <v>991-12-14-119</v>
      </c>
      <c r="B485">
        <f>VLOOKUP(表_网址[[#This Row],[首要关键词]],表_首次要关键词[[首要关键词]:[排序]],2,0)</f>
        <v>991</v>
      </c>
      <c r="C485" s="4">
        <f ca="1">IF(表_网址[[#This Row],[次要关键词]]="",10,MATCH(表_网址[[#This Row],[次要关键词]],次要关键词,0)+10)</f>
        <v>12</v>
      </c>
      <c r="D485">
        <f ca="1">IF(表_网址[[#This Row],[重点关键词]]="",10,MATCH(表_网址[[#This Row],[重点关键词]],OFFSET(重点关键词!$A$1,MATCH($J485,首要关键词,0)*50-48,MATCH($K485,次要关键词,0),重点关键词数量,1),0)+10)</f>
        <v>14</v>
      </c>
      <c r="E485">
        <f ca="1">IF(AND(表_网址[[#This Row],[1级]]=B484,表_网址[[#This Row],[2级]]=C484,表_网址[[#This Row],[3级]]=D484),E484+1,101)</f>
        <v>119</v>
      </c>
      <c r="F485" t="s">
        <v>1506</v>
      </c>
      <c r="G485" t="s">
        <v>1507</v>
      </c>
      <c r="J485" t="s">
        <v>59</v>
      </c>
      <c r="K485" t="s">
        <v>46</v>
      </c>
      <c r="L485" t="s">
        <v>1283</v>
      </c>
      <c r="M485">
        <v>999</v>
      </c>
    </row>
    <row r="486" spans="1:13" x14ac:dyDescent="0.2">
      <c r="A486" t="str">
        <f ca="1">表_网址[[#This Row],[1级]]&amp;"-"&amp;表_网址[[#This Row],[2级]]&amp;"-"&amp;表_网址[[#This Row],[3级]]&amp;"-"&amp;表_网址[[#This Row],[级内]]</f>
        <v>991-12-14-120</v>
      </c>
      <c r="B486">
        <f>VLOOKUP(表_网址[[#This Row],[首要关键词]],表_首次要关键词[[首要关键词]:[排序]],2,0)</f>
        <v>991</v>
      </c>
      <c r="C486" s="4">
        <f ca="1">IF(表_网址[[#This Row],[次要关键词]]="",10,MATCH(表_网址[[#This Row],[次要关键词]],次要关键词,0)+10)</f>
        <v>12</v>
      </c>
      <c r="D486">
        <f ca="1">IF(表_网址[[#This Row],[重点关键词]]="",10,MATCH(表_网址[[#This Row],[重点关键词]],OFFSET(重点关键词!$A$1,MATCH($J486,首要关键词,0)*50-48,MATCH($K486,次要关键词,0),重点关键词数量,1),0)+10)</f>
        <v>14</v>
      </c>
      <c r="E486">
        <f ca="1">IF(AND(表_网址[[#This Row],[1级]]=B485,表_网址[[#This Row],[2级]]=C485,表_网址[[#This Row],[3级]]=D485),E485+1,101)</f>
        <v>120</v>
      </c>
      <c r="F486" t="s">
        <v>1508</v>
      </c>
      <c r="G486" t="s">
        <v>1509</v>
      </c>
      <c r="J486" t="s">
        <v>59</v>
      </c>
      <c r="K486" t="s">
        <v>46</v>
      </c>
      <c r="L486" t="s">
        <v>1283</v>
      </c>
      <c r="M486">
        <v>999</v>
      </c>
    </row>
    <row r="487" spans="1:13" x14ac:dyDescent="0.2">
      <c r="A487" t="str">
        <f ca="1">表_网址[[#This Row],[1级]]&amp;"-"&amp;表_网址[[#This Row],[2级]]&amp;"-"&amp;表_网址[[#This Row],[3级]]&amp;"-"&amp;表_网址[[#This Row],[级内]]</f>
        <v>991-12-14-121</v>
      </c>
      <c r="B487">
        <f>VLOOKUP(表_网址[[#This Row],[首要关键词]],表_首次要关键词[[首要关键词]:[排序]],2,0)</f>
        <v>991</v>
      </c>
      <c r="C487" s="4">
        <f ca="1">IF(表_网址[[#This Row],[次要关键词]]="",10,MATCH(表_网址[[#This Row],[次要关键词]],次要关键词,0)+10)</f>
        <v>12</v>
      </c>
      <c r="D487">
        <f ca="1">IF(表_网址[[#This Row],[重点关键词]]="",10,MATCH(表_网址[[#This Row],[重点关键词]],OFFSET(重点关键词!$A$1,MATCH($J487,首要关键词,0)*50-48,MATCH($K487,次要关键词,0),重点关键词数量,1),0)+10)</f>
        <v>14</v>
      </c>
      <c r="E487">
        <f ca="1">IF(AND(表_网址[[#This Row],[1级]]=B486,表_网址[[#This Row],[2级]]=C486,表_网址[[#This Row],[3级]]=D486),E486+1,101)</f>
        <v>121</v>
      </c>
      <c r="F487" t="s">
        <v>1510</v>
      </c>
      <c r="G487" t="s">
        <v>1511</v>
      </c>
      <c r="J487" t="s">
        <v>59</v>
      </c>
      <c r="K487" t="s">
        <v>46</v>
      </c>
      <c r="L487" t="s">
        <v>1283</v>
      </c>
      <c r="M487">
        <v>999</v>
      </c>
    </row>
    <row r="488" spans="1:13" x14ac:dyDescent="0.2">
      <c r="A488" t="str">
        <f ca="1">表_网址[[#This Row],[1级]]&amp;"-"&amp;表_网址[[#This Row],[2级]]&amp;"-"&amp;表_网址[[#This Row],[3级]]&amp;"-"&amp;表_网址[[#This Row],[级内]]</f>
        <v>991-12-14-122</v>
      </c>
      <c r="B488">
        <f>VLOOKUP(表_网址[[#This Row],[首要关键词]],表_首次要关键词[[首要关键词]:[排序]],2,0)</f>
        <v>991</v>
      </c>
      <c r="C488" s="4">
        <f ca="1">IF(表_网址[[#This Row],[次要关键词]]="",10,MATCH(表_网址[[#This Row],[次要关键词]],次要关键词,0)+10)</f>
        <v>12</v>
      </c>
      <c r="D488">
        <f ca="1">IF(表_网址[[#This Row],[重点关键词]]="",10,MATCH(表_网址[[#This Row],[重点关键词]],OFFSET(重点关键词!$A$1,MATCH($J488,首要关键词,0)*50-48,MATCH($K488,次要关键词,0),重点关键词数量,1),0)+10)</f>
        <v>14</v>
      </c>
      <c r="E488">
        <f ca="1">IF(AND(表_网址[[#This Row],[1级]]=B487,表_网址[[#This Row],[2级]]=C487,表_网址[[#This Row],[3级]]=D487),E487+1,101)</f>
        <v>122</v>
      </c>
      <c r="F488" t="s">
        <v>1512</v>
      </c>
      <c r="G488" t="s">
        <v>1513</v>
      </c>
      <c r="J488" t="s">
        <v>59</v>
      </c>
      <c r="K488" t="s">
        <v>46</v>
      </c>
      <c r="L488" t="s">
        <v>1283</v>
      </c>
      <c r="M488">
        <v>999</v>
      </c>
    </row>
    <row r="489" spans="1:13" x14ac:dyDescent="0.2">
      <c r="A489" t="str">
        <f ca="1">表_网址[[#This Row],[1级]]&amp;"-"&amp;表_网址[[#This Row],[2级]]&amp;"-"&amp;表_网址[[#This Row],[3级]]&amp;"-"&amp;表_网址[[#This Row],[级内]]</f>
        <v>991-12-14-123</v>
      </c>
      <c r="B489">
        <f>VLOOKUP(表_网址[[#This Row],[首要关键词]],表_首次要关键词[[首要关键词]:[排序]],2,0)</f>
        <v>991</v>
      </c>
      <c r="C489" s="4">
        <f ca="1">IF(表_网址[[#This Row],[次要关键词]]="",10,MATCH(表_网址[[#This Row],[次要关键词]],次要关键词,0)+10)</f>
        <v>12</v>
      </c>
      <c r="D489">
        <f ca="1">IF(表_网址[[#This Row],[重点关键词]]="",10,MATCH(表_网址[[#This Row],[重点关键词]],OFFSET(重点关键词!$A$1,MATCH($J489,首要关键词,0)*50-48,MATCH($K489,次要关键词,0),重点关键词数量,1),0)+10)</f>
        <v>14</v>
      </c>
      <c r="E489">
        <f ca="1">IF(AND(表_网址[[#This Row],[1级]]=B488,表_网址[[#This Row],[2级]]=C488,表_网址[[#This Row],[3级]]=D488),E488+1,101)</f>
        <v>123</v>
      </c>
      <c r="F489" t="s">
        <v>1514</v>
      </c>
      <c r="G489" t="s">
        <v>1515</v>
      </c>
      <c r="J489" t="s">
        <v>59</v>
      </c>
      <c r="K489" t="s">
        <v>46</v>
      </c>
      <c r="L489" t="s">
        <v>1283</v>
      </c>
      <c r="M489">
        <v>999</v>
      </c>
    </row>
    <row r="490" spans="1:13" x14ac:dyDescent="0.2">
      <c r="A490" t="str">
        <f ca="1">表_网址[[#This Row],[1级]]&amp;"-"&amp;表_网址[[#This Row],[2级]]&amp;"-"&amp;表_网址[[#This Row],[3级]]&amp;"-"&amp;表_网址[[#This Row],[级内]]</f>
        <v>991-12-14-124</v>
      </c>
      <c r="B490">
        <f>VLOOKUP(表_网址[[#This Row],[首要关键词]],表_首次要关键词[[首要关键词]:[排序]],2,0)</f>
        <v>991</v>
      </c>
      <c r="C490" s="4">
        <f ca="1">IF(表_网址[[#This Row],[次要关键词]]="",10,MATCH(表_网址[[#This Row],[次要关键词]],次要关键词,0)+10)</f>
        <v>12</v>
      </c>
      <c r="D490">
        <f ca="1">IF(表_网址[[#This Row],[重点关键词]]="",10,MATCH(表_网址[[#This Row],[重点关键词]],OFFSET(重点关键词!$A$1,MATCH($J490,首要关键词,0)*50-48,MATCH($K490,次要关键词,0),重点关键词数量,1),0)+10)</f>
        <v>14</v>
      </c>
      <c r="E490">
        <f ca="1">IF(AND(表_网址[[#This Row],[1级]]=B489,表_网址[[#This Row],[2级]]=C489,表_网址[[#This Row],[3级]]=D489),E489+1,101)</f>
        <v>124</v>
      </c>
      <c r="F490" t="s">
        <v>1516</v>
      </c>
      <c r="G490" t="s">
        <v>1517</v>
      </c>
      <c r="J490" t="s">
        <v>59</v>
      </c>
      <c r="K490" t="s">
        <v>46</v>
      </c>
      <c r="L490" t="s">
        <v>1283</v>
      </c>
      <c r="M490">
        <v>999</v>
      </c>
    </row>
    <row r="491" spans="1:13" x14ac:dyDescent="0.2">
      <c r="A491" t="str">
        <f ca="1">表_网址[[#This Row],[1级]]&amp;"-"&amp;表_网址[[#This Row],[2级]]&amp;"-"&amp;表_网址[[#This Row],[3级]]&amp;"-"&amp;表_网址[[#This Row],[级内]]</f>
        <v>991-12-14-125</v>
      </c>
      <c r="B491">
        <f>VLOOKUP(表_网址[[#This Row],[首要关键词]],表_首次要关键词[[首要关键词]:[排序]],2,0)</f>
        <v>991</v>
      </c>
      <c r="C491" s="4">
        <f ca="1">IF(表_网址[[#This Row],[次要关键词]]="",10,MATCH(表_网址[[#This Row],[次要关键词]],次要关键词,0)+10)</f>
        <v>12</v>
      </c>
      <c r="D491">
        <f ca="1">IF(表_网址[[#This Row],[重点关键词]]="",10,MATCH(表_网址[[#This Row],[重点关键词]],OFFSET(重点关键词!$A$1,MATCH($J491,首要关键词,0)*50-48,MATCH($K491,次要关键词,0),重点关键词数量,1),0)+10)</f>
        <v>14</v>
      </c>
      <c r="E491">
        <f ca="1">IF(AND(表_网址[[#This Row],[1级]]=B490,表_网址[[#This Row],[2级]]=C490,表_网址[[#This Row],[3级]]=D490),E490+1,101)</f>
        <v>125</v>
      </c>
      <c r="F491" t="s">
        <v>1518</v>
      </c>
      <c r="G491" t="s">
        <v>1519</v>
      </c>
      <c r="J491" t="s">
        <v>59</v>
      </c>
      <c r="K491" t="s">
        <v>46</v>
      </c>
      <c r="L491" t="s">
        <v>1283</v>
      </c>
      <c r="M491">
        <v>999</v>
      </c>
    </row>
    <row r="492" spans="1:13" x14ac:dyDescent="0.2">
      <c r="A492" t="str">
        <f ca="1">表_网址[[#This Row],[1级]]&amp;"-"&amp;表_网址[[#This Row],[2级]]&amp;"-"&amp;表_网址[[#This Row],[3级]]&amp;"-"&amp;表_网址[[#This Row],[级内]]</f>
        <v>991-12-14-126</v>
      </c>
      <c r="B492">
        <f>VLOOKUP(表_网址[[#This Row],[首要关键词]],表_首次要关键词[[首要关键词]:[排序]],2,0)</f>
        <v>991</v>
      </c>
      <c r="C492" s="4">
        <f ca="1">IF(表_网址[[#This Row],[次要关键词]]="",10,MATCH(表_网址[[#This Row],[次要关键词]],次要关键词,0)+10)</f>
        <v>12</v>
      </c>
      <c r="D492">
        <f ca="1">IF(表_网址[[#This Row],[重点关键词]]="",10,MATCH(表_网址[[#This Row],[重点关键词]],OFFSET(重点关键词!$A$1,MATCH($J492,首要关键词,0)*50-48,MATCH($K492,次要关键词,0),重点关键词数量,1),0)+10)</f>
        <v>14</v>
      </c>
      <c r="E492">
        <f ca="1">IF(AND(表_网址[[#This Row],[1级]]=B491,表_网址[[#This Row],[2级]]=C491,表_网址[[#This Row],[3级]]=D491),E491+1,101)</f>
        <v>126</v>
      </c>
      <c r="F492" t="s">
        <v>1520</v>
      </c>
      <c r="G492" t="s">
        <v>1521</v>
      </c>
      <c r="J492" t="s">
        <v>59</v>
      </c>
      <c r="K492" t="s">
        <v>46</v>
      </c>
      <c r="L492" t="s">
        <v>1283</v>
      </c>
      <c r="M492">
        <v>999</v>
      </c>
    </row>
    <row r="493" spans="1:13" x14ac:dyDescent="0.2">
      <c r="A493" t="str">
        <f ca="1">表_网址[[#This Row],[1级]]&amp;"-"&amp;表_网址[[#This Row],[2级]]&amp;"-"&amp;表_网址[[#This Row],[3级]]&amp;"-"&amp;表_网址[[#This Row],[级内]]</f>
        <v>991-12-14-127</v>
      </c>
      <c r="B493">
        <f>VLOOKUP(表_网址[[#This Row],[首要关键词]],表_首次要关键词[[首要关键词]:[排序]],2,0)</f>
        <v>991</v>
      </c>
      <c r="C493" s="4">
        <f ca="1">IF(表_网址[[#This Row],[次要关键词]]="",10,MATCH(表_网址[[#This Row],[次要关键词]],次要关键词,0)+10)</f>
        <v>12</v>
      </c>
      <c r="D493">
        <f ca="1">IF(表_网址[[#This Row],[重点关键词]]="",10,MATCH(表_网址[[#This Row],[重点关键词]],OFFSET(重点关键词!$A$1,MATCH($J493,首要关键词,0)*50-48,MATCH($K493,次要关键词,0),重点关键词数量,1),0)+10)</f>
        <v>14</v>
      </c>
      <c r="E493">
        <f ca="1">IF(AND(表_网址[[#This Row],[1级]]=B492,表_网址[[#This Row],[2级]]=C492,表_网址[[#This Row],[3级]]=D492),E492+1,101)</f>
        <v>127</v>
      </c>
      <c r="F493" t="s">
        <v>1522</v>
      </c>
      <c r="G493" t="s">
        <v>1523</v>
      </c>
      <c r="J493" t="s">
        <v>59</v>
      </c>
      <c r="K493" t="s">
        <v>46</v>
      </c>
      <c r="L493" t="s">
        <v>1283</v>
      </c>
      <c r="M493">
        <v>999</v>
      </c>
    </row>
    <row r="494" spans="1:13" x14ac:dyDescent="0.2">
      <c r="A494" t="str">
        <f ca="1">表_网址[[#This Row],[1级]]&amp;"-"&amp;表_网址[[#This Row],[2级]]&amp;"-"&amp;表_网址[[#This Row],[3级]]&amp;"-"&amp;表_网址[[#This Row],[级内]]</f>
        <v>991-12-14-128</v>
      </c>
      <c r="B494">
        <f>VLOOKUP(表_网址[[#This Row],[首要关键词]],表_首次要关键词[[首要关键词]:[排序]],2,0)</f>
        <v>991</v>
      </c>
      <c r="C494" s="4">
        <f ca="1">IF(表_网址[[#This Row],[次要关键词]]="",10,MATCH(表_网址[[#This Row],[次要关键词]],次要关键词,0)+10)</f>
        <v>12</v>
      </c>
      <c r="D494">
        <f ca="1">IF(表_网址[[#This Row],[重点关键词]]="",10,MATCH(表_网址[[#This Row],[重点关键词]],OFFSET(重点关键词!$A$1,MATCH($J494,首要关键词,0)*50-48,MATCH($K494,次要关键词,0),重点关键词数量,1),0)+10)</f>
        <v>14</v>
      </c>
      <c r="E494">
        <f ca="1">IF(AND(表_网址[[#This Row],[1级]]=B493,表_网址[[#This Row],[2级]]=C493,表_网址[[#This Row],[3级]]=D493),E493+1,101)</f>
        <v>128</v>
      </c>
      <c r="F494" t="s">
        <v>1524</v>
      </c>
      <c r="G494" t="s">
        <v>1525</v>
      </c>
      <c r="J494" t="s">
        <v>59</v>
      </c>
      <c r="K494" t="s">
        <v>46</v>
      </c>
      <c r="L494" t="s">
        <v>1283</v>
      </c>
      <c r="M494">
        <v>999</v>
      </c>
    </row>
    <row r="495" spans="1:13" x14ac:dyDescent="0.2">
      <c r="A495" t="str">
        <f ca="1">表_网址[[#This Row],[1级]]&amp;"-"&amp;表_网址[[#This Row],[2级]]&amp;"-"&amp;表_网址[[#This Row],[3级]]&amp;"-"&amp;表_网址[[#This Row],[级内]]</f>
        <v>991-12-14-129</v>
      </c>
      <c r="B495">
        <f>VLOOKUP(表_网址[[#This Row],[首要关键词]],表_首次要关键词[[首要关键词]:[排序]],2,0)</f>
        <v>991</v>
      </c>
      <c r="C495" s="4">
        <f ca="1">IF(表_网址[[#This Row],[次要关键词]]="",10,MATCH(表_网址[[#This Row],[次要关键词]],次要关键词,0)+10)</f>
        <v>12</v>
      </c>
      <c r="D495">
        <f ca="1">IF(表_网址[[#This Row],[重点关键词]]="",10,MATCH(表_网址[[#This Row],[重点关键词]],OFFSET(重点关键词!$A$1,MATCH($J495,首要关键词,0)*50-48,MATCH($K495,次要关键词,0),重点关键词数量,1),0)+10)</f>
        <v>14</v>
      </c>
      <c r="E495">
        <f ca="1">IF(AND(表_网址[[#This Row],[1级]]=B494,表_网址[[#This Row],[2级]]=C494,表_网址[[#This Row],[3级]]=D494),E494+1,101)</f>
        <v>129</v>
      </c>
      <c r="F495" t="s">
        <v>1526</v>
      </c>
      <c r="G495" t="s">
        <v>1527</v>
      </c>
      <c r="J495" t="s">
        <v>59</v>
      </c>
      <c r="K495" t="s">
        <v>46</v>
      </c>
      <c r="L495" t="s">
        <v>1283</v>
      </c>
      <c r="M495">
        <v>999</v>
      </c>
    </row>
    <row r="496" spans="1:13" x14ac:dyDescent="0.2">
      <c r="A496" t="str">
        <f ca="1">表_网址[[#This Row],[1级]]&amp;"-"&amp;表_网址[[#This Row],[2级]]&amp;"-"&amp;表_网址[[#This Row],[3级]]&amp;"-"&amp;表_网址[[#This Row],[级内]]</f>
        <v>991-12-14-130</v>
      </c>
      <c r="B496">
        <f>VLOOKUP(表_网址[[#This Row],[首要关键词]],表_首次要关键词[[首要关键词]:[排序]],2,0)</f>
        <v>991</v>
      </c>
      <c r="C496" s="4">
        <f ca="1">IF(表_网址[[#This Row],[次要关键词]]="",10,MATCH(表_网址[[#This Row],[次要关键词]],次要关键词,0)+10)</f>
        <v>12</v>
      </c>
      <c r="D496">
        <f ca="1">IF(表_网址[[#This Row],[重点关键词]]="",10,MATCH(表_网址[[#This Row],[重点关键词]],OFFSET(重点关键词!$A$1,MATCH($J496,首要关键词,0)*50-48,MATCH($K496,次要关键词,0),重点关键词数量,1),0)+10)</f>
        <v>14</v>
      </c>
      <c r="E496">
        <f ca="1">IF(AND(表_网址[[#This Row],[1级]]=B495,表_网址[[#This Row],[2级]]=C495,表_网址[[#This Row],[3级]]=D495),E495+1,101)</f>
        <v>130</v>
      </c>
      <c r="F496" t="s">
        <v>1528</v>
      </c>
      <c r="G496" t="s">
        <v>1529</v>
      </c>
      <c r="J496" t="s">
        <v>59</v>
      </c>
      <c r="K496" t="s">
        <v>46</v>
      </c>
      <c r="L496" t="s">
        <v>1283</v>
      </c>
      <c r="M496">
        <v>999</v>
      </c>
    </row>
    <row r="497" spans="1:13" x14ac:dyDescent="0.2">
      <c r="A497" t="str">
        <f ca="1">表_网址[[#This Row],[1级]]&amp;"-"&amp;表_网址[[#This Row],[2级]]&amp;"-"&amp;表_网址[[#This Row],[3级]]&amp;"-"&amp;表_网址[[#This Row],[级内]]</f>
        <v>991-12-14-131</v>
      </c>
      <c r="B497">
        <f>VLOOKUP(表_网址[[#This Row],[首要关键词]],表_首次要关键词[[首要关键词]:[排序]],2,0)</f>
        <v>991</v>
      </c>
      <c r="C497" s="4">
        <f ca="1">IF(表_网址[[#This Row],[次要关键词]]="",10,MATCH(表_网址[[#This Row],[次要关键词]],次要关键词,0)+10)</f>
        <v>12</v>
      </c>
      <c r="D497">
        <f ca="1">IF(表_网址[[#This Row],[重点关键词]]="",10,MATCH(表_网址[[#This Row],[重点关键词]],OFFSET(重点关键词!$A$1,MATCH($J497,首要关键词,0)*50-48,MATCH($K497,次要关键词,0),重点关键词数量,1),0)+10)</f>
        <v>14</v>
      </c>
      <c r="E497">
        <f ca="1">IF(AND(表_网址[[#This Row],[1级]]=B496,表_网址[[#This Row],[2级]]=C496,表_网址[[#This Row],[3级]]=D496),E496+1,101)</f>
        <v>131</v>
      </c>
      <c r="F497" t="s">
        <v>1530</v>
      </c>
      <c r="G497" t="s">
        <v>1531</v>
      </c>
      <c r="J497" t="s">
        <v>59</v>
      </c>
      <c r="K497" t="s">
        <v>46</v>
      </c>
      <c r="L497" t="s">
        <v>1283</v>
      </c>
      <c r="M497">
        <v>999</v>
      </c>
    </row>
    <row r="498" spans="1:13" x14ac:dyDescent="0.2">
      <c r="A498" t="str">
        <f ca="1">表_网址[[#This Row],[1级]]&amp;"-"&amp;表_网址[[#This Row],[2级]]&amp;"-"&amp;表_网址[[#This Row],[3级]]&amp;"-"&amp;表_网址[[#This Row],[级内]]</f>
        <v>991-12-14-132</v>
      </c>
      <c r="B498">
        <f>VLOOKUP(表_网址[[#This Row],[首要关键词]],表_首次要关键词[[首要关键词]:[排序]],2,0)</f>
        <v>991</v>
      </c>
      <c r="C498" s="4">
        <f ca="1">IF(表_网址[[#This Row],[次要关键词]]="",10,MATCH(表_网址[[#This Row],[次要关键词]],次要关键词,0)+10)</f>
        <v>12</v>
      </c>
      <c r="D498">
        <f ca="1">IF(表_网址[[#This Row],[重点关键词]]="",10,MATCH(表_网址[[#This Row],[重点关键词]],OFFSET(重点关键词!$A$1,MATCH($J498,首要关键词,0)*50-48,MATCH($K498,次要关键词,0),重点关键词数量,1),0)+10)</f>
        <v>14</v>
      </c>
      <c r="E498">
        <f ca="1">IF(AND(表_网址[[#This Row],[1级]]=B497,表_网址[[#This Row],[2级]]=C497,表_网址[[#This Row],[3级]]=D497),E497+1,101)</f>
        <v>132</v>
      </c>
      <c r="F498" t="s">
        <v>1532</v>
      </c>
      <c r="G498" t="s">
        <v>1533</v>
      </c>
      <c r="J498" t="s">
        <v>59</v>
      </c>
      <c r="K498" t="s">
        <v>46</v>
      </c>
      <c r="L498" t="s">
        <v>1283</v>
      </c>
      <c r="M498">
        <v>999</v>
      </c>
    </row>
    <row r="499" spans="1:13" x14ac:dyDescent="0.2">
      <c r="A499" t="str">
        <f ca="1">表_网址[[#This Row],[1级]]&amp;"-"&amp;表_网址[[#This Row],[2级]]&amp;"-"&amp;表_网址[[#This Row],[3级]]&amp;"-"&amp;表_网址[[#This Row],[级内]]</f>
        <v>991-12-14-133</v>
      </c>
      <c r="B499">
        <f>VLOOKUP(表_网址[[#This Row],[首要关键词]],表_首次要关键词[[首要关键词]:[排序]],2,0)</f>
        <v>991</v>
      </c>
      <c r="C499" s="4">
        <f ca="1">IF(表_网址[[#This Row],[次要关键词]]="",10,MATCH(表_网址[[#This Row],[次要关键词]],次要关键词,0)+10)</f>
        <v>12</v>
      </c>
      <c r="D499">
        <f ca="1">IF(表_网址[[#This Row],[重点关键词]]="",10,MATCH(表_网址[[#This Row],[重点关键词]],OFFSET(重点关键词!$A$1,MATCH($J499,首要关键词,0)*50-48,MATCH($K499,次要关键词,0),重点关键词数量,1),0)+10)</f>
        <v>14</v>
      </c>
      <c r="E499">
        <f ca="1">IF(AND(表_网址[[#This Row],[1级]]=B498,表_网址[[#This Row],[2级]]=C498,表_网址[[#This Row],[3级]]=D498),E498+1,101)</f>
        <v>133</v>
      </c>
      <c r="F499" t="s">
        <v>1534</v>
      </c>
      <c r="G499" t="s">
        <v>1535</v>
      </c>
      <c r="J499" t="s">
        <v>59</v>
      </c>
      <c r="K499" t="s">
        <v>46</v>
      </c>
      <c r="L499" t="s">
        <v>1283</v>
      </c>
      <c r="M499">
        <v>999</v>
      </c>
    </row>
    <row r="500" spans="1:13" x14ac:dyDescent="0.2">
      <c r="A500" t="str">
        <f ca="1">表_网址[[#This Row],[1级]]&amp;"-"&amp;表_网址[[#This Row],[2级]]&amp;"-"&amp;表_网址[[#This Row],[3级]]&amp;"-"&amp;表_网址[[#This Row],[级内]]</f>
        <v>991-12-14-134</v>
      </c>
      <c r="B500">
        <f>VLOOKUP(表_网址[[#This Row],[首要关键词]],表_首次要关键词[[首要关键词]:[排序]],2,0)</f>
        <v>991</v>
      </c>
      <c r="C500" s="4">
        <f ca="1">IF(表_网址[[#This Row],[次要关键词]]="",10,MATCH(表_网址[[#This Row],[次要关键词]],次要关键词,0)+10)</f>
        <v>12</v>
      </c>
      <c r="D500">
        <f ca="1">IF(表_网址[[#This Row],[重点关键词]]="",10,MATCH(表_网址[[#This Row],[重点关键词]],OFFSET(重点关键词!$A$1,MATCH($J500,首要关键词,0)*50-48,MATCH($K500,次要关键词,0),重点关键词数量,1),0)+10)</f>
        <v>14</v>
      </c>
      <c r="E500">
        <f ca="1">IF(AND(表_网址[[#This Row],[1级]]=B499,表_网址[[#This Row],[2级]]=C499,表_网址[[#This Row],[3级]]=D499),E499+1,101)</f>
        <v>134</v>
      </c>
      <c r="F500" t="s">
        <v>1536</v>
      </c>
      <c r="G500" t="s">
        <v>1537</v>
      </c>
      <c r="J500" t="s">
        <v>59</v>
      </c>
      <c r="K500" t="s">
        <v>46</v>
      </c>
      <c r="L500" t="s">
        <v>1283</v>
      </c>
      <c r="M500">
        <v>999</v>
      </c>
    </row>
    <row r="501" spans="1:13" x14ac:dyDescent="0.2">
      <c r="A501" t="str">
        <f ca="1">表_网址[[#This Row],[1级]]&amp;"-"&amp;表_网址[[#This Row],[2级]]&amp;"-"&amp;表_网址[[#This Row],[3级]]&amp;"-"&amp;表_网址[[#This Row],[级内]]</f>
        <v>991-12-14-135</v>
      </c>
      <c r="B501">
        <f>VLOOKUP(表_网址[[#This Row],[首要关键词]],表_首次要关键词[[首要关键词]:[排序]],2,0)</f>
        <v>991</v>
      </c>
      <c r="C501" s="4">
        <f ca="1">IF(表_网址[[#This Row],[次要关键词]]="",10,MATCH(表_网址[[#This Row],[次要关键词]],次要关键词,0)+10)</f>
        <v>12</v>
      </c>
      <c r="D501">
        <f ca="1">IF(表_网址[[#This Row],[重点关键词]]="",10,MATCH(表_网址[[#This Row],[重点关键词]],OFFSET(重点关键词!$A$1,MATCH($J501,首要关键词,0)*50-48,MATCH($K501,次要关键词,0),重点关键词数量,1),0)+10)</f>
        <v>14</v>
      </c>
      <c r="E501">
        <f ca="1">IF(AND(表_网址[[#This Row],[1级]]=B500,表_网址[[#This Row],[2级]]=C500,表_网址[[#This Row],[3级]]=D500),E500+1,101)</f>
        <v>135</v>
      </c>
      <c r="F501" t="s">
        <v>1538</v>
      </c>
      <c r="G501" t="s">
        <v>1539</v>
      </c>
      <c r="J501" t="s">
        <v>59</v>
      </c>
      <c r="K501" t="s">
        <v>46</v>
      </c>
      <c r="L501" t="s">
        <v>1283</v>
      </c>
      <c r="M501">
        <v>999</v>
      </c>
    </row>
    <row r="502" spans="1:13" x14ac:dyDescent="0.2">
      <c r="A502" t="str">
        <f ca="1">表_网址[[#This Row],[1级]]&amp;"-"&amp;表_网址[[#This Row],[2级]]&amp;"-"&amp;表_网址[[#This Row],[3级]]&amp;"-"&amp;表_网址[[#This Row],[级内]]</f>
        <v>991-12-14-136</v>
      </c>
      <c r="B502">
        <f>VLOOKUP(表_网址[[#This Row],[首要关键词]],表_首次要关键词[[首要关键词]:[排序]],2,0)</f>
        <v>991</v>
      </c>
      <c r="C502" s="4">
        <f ca="1">IF(表_网址[[#This Row],[次要关键词]]="",10,MATCH(表_网址[[#This Row],[次要关键词]],次要关键词,0)+10)</f>
        <v>12</v>
      </c>
      <c r="D502">
        <f ca="1">IF(表_网址[[#This Row],[重点关键词]]="",10,MATCH(表_网址[[#This Row],[重点关键词]],OFFSET(重点关键词!$A$1,MATCH($J502,首要关键词,0)*50-48,MATCH($K502,次要关键词,0),重点关键词数量,1),0)+10)</f>
        <v>14</v>
      </c>
      <c r="E502">
        <f ca="1">IF(AND(表_网址[[#This Row],[1级]]=B501,表_网址[[#This Row],[2级]]=C501,表_网址[[#This Row],[3级]]=D501),E501+1,101)</f>
        <v>136</v>
      </c>
      <c r="F502" t="s">
        <v>1540</v>
      </c>
      <c r="G502" t="s">
        <v>1541</v>
      </c>
      <c r="J502" t="s">
        <v>59</v>
      </c>
      <c r="K502" t="s">
        <v>46</v>
      </c>
      <c r="L502" t="s">
        <v>1283</v>
      </c>
      <c r="M502">
        <v>999</v>
      </c>
    </row>
    <row r="503" spans="1:13" x14ac:dyDescent="0.2">
      <c r="A503" t="str">
        <f ca="1">表_网址[[#This Row],[1级]]&amp;"-"&amp;表_网址[[#This Row],[2级]]&amp;"-"&amp;表_网址[[#This Row],[3级]]&amp;"-"&amp;表_网址[[#This Row],[级内]]</f>
        <v>991-12-14-137</v>
      </c>
      <c r="B503">
        <f>VLOOKUP(表_网址[[#This Row],[首要关键词]],表_首次要关键词[[首要关键词]:[排序]],2,0)</f>
        <v>991</v>
      </c>
      <c r="C503" s="4">
        <f ca="1">IF(表_网址[[#This Row],[次要关键词]]="",10,MATCH(表_网址[[#This Row],[次要关键词]],次要关键词,0)+10)</f>
        <v>12</v>
      </c>
      <c r="D503">
        <f ca="1">IF(表_网址[[#This Row],[重点关键词]]="",10,MATCH(表_网址[[#This Row],[重点关键词]],OFFSET(重点关键词!$A$1,MATCH($J503,首要关键词,0)*50-48,MATCH($K503,次要关键词,0),重点关键词数量,1),0)+10)</f>
        <v>14</v>
      </c>
      <c r="E503">
        <f ca="1">IF(AND(表_网址[[#This Row],[1级]]=B502,表_网址[[#This Row],[2级]]=C502,表_网址[[#This Row],[3级]]=D502),E502+1,101)</f>
        <v>137</v>
      </c>
      <c r="F503" t="s">
        <v>1542</v>
      </c>
      <c r="G503" t="s">
        <v>1543</v>
      </c>
      <c r="J503" t="s">
        <v>59</v>
      </c>
      <c r="K503" t="s">
        <v>46</v>
      </c>
      <c r="L503" t="s">
        <v>1283</v>
      </c>
      <c r="M503">
        <v>999</v>
      </c>
    </row>
    <row r="504" spans="1:13" x14ac:dyDescent="0.2">
      <c r="A504" t="str">
        <f ca="1">表_网址[[#This Row],[1级]]&amp;"-"&amp;表_网址[[#This Row],[2级]]&amp;"-"&amp;表_网址[[#This Row],[3级]]&amp;"-"&amp;表_网址[[#This Row],[级内]]</f>
        <v>991-12-14-138</v>
      </c>
      <c r="B504">
        <f>VLOOKUP(表_网址[[#This Row],[首要关键词]],表_首次要关键词[[首要关键词]:[排序]],2,0)</f>
        <v>991</v>
      </c>
      <c r="C504" s="4">
        <f ca="1">IF(表_网址[[#This Row],[次要关键词]]="",10,MATCH(表_网址[[#This Row],[次要关键词]],次要关键词,0)+10)</f>
        <v>12</v>
      </c>
      <c r="D504">
        <f ca="1">IF(表_网址[[#This Row],[重点关键词]]="",10,MATCH(表_网址[[#This Row],[重点关键词]],OFFSET(重点关键词!$A$1,MATCH($J504,首要关键词,0)*50-48,MATCH($K504,次要关键词,0),重点关键词数量,1),0)+10)</f>
        <v>14</v>
      </c>
      <c r="E504">
        <f ca="1">IF(AND(表_网址[[#This Row],[1级]]=B503,表_网址[[#This Row],[2级]]=C503,表_网址[[#This Row],[3级]]=D503),E503+1,101)</f>
        <v>138</v>
      </c>
      <c r="F504" t="s">
        <v>1544</v>
      </c>
      <c r="G504" t="s">
        <v>1545</v>
      </c>
      <c r="J504" t="s">
        <v>59</v>
      </c>
      <c r="K504" t="s">
        <v>46</v>
      </c>
      <c r="L504" t="s">
        <v>1283</v>
      </c>
      <c r="M504">
        <v>999</v>
      </c>
    </row>
    <row r="505" spans="1:13" x14ac:dyDescent="0.2">
      <c r="A505" t="str">
        <f ca="1">表_网址[[#This Row],[1级]]&amp;"-"&amp;表_网址[[#This Row],[2级]]&amp;"-"&amp;表_网址[[#This Row],[3级]]&amp;"-"&amp;表_网址[[#This Row],[级内]]</f>
        <v>991-12-14-139</v>
      </c>
      <c r="B505">
        <f>VLOOKUP(表_网址[[#This Row],[首要关键词]],表_首次要关键词[[首要关键词]:[排序]],2,0)</f>
        <v>991</v>
      </c>
      <c r="C505" s="4">
        <f ca="1">IF(表_网址[[#This Row],[次要关键词]]="",10,MATCH(表_网址[[#This Row],[次要关键词]],次要关键词,0)+10)</f>
        <v>12</v>
      </c>
      <c r="D505">
        <f ca="1">IF(表_网址[[#This Row],[重点关键词]]="",10,MATCH(表_网址[[#This Row],[重点关键词]],OFFSET(重点关键词!$A$1,MATCH($J505,首要关键词,0)*50-48,MATCH($K505,次要关键词,0),重点关键词数量,1),0)+10)</f>
        <v>14</v>
      </c>
      <c r="E505">
        <f ca="1">IF(AND(表_网址[[#This Row],[1级]]=B504,表_网址[[#This Row],[2级]]=C504,表_网址[[#This Row],[3级]]=D504),E504+1,101)</f>
        <v>139</v>
      </c>
      <c r="F505" t="s">
        <v>1546</v>
      </c>
      <c r="G505" t="s">
        <v>1547</v>
      </c>
      <c r="J505" t="s">
        <v>59</v>
      </c>
      <c r="K505" t="s">
        <v>46</v>
      </c>
      <c r="L505" t="s">
        <v>1283</v>
      </c>
      <c r="M505">
        <v>999</v>
      </c>
    </row>
    <row r="506" spans="1:13" x14ac:dyDescent="0.2">
      <c r="A506" t="str">
        <f ca="1">表_网址[[#This Row],[1级]]&amp;"-"&amp;表_网址[[#This Row],[2级]]&amp;"-"&amp;表_网址[[#This Row],[3级]]&amp;"-"&amp;表_网址[[#This Row],[级内]]</f>
        <v>991-12-14-140</v>
      </c>
      <c r="B506">
        <f>VLOOKUP(表_网址[[#This Row],[首要关键词]],表_首次要关键词[[首要关键词]:[排序]],2,0)</f>
        <v>991</v>
      </c>
      <c r="C506" s="4">
        <f ca="1">IF(表_网址[[#This Row],[次要关键词]]="",10,MATCH(表_网址[[#This Row],[次要关键词]],次要关键词,0)+10)</f>
        <v>12</v>
      </c>
      <c r="D506">
        <f ca="1">IF(表_网址[[#This Row],[重点关键词]]="",10,MATCH(表_网址[[#This Row],[重点关键词]],OFFSET(重点关键词!$A$1,MATCH($J506,首要关键词,0)*50-48,MATCH($K506,次要关键词,0),重点关键词数量,1),0)+10)</f>
        <v>14</v>
      </c>
      <c r="E506">
        <f ca="1">IF(AND(表_网址[[#This Row],[1级]]=B505,表_网址[[#This Row],[2级]]=C505,表_网址[[#This Row],[3级]]=D505),E505+1,101)</f>
        <v>140</v>
      </c>
      <c r="F506" t="s">
        <v>1548</v>
      </c>
      <c r="G506" t="s">
        <v>1549</v>
      </c>
      <c r="J506" t="s">
        <v>59</v>
      </c>
      <c r="K506" t="s">
        <v>46</v>
      </c>
      <c r="L506" t="s">
        <v>1283</v>
      </c>
      <c r="M506">
        <v>999</v>
      </c>
    </row>
    <row r="507" spans="1:13" x14ac:dyDescent="0.2">
      <c r="A507" t="str">
        <f ca="1">表_网址[[#This Row],[1级]]&amp;"-"&amp;表_网址[[#This Row],[2级]]&amp;"-"&amp;表_网址[[#This Row],[3级]]&amp;"-"&amp;表_网址[[#This Row],[级内]]</f>
        <v>991-12-14-141</v>
      </c>
      <c r="B507">
        <f>VLOOKUP(表_网址[[#This Row],[首要关键词]],表_首次要关键词[[首要关键词]:[排序]],2,0)</f>
        <v>991</v>
      </c>
      <c r="C507" s="4">
        <f ca="1">IF(表_网址[[#This Row],[次要关键词]]="",10,MATCH(表_网址[[#This Row],[次要关键词]],次要关键词,0)+10)</f>
        <v>12</v>
      </c>
      <c r="D507">
        <f ca="1">IF(表_网址[[#This Row],[重点关键词]]="",10,MATCH(表_网址[[#This Row],[重点关键词]],OFFSET(重点关键词!$A$1,MATCH($J507,首要关键词,0)*50-48,MATCH($K507,次要关键词,0),重点关键词数量,1),0)+10)</f>
        <v>14</v>
      </c>
      <c r="E507">
        <f ca="1">IF(AND(表_网址[[#This Row],[1级]]=B506,表_网址[[#This Row],[2级]]=C506,表_网址[[#This Row],[3级]]=D506),E506+1,101)</f>
        <v>141</v>
      </c>
      <c r="F507" t="s">
        <v>1550</v>
      </c>
      <c r="G507" t="s">
        <v>1451</v>
      </c>
      <c r="J507" t="s">
        <v>59</v>
      </c>
      <c r="K507" t="s">
        <v>46</v>
      </c>
      <c r="L507" t="s">
        <v>1283</v>
      </c>
      <c r="M507">
        <v>999</v>
      </c>
    </row>
    <row r="508" spans="1:13" x14ac:dyDescent="0.2">
      <c r="A508" t="str">
        <f ca="1">表_网址[[#This Row],[1级]]&amp;"-"&amp;表_网址[[#This Row],[2级]]&amp;"-"&amp;表_网址[[#This Row],[3级]]&amp;"-"&amp;表_网址[[#This Row],[级内]]</f>
        <v>991-12-14-142</v>
      </c>
      <c r="B508">
        <f>VLOOKUP(表_网址[[#This Row],[首要关键词]],表_首次要关键词[[首要关键词]:[排序]],2,0)</f>
        <v>991</v>
      </c>
      <c r="C508" s="4">
        <f ca="1">IF(表_网址[[#This Row],[次要关键词]]="",10,MATCH(表_网址[[#This Row],[次要关键词]],次要关键词,0)+10)</f>
        <v>12</v>
      </c>
      <c r="D508">
        <f ca="1">IF(表_网址[[#This Row],[重点关键词]]="",10,MATCH(表_网址[[#This Row],[重点关键词]],OFFSET(重点关键词!$A$1,MATCH($J508,首要关键词,0)*50-48,MATCH($K508,次要关键词,0),重点关键词数量,1),0)+10)</f>
        <v>14</v>
      </c>
      <c r="E508">
        <f ca="1">IF(AND(表_网址[[#This Row],[1级]]=B507,表_网址[[#This Row],[2级]]=C507,表_网址[[#This Row],[3级]]=D507),E507+1,101)</f>
        <v>142</v>
      </c>
      <c r="F508" t="s">
        <v>1551</v>
      </c>
      <c r="G508" t="s">
        <v>1552</v>
      </c>
      <c r="J508" t="s">
        <v>59</v>
      </c>
      <c r="K508" t="s">
        <v>46</v>
      </c>
      <c r="L508" t="s">
        <v>1283</v>
      </c>
      <c r="M508">
        <v>999</v>
      </c>
    </row>
    <row r="509" spans="1:13" x14ac:dyDescent="0.2">
      <c r="A509" t="str">
        <f ca="1">表_网址[[#This Row],[1级]]&amp;"-"&amp;表_网址[[#This Row],[2级]]&amp;"-"&amp;表_网址[[#This Row],[3级]]&amp;"-"&amp;表_网址[[#This Row],[级内]]</f>
        <v>991-12-14-143</v>
      </c>
      <c r="B509">
        <f>VLOOKUP(表_网址[[#This Row],[首要关键词]],表_首次要关键词[[首要关键词]:[排序]],2,0)</f>
        <v>991</v>
      </c>
      <c r="C509" s="4">
        <f ca="1">IF(表_网址[[#This Row],[次要关键词]]="",10,MATCH(表_网址[[#This Row],[次要关键词]],次要关键词,0)+10)</f>
        <v>12</v>
      </c>
      <c r="D509">
        <f ca="1">IF(表_网址[[#This Row],[重点关键词]]="",10,MATCH(表_网址[[#This Row],[重点关键词]],OFFSET(重点关键词!$A$1,MATCH($J509,首要关键词,0)*50-48,MATCH($K509,次要关键词,0),重点关键词数量,1),0)+10)</f>
        <v>14</v>
      </c>
      <c r="E509">
        <f ca="1">IF(AND(表_网址[[#This Row],[1级]]=B508,表_网址[[#This Row],[2级]]=C508,表_网址[[#This Row],[3级]]=D508),E508+1,101)</f>
        <v>143</v>
      </c>
      <c r="F509" t="s">
        <v>1553</v>
      </c>
      <c r="G509" t="s">
        <v>1554</v>
      </c>
      <c r="J509" t="s">
        <v>59</v>
      </c>
      <c r="K509" t="s">
        <v>46</v>
      </c>
      <c r="L509" t="s">
        <v>1283</v>
      </c>
      <c r="M509">
        <v>999</v>
      </c>
    </row>
    <row r="510" spans="1:13" x14ac:dyDescent="0.2">
      <c r="A510" t="str">
        <f ca="1">表_网址[[#This Row],[1级]]&amp;"-"&amp;表_网址[[#This Row],[2级]]&amp;"-"&amp;表_网址[[#This Row],[3级]]&amp;"-"&amp;表_网址[[#This Row],[级内]]</f>
        <v>991-12-14-144</v>
      </c>
      <c r="B510">
        <f>VLOOKUP(表_网址[[#This Row],[首要关键词]],表_首次要关键词[[首要关键词]:[排序]],2,0)</f>
        <v>991</v>
      </c>
      <c r="C510" s="4">
        <f ca="1">IF(表_网址[[#This Row],[次要关键词]]="",10,MATCH(表_网址[[#This Row],[次要关键词]],次要关键词,0)+10)</f>
        <v>12</v>
      </c>
      <c r="D510">
        <f ca="1">IF(表_网址[[#This Row],[重点关键词]]="",10,MATCH(表_网址[[#This Row],[重点关键词]],OFFSET(重点关键词!$A$1,MATCH($J510,首要关键词,0)*50-48,MATCH($K510,次要关键词,0),重点关键词数量,1),0)+10)</f>
        <v>14</v>
      </c>
      <c r="E510">
        <f ca="1">IF(AND(表_网址[[#This Row],[1级]]=B509,表_网址[[#This Row],[2级]]=C509,表_网址[[#This Row],[3级]]=D509),E509+1,101)</f>
        <v>144</v>
      </c>
      <c r="F510" t="s">
        <v>1555</v>
      </c>
      <c r="G510" t="s">
        <v>1556</v>
      </c>
      <c r="J510" t="s">
        <v>59</v>
      </c>
      <c r="K510" t="s">
        <v>46</v>
      </c>
      <c r="L510" t="s">
        <v>1283</v>
      </c>
      <c r="M510">
        <v>999</v>
      </c>
    </row>
    <row r="511" spans="1:13" x14ac:dyDescent="0.2">
      <c r="A511" t="str">
        <f ca="1">表_网址[[#This Row],[1级]]&amp;"-"&amp;表_网址[[#This Row],[2级]]&amp;"-"&amp;表_网址[[#This Row],[3级]]&amp;"-"&amp;表_网址[[#This Row],[级内]]</f>
        <v>991-12-14-145</v>
      </c>
      <c r="B511">
        <f>VLOOKUP(表_网址[[#This Row],[首要关键词]],表_首次要关键词[[首要关键词]:[排序]],2,0)</f>
        <v>991</v>
      </c>
      <c r="C511" s="4">
        <f ca="1">IF(表_网址[[#This Row],[次要关键词]]="",10,MATCH(表_网址[[#This Row],[次要关键词]],次要关键词,0)+10)</f>
        <v>12</v>
      </c>
      <c r="D511">
        <f ca="1">IF(表_网址[[#This Row],[重点关键词]]="",10,MATCH(表_网址[[#This Row],[重点关键词]],OFFSET(重点关键词!$A$1,MATCH($J511,首要关键词,0)*50-48,MATCH($K511,次要关键词,0),重点关键词数量,1),0)+10)</f>
        <v>14</v>
      </c>
      <c r="E511">
        <f ca="1">IF(AND(表_网址[[#This Row],[1级]]=B510,表_网址[[#This Row],[2级]]=C510,表_网址[[#This Row],[3级]]=D510),E510+1,101)</f>
        <v>145</v>
      </c>
      <c r="F511" t="s">
        <v>1557</v>
      </c>
      <c r="G511" t="s">
        <v>1558</v>
      </c>
      <c r="J511" t="s">
        <v>59</v>
      </c>
      <c r="K511" t="s">
        <v>46</v>
      </c>
      <c r="L511" t="s">
        <v>1283</v>
      </c>
      <c r="M511">
        <v>999</v>
      </c>
    </row>
    <row r="512" spans="1:13" x14ac:dyDescent="0.2">
      <c r="A512" t="str">
        <f ca="1">表_网址[[#This Row],[1级]]&amp;"-"&amp;表_网址[[#This Row],[2级]]&amp;"-"&amp;表_网址[[#This Row],[3级]]&amp;"-"&amp;表_网址[[#This Row],[级内]]</f>
        <v>991-12-14-146</v>
      </c>
      <c r="B512">
        <f>VLOOKUP(表_网址[[#This Row],[首要关键词]],表_首次要关键词[[首要关键词]:[排序]],2,0)</f>
        <v>991</v>
      </c>
      <c r="C512" s="4">
        <f ca="1">IF(表_网址[[#This Row],[次要关键词]]="",10,MATCH(表_网址[[#This Row],[次要关键词]],次要关键词,0)+10)</f>
        <v>12</v>
      </c>
      <c r="D512">
        <f ca="1">IF(表_网址[[#This Row],[重点关键词]]="",10,MATCH(表_网址[[#This Row],[重点关键词]],OFFSET(重点关键词!$A$1,MATCH($J512,首要关键词,0)*50-48,MATCH($K512,次要关键词,0),重点关键词数量,1),0)+10)</f>
        <v>14</v>
      </c>
      <c r="E512">
        <f ca="1">IF(AND(表_网址[[#This Row],[1级]]=B511,表_网址[[#This Row],[2级]]=C511,表_网址[[#This Row],[3级]]=D511),E511+1,101)</f>
        <v>146</v>
      </c>
      <c r="F512" t="s">
        <v>1559</v>
      </c>
      <c r="G512" t="s">
        <v>1560</v>
      </c>
      <c r="J512" t="s">
        <v>59</v>
      </c>
      <c r="K512" t="s">
        <v>46</v>
      </c>
      <c r="L512" t="s">
        <v>1283</v>
      </c>
      <c r="M512">
        <v>999</v>
      </c>
    </row>
    <row r="513" spans="1:16" x14ac:dyDescent="0.2">
      <c r="A513" t="str">
        <f ca="1">表_网址[[#This Row],[1级]]&amp;"-"&amp;表_网址[[#This Row],[2级]]&amp;"-"&amp;表_网址[[#This Row],[3级]]&amp;"-"&amp;表_网址[[#This Row],[级内]]</f>
        <v>991-12-14-147</v>
      </c>
      <c r="B513">
        <f>VLOOKUP(表_网址[[#This Row],[首要关键词]],表_首次要关键词[[首要关键词]:[排序]],2,0)</f>
        <v>991</v>
      </c>
      <c r="C513" s="4">
        <f ca="1">IF(表_网址[[#This Row],[次要关键词]]="",10,MATCH(表_网址[[#This Row],[次要关键词]],次要关键词,0)+10)</f>
        <v>12</v>
      </c>
      <c r="D513">
        <f ca="1">IF(表_网址[[#This Row],[重点关键词]]="",10,MATCH(表_网址[[#This Row],[重点关键词]],OFFSET(重点关键词!$A$1,MATCH($J513,首要关键词,0)*50-48,MATCH($K513,次要关键词,0),重点关键词数量,1),0)+10)</f>
        <v>14</v>
      </c>
      <c r="E513">
        <f ca="1">IF(AND(表_网址[[#This Row],[1级]]=B512,表_网址[[#This Row],[2级]]=C512,表_网址[[#This Row],[3级]]=D512),E512+1,101)</f>
        <v>147</v>
      </c>
      <c r="F513" t="s">
        <v>1561</v>
      </c>
      <c r="G513" t="s">
        <v>1562</v>
      </c>
      <c r="J513" t="s">
        <v>59</v>
      </c>
      <c r="K513" t="s">
        <v>46</v>
      </c>
      <c r="L513" t="s">
        <v>1283</v>
      </c>
      <c r="M513">
        <v>999</v>
      </c>
    </row>
    <row r="514" spans="1:16" x14ac:dyDescent="0.2">
      <c r="A514" t="str">
        <f ca="1">表_网址[[#This Row],[1级]]&amp;"-"&amp;表_网址[[#This Row],[2级]]&amp;"-"&amp;表_网址[[#This Row],[3级]]&amp;"-"&amp;表_网址[[#This Row],[级内]]</f>
        <v>991-12-14-148</v>
      </c>
      <c r="B514">
        <f>VLOOKUP(表_网址[[#This Row],[首要关键词]],表_首次要关键词[[首要关键词]:[排序]],2,0)</f>
        <v>991</v>
      </c>
      <c r="C514" s="4">
        <f ca="1">IF(表_网址[[#This Row],[次要关键词]]="",10,MATCH(表_网址[[#This Row],[次要关键词]],次要关键词,0)+10)</f>
        <v>12</v>
      </c>
      <c r="D514">
        <f ca="1">IF(表_网址[[#This Row],[重点关键词]]="",10,MATCH(表_网址[[#This Row],[重点关键词]],OFFSET(重点关键词!$A$1,MATCH($J514,首要关键词,0)*50-48,MATCH($K514,次要关键词,0),重点关键词数量,1),0)+10)</f>
        <v>14</v>
      </c>
      <c r="E514">
        <f ca="1">IF(AND(表_网址[[#This Row],[1级]]=B513,表_网址[[#This Row],[2级]]=C513,表_网址[[#This Row],[3级]]=D513),E513+1,101)</f>
        <v>148</v>
      </c>
      <c r="F514" t="s">
        <v>1563</v>
      </c>
      <c r="G514" t="s">
        <v>1564</v>
      </c>
      <c r="J514" t="s">
        <v>59</v>
      </c>
      <c r="K514" t="s">
        <v>46</v>
      </c>
      <c r="L514" t="s">
        <v>1283</v>
      </c>
      <c r="M514">
        <v>999</v>
      </c>
    </row>
    <row r="515" spans="1:16" x14ac:dyDescent="0.2">
      <c r="A515" t="str">
        <f ca="1">表_网址[[#This Row],[1级]]&amp;"-"&amp;表_网址[[#This Row],[2级]]&amp;"-"&amp;表_网址[[#This Row],[3级]]&amp;"-"&amp;表_网址[[#This Row],[级内]]</f>
        <v>991-12-14-149</v>
      </c>
      <c r="B515">
        <f>VLOOKUP(表_网址[[#This Row],[首要关键词]],表_首次要关键词[[首要关键词]:[排序]],2,0)</f>
        <v>991</v>
      </c>
      <c r="C515" s="4">
        <f ca="1">IF(表_网址[[#This Row],[次要关键词]]="",10,MATCH(表_网址[[#This Row],[次要关键词]],次要关键词,0)+10)</f>
        <v>12</v>
      </c>
      <c r="D515">
        <f ca="1">IF(表_网址[[#This Row],[重点关键词]]="",10,MATCH(表_网址[[#This Row],[重点关键词]],OFFSET(重点关键词!$A$1,MATCH($J515,首要关键词,0)*50-48,MATCH($K515,次要关键词,0),重点关键词数量,1),0)+10)</f>
        <v>14</v>
      </c>
      <c r="E515">
        <f ca="1">IF(AND(表_网址[[#This Row],[1级]]=B514,表_网址[[#This Row],[2级]]=C514,表_网址[[#This Row],[3级]]=D514),E514+1,101)</f>
        <v>149</v>
      </c>
      <c r="F515" t="s">
        <v>1565</v>
      </c>
      <c r="G515" t="s">
        <v>1566</v>
      </c>
      <c r="J515" t="s">
        <v>59</v>
      </c>
      <c r="K515" t="s">
        <v>46</v>
      </c>
      <c r="L515" t="s">
        <v>1283</v>
      </c>
      <c r="M515">
        <v>999</v>
      </c>
    </row>
    <row r="516" spans="1:16" x14ac:dyDescent="0.2">
      <c r="A516" t="str">
        <f ca="1">表_网址[[#This Row],[1级]]&amp;"-"&amp;表_网址[[#This Row],[2级]]&amp;"-"&amp;表_网址[[#This Row],[3级]]&amp;"-"&amp;表_网址[[#This Row],[级内]]</f>
        <v>991-12-14-150</v>
      </c>
      <c r="B516">
        <f>VLOOKUP(表_网址[[#This Row],[首要关键词]],表_首次要关键词[[首要关键词]:[排序]],2,0)</f>
        <v>991</v>
      </c>
      <c r="C516" s="4">
        <f ca="1">IF(表_网址[[#This Row],[次要关键词]]="",10,MATCH(表_网址[[#This Row],[次要关键词]],次要关键词,0)+10)</f>
        <v>12</v>
      </c>
      <c r="D516">
        <f ca="1">IF(表_网址[[#This Row],[重点关键词]]="",10,MATCH(表_网址[[#This Row],[重点关键词]],OFFSET(重点关键词!$A$1,MATCH($J516,首要关键词,0)*50-48,MATCH($K516,次要关键词,0),重点关键词数量,1),0)+10)</f>
        <v>14</v>
      </c>
      <c r="E516">
        <f ca="1">IF(AND(表_网址[[#This Row],[1级]]=B515,表_网址[[#This Row],[2级]]=C515,表_网址[[#This Row],[3级]]=D515),E515+1,101)</f>
        <v>150</v>
      </c>
      <c r="F516" t="s">
        <v>1567</v>
      </c>
      <c r="G516" t="s">
        <v>1568</v>
      </c>
      <c r="J516" t="s">
        <v>59</v>
      </c>
      <c r="K516" t="s">
        <v>46</v>
      </c>
      <c r="L516" t="s">
        <v>1283</v>
      </c>
      <c r="M516">
        <v>999</v>
      </c>
    </row>
    <row r="517" spans="1:16" x14ac:dyDescent="0.2">
      <c r="A517" t="str">
        <f ca="1">表_网址[[#This Row],[1级]]&amp;"-"&amp;表_网址[[#This Row],[2级]]&amp;"-"&amp;表_网址[[#This Row],[3级]]&amp;"-"&amp;表_网址[[#This Row],[级内]]</f>
        <v>991-12-14-151</v>
      </c>
      <c r="B517">
        <f>VLOOKUP(表_网址[[#This Row],[首要关键词]],表_首次要关键词[[首要关键词]:[排序]],2,0)</f>
        <v>991</v>
      </c>
      <c r="C517" s="4">
        <f ca="1">IF(表_网址[[#This Row],[次要关键词]]="",10,MATCH(表_网址[[#This Row],[次要关键词]],次要关键词,0)+10)</f>
        <v>12</v>
      </c>
      <c r="D517">
        <f ca="1">IF(表_网址[[#This Row],[重点关键词]]="",10,MATCH(表_网址[[#This Row],[重点关键词]],OFFSET(重点关键词!$A$1,MATCH($J517,首要关键词,0)*50-48,MATCH($K517,次要关键词,0),重点关键词数量,1),0)+10)</f>
        <v>14</v>
      </c>
      <c r="E517">
        <f ca="1">IF(AND(表_网址[[#This Row],[1级]]=B516,表_网址[[#This Row],[2级]]=C516,表_网址[[#This Row],[3级]]=D516),E516+1,101)</f>
        <v>151</v>
      </c>
      <c r="F517" t="s">
        <v>1569</v>
      </c>
      <c r="G517" t="s">
        <v>1570</v>
      </c>
      <c r="J517" t="s">
        <v>59</v>
      </c>
      <c r="K517" t="s">
        <v>46</v>
      </c>
      <c r="L517" t="s">
        <v>1283</v>
      </c>
      <c r="M517">
        <v>999</v>
      </c>
    </row>
    <row r="518" spans="1:16" x14ac:dyDescent="0.2">
      <c r="A518" t="str">
        <f ca="1">表_网址[[#This Row],[1级]]&amp;"-"&amp;表_网址[[#This Row],[2级]]&amp;"-"&amp;表_网址[[#This Row],[3级]]&amp;"-"&amp;表_网址[[#This Row],[级内]]</f>
        <v>991-12-14-152</v>
      </c>
      <c r="B518">
        <f>VLOOKUP(表_网址[[#This Row],[首要关键词]],表_首次要关键词[[首要关键词]:[排序]],2,0)</f>
        <v>991</v>
      </c>
      <c r="C518" s="4">
        <f ca="1">IF(表_网址[[#This Row],[次要关键词]]="",10,MATCH(表_网址[[#This Row],[次要关键词]],次要关键词,0)+10)</f>
        <v>12</v>
      </c>
      <c r="D518">
        <f ca="1">IF(表_网址[[#This Row],[重点关键词]]="",10,MATCH(表_网址[[#This Row],[重点关键词]],OFFSET(重点关键词!$A$1,MATCH($J518,首要关键词,0)*50-48,MATCH($K518,次要关键词,0),重点关键词数量,1),0)+10)</f>
        <v>14</v>
      </c>
      <c r="E518">
        <f ca="1">IF(AND(表_网址[[#This Row],[1级]]=B517,表_网址[[#This Row],[2级]]=C517,表_网址[[#This Row],[3级]]=D517),E517+1,101)</f>
        <v>152</v>
      </c>
      <c r="F518" t="s">
        <v>1571</v>
      </c>
      <c r="G518" t="s">
        <v>1572</v>
      </c>
      <c r="J518" t="s">
        <v>59</v>
      </c>
      <c r="K518" t="s">
        <v>46</v>
      </c>
      <c r="L518" t="s">
        <v>1283</v>
      </c>
      <c r="M518">
        <v>999</v>
      </c>
    </row>
    <row r="519" spans="1:16" x14ac:dyDescent="0.2">
      <c r="A519" t="str">
        <f ca="1">表_网址[[#This Row],[1级]]&amp;"-"&amp;表_网址[[#This Row],[2级]]&amp;"-"&amp;表_网址[[#This Row],[3级]]&amp;"-"&amp;表_网址[[#This Row],[级内]]</f>
        <v>991-13-10-101</v>
      </c>
      <c r="B519">
        <f>VLOOKUP(表_网址[[#This Row],[首要关键词]],表_首次要关键词[[首要关键词]:[排序]],2,0)</f>
        <v>991</v>
      </c>
      <c r="C519" s="4">
        <f ca="1">IF(表_网址[[#This Row],[次要关键词]]="",10,MATCH(表_网址[[#This Row],[次要关键词]],次要关键词,0)+10)</f>
        <v>13</v>
      </c>
      <c r="D519">
        <f ca="1">IF(表_网址[[#This Row],[重点关键词]]="",10,MATCH(表_网址[[#This Row],[重点关键词]],OFFSET(重点关键词!$A$1,MATCH($J519,首要关键词,0)*50-48,MATCH($K519,次要关键词,0),重点关键词数量,1),0)+10)</f>
        <v>10</v>
      </c>
      <c r="E519">
        <f ca="1">IF(AND(表_网址[[#This Row],[1级]]=B518,表_网址[[#This Row],[2级]]=C518,表_网址[[#This Row],[3级]]=D518),E518+1,101)</f>
        <v>101</v>
      </c>
      <c r="J519" t="s">
        <v>59</v>
      </c>
      <c r="K519" t="s">
        <v>1573</v>
      </c>
    </row>
    <row r="520" spans="1:16" x14ac:dyDescent="0.2">
      <c r="A520" t="str">
        <f ca="1">表_网址[[#This Row],[1级]]&amp;"-"&amp;表_网址[[#This Row],[2级]]&amp;"-"&amp;表_网址[[#This Row],[3级]]&amp;"-"&amp;表_网址[[#This Row],[级内]]</f>
        <v>991-13-11-101</v>
      </c>
      <c r="B520">
        <f>VLOOKUP(表_网址[[#This Row],[首要关键词]],表_首次要关键词[[首要关键词]:[排序]],2,0)</f>
        <v>991</v>
      </c>
      <c r="C520" s="4">
        <f ca="1">IF(表_网址[[#This Row],[次要关键词]]="",10,MATCH(表_网址[[#This Row],[次要关键词]],次要关键词,0)+10)</f>
        <v>13</v>
      </c>
      <c r="D520">
        <f ca="1">IF(表_网址[[#This Row],[重点关键词]]="",10,MATCH(表_网址[[#This Row],[重点关键词]],OFFSET(重点关键词!$A$1,MATCH($J520,首要关键词,0)*50-48,MATCH($K520,次要关键词,0),重点关键词数量,1),0)+10)</f>
        <v>11</v>
      </c>
      <c r="E520">
        <f ca="1">IF(AND(表_网址[[#This Row],[1级]]=B519,表_网址[[#This Row],[2级]]=C519,表_网址[[#This Row],[3级]]=D519),E519+1,101)</f>
        <v>101</v>
      </c>
      <c r="F520" t="s">
        <v>1574</v>
      </c>
      <c r="G520" t="s">
        <v>1575</v>
      </c>
      <c r="H520" t="s">
        <v>82</v>
      </c>
      <c r="J520" t="s">
        <v>59</v>
      </c>
      <c r="K520" t="s">
        <v>1573</v>
      </c>
      <c r="L520" t="s">
        <v>1576</v>
      </c>
      <c r="M520">
        <v>999</v>
      </c>
    </row>
    <row r="521" spans="1:16" x14ac:dyDescent="0.2">
      <c r="A521" t="str">
        <f ca="1">表_网址[[#This Row],[1级]]&amp;"-"&amp;表_网址[[#This Row],[2级]]&amp;"-"&amp;表_网址[[#This Row],[3级]]&amp;"-"&amp;表_网址[[#This Row],[级内]]</f>
        <v>991-13-12-101</v>
      </c>
      <c r="B521">
        <f>VLOOKUP(表_网址[[#This Row],[首要关键词]],表_首次要关键词[[首要关键词]:[排序]],2,0)</f>
        <v>991</v>
      </c>
      <c r="C521" s="4">
        <f ca="1">IF(表_网址[[#This Row],[次要关键词]]="",10,MATCH(表_网址[[#This Row],[次要关键词]],次要关键词,0)+10)</f>
        <v>13</v>
      </c>
      <c r="D521">
        <f ca="1">IF(表_网址[[#This Row],[重点关键词]]="",10,MATCH(表_网址[[#This Row],[重点关键词]],OFFSET(重点关键词!$A$1,MATCH($J521,首要关键词,0)*50-48,MATCH($K521,次要关键词,0),重点关键词数量,1),0)+10)</f>
        <v>12</v>
      </c>
      <c r="E521">
        <f ca="1">IF(AND(表_网址[[#This Row],[1级]]=B520,表_网址[[#This Row],[2级]]=C520,表_网址[[#This Row],[3级]]=D520),E520+1,101)</f>
        <v>101</v>
      </c>
      <c r="F521" t="s">
        <v>1577</v>
      </c>
      <c r="G521" t="s">
        <v>1578</v>
      </c>
      <c r="H521" t="s">
        <v>82</v>
      </c>
      <c r="J521" t="s">
        <v>59</v>
      </c>
      <c r="K521" t="s">
        <v>1573</v>
      </c>
      <c r="L521" t="s">
        <v>1579</v>
      </c>
      <c r="M521">
        <v>999</v>
      </c>
    </row>
    <row r="522" spans="1:16" x14ac:dyDescent="0.2">
      <c r="A522" t="str">
        <f ca="1">表_网址[[#This Row],[1级]]&amp;"-"&amp;表_网址[[#This Row],[2级]]&amp;"-"&amp;表_网址[[#This Row],[3级]]&amp;"-"&amp;表_网址[[#This Row],[级内]]</f>
        <v>991-13-13-101</v>
      </c>
      <c r="B522">
        <f>VLOOKUP(表_网址[[#This Row],[首要关键词]],表_首次要关键词[[首要关键词]:[排序]],2,0)</f>
        <v>991</v>
      </c>
      <c r="C522" s="4">
        <f ca="1">IF(表_网址[[#This Row],[次要关键词]]="",10,MATCH(表_网址[[#This Row],[次要关键词]],次要关键词,0)+10)</f>
        <v>13</v>
      </c>
      <c r="D522">
        <f ca="1">IF(表_网址[[#This Row],[重点关键词]]="",10,MATCH(表_网址[[#This Row],[重点关键词]],OFFSET(重点关键词!$A$1,MATCH($J522,首要关键词,0)*50-48,MATCH($K522,次要关键词,0),重点关键词数量,1),0)+10)</f>
        <v>13</v>
      </c>
      <c r="E522">
        <f ca="1">IF(AND(表_网址[[#This Row],[1级]]=B521,表_网址[[#This Row],[2级]]=C521,表_网址[[#This Row],[3级]]=D521),E521+1,101)</f>
        <v>101</v>
      </c>
      <c r="F522" t="s">
        <v>1580</v>
      </c>
      <c r="G522" t="s">
        <v>1581</v>
      </c>
      <c r="H522" t="s">
        <v>82</v>
      </c>
      <c r="J522" t="s">
        <v>59</v>
      </c>
      <c r="K522" t="s">
        <v>1573</v>
      </c>
      <c r="L522" t="s">
        <v>1283</v>
      </c>
      <c r="M522">
        <v>999</v>
      </c>
    </row>
    <row r="523" spans="1:16" x14ac:dyDescent="0.2">
      <c r="A523" t="str">
        <f ca="1">表_网址[[#This Row],[1级]]&amp;"-"&amp;表_网址[[#This Row],[2级]]&amp;"-"&amp;表_网址[[#This Row],[3级]]&amp;"-"&amp;表_网址[[#This Row],[级内]]</f>
        <v>991-13-13-102</v>
      </c>
      <c r="B523">
        <f>VLOOKUP(表_网址[[#This Row],[首要关键词]],表_首次要关键词[[首要关键词]:[排序]],2,0)</f>
        <v>991</v>
      </c>
      <c r="C523" s="4">
        <f ca="1">IF(表_网址[[#This Row],[次要关键词]]="",10,MATCH(表_网址[[#This Row],[次要关键词]],次要关键词,0)+10)</f>
        <v>13</v>
      </c>
      <c r="D523">
        <f ca="1">IF(表_网址[[#This Row],[重点关键词]]="",10,MATCH(表_网址[[#This Row],[重点关键词]],OFFSET(重点关键词!$A$1,MATCH($J523,首要关键词,0)*50-48,MATCH($K523,次要关键词,0),重点关键词数量,1),0)+10)</f>
        <v>13</v>
      </c>
      <c r="E523">
        <f ca="1">IF(AND(表_网址[[#This Row],[1级]]=B522,表_网址[[#This Row],[2级]]=C522,表_网址[[#This Row],[3级]]=D522),E522+1,101)</f>
        <v>102</v>
      </c>
      <c r="F523" t="s">
        <v>1582</v>
      </c>
      <c r="G523" t="s">
        <v>1583</v>
      </c>
      <c r="H523" t="s">
        <v>82</v>
      </c>
      <c r="J523" t="s">
        <v>59</v>
      </c>
      <c r="K523" t="s">
        <v>1573</v>
      </c>
      <c r="L523" t="s">
        <v>1283</v>
      </c>
      <c r="M523">
        <v>999</v>
      </c>
    </row>
    <row r="524" spans="1:16" x14ac:dyDescent="0.2">
      <c r="A524" t="str">
        <f ca="1">表_网址[[#This Row],[1级]]&amp;"-"&amp;表_网址[[#This Row],[2级]]&amp;"-"&amp;表_网址[[#This Row],[3级]]&amp;"-"&amp;表_网址[[#This Row],[级内]]</f>
        <v>991-13-14-101</v>
      </c>
      <c r="B524">
        <f>VLOOKUP(表_网址[[#This Row],[首要关键词]],表_首次要关键词[[首要关键词]:[排序]],2,0)</f>
        <v>991</v>
      </c>
      <c r="C524" s="4">
        <f ca="1">IF(表_网址[[#This Row],[次要关键词]]="",10,MATCH(表_网址[[#This Row],[次要关键词]],次要关键词,0)+10)</f>
        <v>13</v>
      </c>
      <c r="D524">
        <f ca="1">IF(表_网址[[#This Row],[重点关键词]]="",10,MATCH(表_网址[[#This Row],[重点关键词]],OFFSET(重点关键词!$A$1,MATCH($J524,首要关键词,0)*50-48,MATCH($K524,次要关键词,0),重点关键词数量,1),0)+10)</f>
        <v>14</v>
      </c>
      <c r="E524">
        <f ca="1">IF(AND(表_网址[[#This Row],[1级]]=B523,表_网址[[#This Row],[2级]]=C523,表_网址[[#This Row],[3级]]=D523),E523+1,101)</f>
        <v>101</v>
      </c>
      <c r="F524" t="s">
        <v>1584</v>
      </c>
      <c r="G524" t="s">
        <v>1585</v>
      </c>
      <c r="I524" t="s">
        <v>1586</v>
      </c>
      <c r="J524" t="s">
        <v>59</v>
      </c>
      <c r="K524" t="s">
        <v>1573</v>
      </c>
      <c r="L524" t="s">
        <v>1587</v>
      </c>
      <c r="M524">
        <v>999</v>
      </c>
      <c r="N524">
        <v>999</v>
      </c>
      <c r="P524">
        <v>32</v>
      </c>
    </row>
    <row r="525" spans="1:16" x14ac:dyDescent="0.2">
      <c r="A525" t="str">
        <f ca="1">表_网址[[#This Row],[1级]]&amp;"-"&amp;表_网址[[#This Row],[2级]]&amp;"-"&amp;表_网址[[#This Row],[3级]]&amp;"-"&amp;表_网址[[#This Row],[级内]]</f>
        <v>991-13-14-102</v>
      </c>
      <c r="B525">
        <f>VLOOKUP(表_网址[[#This Row],[首要关键词]],表_首次要关键词[[首要关键词]:[排序]],2,0)</f>
        <v>991</v>
      </c>
      <c r="C525" s="4">
        <f ca="1">IF(表_网址[[#This Row],[次要关键词]]="",10,MATCH(表_网址[[#This Row],[次要关键词]],次要关键词,0)+10)</f>
        <v>13</v>
      </c>
      <c r="D525">
        <f ca="1">IF(表_网址[[#This Row],[重点关键词]]="",10,MATCH(表_网址[[#This Row],[重点关键词]],OFFSET(重点关键词!$A$1,MATCH($J525,首要关键词,0)*50-48,MATCH($K525,次要关键词,0),重点关键词数量,1),0)+10)</f>
        <v>14</v>
      </c>
      <c r="E525">
        <f ca="1">IF(AND(表_网址[[#This Row],[1级]]=B524,表_网址[[#This Row],[2级]]=C524,表_网址[[#This Row],[3级]]=D524),E524+1,101)</f>
        <v>102</v>
      </c>
      <c r="F525" t="s">
        <v>1588</v>
      </c>
      <c r="G525" t="s">
        <v>1589</v>
      </c>
      <c r="I525" t="s">
        <v>1590</v>
      </c>
      <c r="J525" t="s">
        <v>59</v>
      </c>
      <c r="K525" t="s">
        <v>1573</v>
      </c>
      <c r="L525" t="s">
        <v>1587</v>
      </c>
      <c r="M525">
        <v>999</v>
      </c>
      <c r="N525">
        <v>999</v>
      </c>
      <c r="P525">
        <v>32</v>
      </c>
    </row>
    <row r="526" spans="1:16" x14ac:dyDescent="0.2">
      <c r="A526" t="str">
        <f ca="1">表_网址[[#This Row],[1级]]&amp;"-"&amp;表_网址[[#This Row],[2级]]&amp;"-"&amp;表_网址[[#This Row],[3级]]&amp;"-"&amp;表_网址[[#This Row],[级内]]</f>
        <v>991-13-14-103</v>
      </c>
      <c r="B526">
        <f>VLOOKUP(表_网址[[#This Row],[首要关键词]],表_首次要关键词[[首要关键词]:[排序]],2,0)</f>
        <v>991</v>
      </c>
      <c r="C526" s="4">
        <f ca="1">IF(表_网址[[#This Row],[次要关键词]]="",10,MATCH(表_网址[[#This Row],[次要关键词]],次要关键词,0)+10)</f>
        <v>13</v>
      </c>
      <c r="D526">
        <f ca="1">IF(表_网址[[#This Row],[重点关键词]]="",10,MATCH(表_网址[[#This Row],[重点关键词]],OFFSET(重点关键词!$A$1,MATCH($J526,首要关键词,0)*50-48,MATCH($K526,次要关键词,0),重点关键词数量,1),0)+10)</f>
        <v>14</v>
      </c>
      <c r="E526">
        <f ca="1">IF(AND(表_网址[[#This Row],[1级]]=B525,表_网址[[#This Row],[2级]]=C525,表_网址[[#This Row],[3级]]=D525),E525+1,101)</f>
        <v>103</v>
      </c>
      <c r="F526" t="s">
        <v>1591</v>
      </c>
      <c r="G526" t="s">
        <v>1592</v>
      </c>
      <c r="I526" t="s">
        <v>1593</v>
      </c>
      <c r="J526" t="s">
        <v>59</v>
      </c>
      <c r="K526" t="s">
        <v>1573</v>
      </c>
      <c r="L526" t="s">
        <v>1587</v>
      </c>
      <c r="M526">
        <v>999</v>
      </c>
      <c r="N526">
        <v>999</v>
      </c>
      <c r="P526">
        <v>48</v>
      </c>
    </row>
    <row r="527" spans="1:16" x14ac:dyDescent="0.2">
      <c r="A527" t="str">
        <f ca="1">表_网址[[#This Row],[1级]]&amp;"-"&amp;表_网址[[#This Row],[2级]]&amp;"-"&amp;表_网址[[#This Row],[3级]]&amp;"-"&amp;表_网址[[#This Row],[级内]]</f>
        <v>991-13-14-104</v>
      </c>
      <c r="B527">
        <f>VLOOKUP(表_网址[[#This Row],[首要关键词]],表_首次要关键词[[首要关键词]:[排序]],2,0)</f>
        <v>991</v>
      </c>
      <c r="C527" s="4">
        <f ca="1">IF(表_网址[[#This Row],[次要关键词]]="",10,MATCH(表_网址[[#This Row],[次要关键词]],次要关键词,0)+10)</f>
        <v>13</v>
      </c>
      <c r="D527">
        <f ca="1">IF(表_网址[[#This Row],[重点关键词]]="",10,MATCH(表_网址[[#This Row],[重点关键词]],OFFSET(重点关键词!$A$1,MATCH($J527,首要关键词,0)*50-48,MATCH($K527,次要关键词,0),重点关键词数量,1),0)+10)</f>
        <v>14</v>
      </c>
      <c r="E527">
        <f ca="1">IF(AND(表_网址[[#This Row],[1级]]=B526,表_网址[[#This Row],[2级]]=C526,表_网址[[#This Row],[3级]]=D526),E526+1,101)</f>
        <v>104</v>
      </c>
      <c r="F527" t="s">
        <v>1594</v>
      </c>
      <c r="G527" t="s">
        <v>1595</v>
      </c>
      <c r="I527" t="s">
        <v>1596</v>
      </c>
      <c r="J527" t="s">
        <v>59</v>
      </c>
      <c r="K527" t="s">
        <v>1573</v>
      </c>
      <c r="L527" t="s">
        <v>1587</v>
      </c>
      <c r="M527">
        <v>999</v>
      </c>
      <c r="N527">
        <v>999</v>
      </c>
      <c r="P527">
        <v>80</v>
      </c>
    </row>
    <row r="528" spans="1:16" x14ac:dyDescent="0.2">
      <c r="A528" t="str">
        <f ca="1">表_网址[[#This Row],[1级]]&amp;"-"&amp;表_网址[[#This Row],[2级]]&amp;"-"&amp;表_网址[[#This Row],[3级]]&amp;"-"&amp;表_网址[[#This Row],[级内]]</f>
        <v>991-13-14-105</v>
      </c>
      <c r="B528">
        <f>VLOOKUP(表_网址[[#This Row],[首要关键词]],表_首次要关键词[[首要关键词]:[排序]],2,0)</f>
        <v>991</v>
      </c>
      <c r="C528" s="4">
        <f ca="1">IF(表_网址[[#This Row],[次要关键词]]="",10,MATCH(表_网址[[#This Row],[次要关键词]],次要关键词,0)+10)</f>
        <v>13</v>
      </c>
      <c r="D528">
        <f ca="1">IF(表_网址[[#This Row],[重点关键词]]="",10,MATCH(表_网址[[#This Row],[重点关键词]],OFFSET(重点关键词!$A$1,MATCH($J528,首要关键词,0)*50-48,MATCH($K528,次要关键词,0),重点关键词数量,1),0)+10)</f>
        <v>14</v>
      </c>
      <c r="E528">
        <f ca="1">IF(AND(表_网址[[#This Row],[1级]]=B527,表_网址[[#This Row],[2级]]=C527,表_网址[[#This Row],[3级]]=D527),E527+1,101)</f>
        <v>105</v>
      </c>
      <c r="F528" t="s">
        <v>1597</v>
      </c>
      <c r="G528" t="s">
        <v>1598</v>
      </c>
      <c r="I528" t="s">
        <v>1599</v>
      </c>
      <c r="J528" t="s">
        <v>59</v>
      </c>
      <c r="K528" t="s">
        <v>1573</v>
      </c>
      <c r="L528" t="s">
        <v>1587</v>
      </c>
      <c r="M528">
        <v>999</v>
      </c>
      <c r="N528">
        <v>999</v>
      </c>
      <c r="P528">
        <v>128</v>
      </c>
    </row>
    <row r="529" spans="1:14" x14ac:dyDescent="0.2">
      <c r="A529" t="str">
        <f ca="1">表_网址[[#This Row],[1级]]&amp;"-"&amp;表_网址[[#This Row],[2级]]&amp;"-"&amp;表_网址[[#This Row],[3级]]&amp;"-"&amp;表_网址[[#This Row],[级内]]</f>
        <v>991-13-14-106</v>
      </c>
      <c r="B529">
        <f>VLOOKUP(表_网址[[#This Row],[首要关键词]],表_首次要关键词[[首要关键词]:[排序]],2,0)</f>
        <v>991</v>
      </c>
      <c r="C529" s="4">
        <f ca="1">IF(表_网址[[#This Row],[次要关键词]]="",10,MATCH(表_网址[[#This Row],[次要关键词]],次要关键词,0)+10)</f>
        <v>13</v>
      </c>
      <c r="D529">
        <f ca="1">IF(表_网址[[#This Row],[重点关键词]]="",10,MATCH(表_网址[[#This Row],[重点关键词]],OFFSET(重点关键词!$A$1,MATCH($J529,首要关键词,0)*50-48,MATCH($K529,次要关键词,0),重点关键词数量,1),0)+10)</f>
        <v>14</v>
      </c>
      <c r="E529">
        <f ca="1">IF(AND(表_网址[[#This Row],[1级]]=B528,表_网址[[#This Row],[2级]]=C528,表_网址[[#This Row],[3级]]=D528),E528+1,101)</f>
        <v>106</v>
      </c>
      <c r="F529" t="s">
        <v>1600</v>
      </c>
      <c r="G529" t="s">
        <v>1601</v>
      </c>
      <c r="I529" t="s">
        <v>1602</v>
      </c>
      <c r="J529" t="s">
        <v>59</v>
      </c>
      <c r="K529" t="s">
        <v>1573</v>
      </c>
      <c r="L529" t="s">
        <v>1587</v>
      </c>
      <c r="M529">
        <v>999</v>
      </c>
      <c r="N529">
        <v>999</v>
      </c>
    </row>
    <row r="530" spans="1:14" x14ac:dyDescent="0.2">
      <c r="A530" t="str">
        <f ca="1">表_网址[[#This Row],[1级]]&amp;"-"&amp;表_网址[[#This Row],[2级]]&amp;"-"&amp;表_网址[[#This Row],[3级]]&amp;"-"&amp;表_网址[[#This Row],[级内]]</f>
        <v>991-13-14-107</v>
      </c>
      <c r="B530">
        <f>VLOOKUP(表_网址[[#This Row],[首要关键词]],表_首次要关键词[[首要关键词]:[排序]],2,0)</f>
        <v>991</v>
      </c>
      <c r="C530" s="4">
        <f ca="1">IF(表_网址[[#This Row],[次要关键词]]="",10,MATCH(表_网址[[#This Row],[次要关键词]],次要关键词,0)+10)</f>
        <v>13</v>
      </c>
      <c r="D530">
        <f ca="1">IF(表_网址[[#This Row],[重点关键词]]="",10,MATCH(表_网址[[#This Row],[重点关键词]],OFFSET(重点关键词!$A$1,MATCH($J530,首要关键词,0)*50-48,MATCH($K530,次要关键词,0),重点关键词数量,1),0)+10)</f>
        <v>14</v>
      </c>
      <c r="E530">
        <f ca="1">IF(AND(表_网址[[#This Row],[1级]]=B529,表_网址[[#This Row],[2级]]=C529,表_网址[[#This Row],[3级]]=D529),E529+1,101)</f>
        <v>107</v>
      </c>
      <c r="F530" t="s">
        <v>1603</v>
      </c>
      <c r="G530" t="s">
        <v>1604</v>
      </c>
      <c r="I530" t="s">
        <v>1605</v>
      </c>
      <c r="J530" t="s">
        <v>59</v>
      </c>
      <c r="K530" t="s">
        <v>1573</v>
      </c>
      <c r="L530" t="s">
        <v>1587</v>
      </c>
      <c r="M530">
        <v>999</v>
      </c>
      <c r="N530">
        <v>999</v>
      </c>
    </row>
    <row r="531" spans="1:14" x14ac:dyDescent="0.2">
      <c r="A531" t="str">
        <f ca="1">表_网址[[#This Row],[1级]]&amp;"-"&amp;表_网址[[#This Row],[2级]]&amp;"-"&amp;表_网址[[#This Row],[3级]]&amp;"-"&amp;表_网址[[#This Row],[级内]]</f>
        <v>991-13-14-108</v>
      </c>
      <c r="B531">
        <f>VLOOKUP(表_网址[[#This Row],[首要关键词]],表_首次要关键词[[首要关键词]:[排序]],2,0)</f>
        <v>991</v>
      </c>
      <c r="C531" s="4">
        <f ca="1">IF(表_网址[[#This Row],[次要关键词]]="",10,MATCH(表_网址[[#This Row],[次要关键词]],次要关键词,0)+10)</f>
        <v>13</v>
      </c>
      <c r="D531">
        <f ca="1">IF(表_网址[[#This Row],[重点关键词]]="",10,MATCH(表_网址[[#This Row],[重点关键词]],OFFSET(重点关键词!$A$1,MATCH($J531,首要关键词,0)*50-48,MATCH($K531,次要关键词,0),重点关键词数量,1),0)+10)</f>
        <v>14</v>
      </c>
      <c r="E531">
        <f ca="1">IF(AND(表_网址[[#This Row],[1级]]=B530,表_网址[[#This Row],[2级]]=C530,表_网址[[#This Row],[3级]]=D530),E530+1,101)</f>
        <v>108</v>
      </c>
      <c r="F531" t="s">
        <v>1606</v>
      </c>
      <c r="G531" t="s">
        <v>1607</v>
      </c>
      <c r="I531" t="s">
        <v>1608</v>
      </c>
      <c r="J531" t="s">
        <v>59</v>
      </c>
      <c r="K531" t="s">
        <v>1573</v>
      </c>
      <c r="L531" t="s">
        <v>1587</v>
      </c>
      <c r="M531">
        <v>999</v>
      </c>
      <c r="N531">
        <v>999</v>
      </c>
    </row>
    <row r="532" spans="1:14" x14ac:dyDescent="0.2">
      <c r="A532" t="str">
        <f ca="1">表_网址[[#This Row],[1级]]&amp;"-"&amp;表_网址[[#This Row],[2级]]&amp;"-"&amp;表_网址[[#This Row],[3级]]&amp;"-"&amp;表_网址[[#This Row],[级内]]</f>
        <v>991-13-14-109</v>
      </c>
      <c r="B532">
        <f>VLOOKUP(表_网址[[#This Row],[首要关键词]],表_首次要关键词[[首要关键词]:[排序]],2,0)</f>
        <v>991</v>
      </c>
      <c r="C532" s="4">
        <f ca="1">IF(表_网址[[#This Row],[次要关键词]]="",10,MATCH(表_网址[[#This Row],[次要关键词]],次要关键词,0)+10)</f>
        <v>13</v>
      </c>
      <c r="D532">
        <f ca="1">IF(表_网址[[#This Row],[重点关键词]]="",10,MATCH(表_网址[[#This Row],[重点关键词]],OFFSET(重点关键词!$A$1,MATCH($J532,首要关键词,0)*50-48,MATCH($K532,次要关键词,0),重点关键词数量,1),0)+10)</f>
        <v>14</v>
      </c>
      <c r="E532">
        <f ca="1">IF(AND(表_网址[[#This Row],[1级]]=B531,表_网址[[#This Row],[2级]]=C531,表_网址[[#This Row],[3级]]=D531),E531+1,101)</f>
        <v>109</v>
      </c>
      <c r="F532" t="s">
        <v>1609</v>
      </c>
      <c r="G532" t="s">
        <v>1610</v>
      </c>
      <c r="I532" t="s">
        <v>1611</v>
      </c>
      <c r="J532" t="s">
        <v>59</v>
      </c>
      <c r="K532" t="s">
        <v>1573</v>
      </c>
      <c r="L532" t="s">
        <v>1587</v>
      </c>
      <c r="M532">
        <v>999</v>
      </c>
      <c r="N532">
        <v>999</v>
      </c>
    </row>
    <row r="533" spans="1:14" x14ac:dyDescent="0.2">
      <c r="A533" t="str">
        <f ca="1">表_网址[[#This Row],[1级]]&amp;"-"&amp;表_网址[[#This Row],[2级]]&amp;"-"&amp;表_网址[[#This Row],[3级]]&amp;"-"&amp;表_网址[[#This Row],[级内]]</f>
        <v>991-13-14-110</v>
      </c>
      <c r="B533">
        <f>VLOOKUP(表_网址[[#This Row],[首要关键词]],表_首次要关键词[[首要关键词]:[排序]],2,0)</f>
        <v>991</v>
      </c>
      <c r="C533" s="4">
        <f ca="1">IF(表_网址[[#This Row],[次要关键词]]="",10,MATCH(表_网址[[#This Row],[次要关键词]],次要关键词,0)+10)</f>
        <v>13</v>
      </c>
      <c r="D533">
        <f ca="1">IF(表_网址[[#This Row],[重点关键词]]="",10,MATCH(表_网址[[#This Row],[重点关键词]],OFFSET(重点关键词!$A$1,MATCH($J533,首要关键词,0)*50-48,MATCH($K533,次要关键词,0),重点关键词数量,1),0)+10)</f>
        <v>14</v>
      </c>
      <c r="E533">
        <f ca="1">IF(AND(表_网址[[#This Row],[1级]]=B532,表_网址[[#This Row],[2级]]=C532,表_网址[[#This Row],[3级]]=D532),E532+1,101)</f>
        <v>110</v>
      </c>
      <c r="F533" t="s">
        <v>1612</v>
      </c>
      <c r="G533" t="s">
        <v>1613</v>
      </c>
      <c r="I533" t="s">
        <v>1614</v>
      </c>
      <c r="J533" t="s">
        <v>59</v>
      </c>
      <c r="K533" t="s">
        <v>1573</v>
      </c>
      <c r="L533" t="s">
        <v>1587</v>
      </c>
      <c r="M533">
        <v>999</v>
      </c>
      <c r="N533">
        <v>999</v>
      </c>
    </row>
    <row r="534" spans="1:14" x14ac:dyDescent="0.2">
      <c r="A534" t="str">
        <f ca="1">表_网址[[#This Row],[1级]]&amp;"-"&amp;表_网址[[#This Row],[2级]]&amp;"-"&amp;表_网址[[#This Row],[3级]]&amp;"-"&amp;表_网址[[#This Row],[级内]]</f>
        <v>991-13-14-111</v>
      </c>
      <c r="B534">
        <f>VLOOKUP(表_网址[[#This Row],[首要关键词]],表_首次要关键词[[首要关键词]:[排序]],2,0)</f>
        <v>991</v>
      </c>
      <c r="C534" s="4">
        <f ca="1">IF(表_网址[[#This Row],[次要关键词]]="",10,MATCH(表_网址[[#This Row],[次要关键词]],次要关键词,0)+10)</f>
        <v>13</v>
      </c>
      <c r="D534">
        <f ca="1">IF(表_网址[[#This Row],[重点关键词]]="",10,MATCH(表_网址[[#This Row],[重点关键词]],OFFSET(重点关键词!$A$1,MATCH($J534,首要关键词,0)*50-48,MATCH($K534,次要关键词,0),重点关键词数量,1),0)+10)</f>
        <v>14</v>
      </c>
      <c r="E534">
        <f ca="1">IF(AND(表_网址[[#This Row],[1级]]=B533,表_网址[[#This Row],[2级]]=C533,表_网址[[#This Row],[3级]]=D533),E533+1,101)</f>
        <v>111</v>
      </c>
      <c r="F534" t="s">
        <v>1615</v>
      </c>
      <c r="G534" t="s">
        <v>1616</v>
      </c>
      <c r="I534" t="s">
        <v>1617</v>
      </c>
      <c r="J534" t="s">
        <v>59</v>
      </c>
      <c r="K534" t="s">
        <v>1573</v>
      </c>
      <c r="L534" t="s">
        <v>1587</v>
      </c>
      <c r="M534">
        <v>999</v>
      </c>
      <c r="N534">
        <v>999</v>
      </c>
    </row>
    <row r="535" spans="1:14" x14ac:dyDescent="0.2">
      <c r="A535" t="str">
        <f ca="1">表_网址[[#This Row],[1级]]&amp;"-"&amp;表_网址[[#This Row],[2级]]&amp;"-"&amp;表_网址[[#This Row],[3级]]&amp;"-"&amp;表_网址[[#This Row],[级内]]</f>
        <v>991-13-14-112</v>
      </c>
      <c r="B535">
        <f>VLOOKUP(表_网址[[#This Row],[首要关键词]],表_首次要关键词[[首要关键词]:[排序]],2,0)</f>
        <v>991</v>
      </c>
      <c r="C535" s="4">
        <f ca="1">IF(表_网址[[#This Row],[次要关键词]]="",10,MATCH(表_网址[[#This Row],[次要关键词]],次要关键词,0)+10)</f>
        <v>13</v>
      </c>
      <c r="D535">
        <f ca="1">IF(表_网址[[#This Row],[重点关键词]]="",10,MATCH(表_网址[[#This Row],[重点关键词]],OFFSET(重点关键词!$A$1,MATCH($J535,首要关键词,0)*50-48,MATCH($K535,次要关键词,0),重点关键词数量,1),0)+10)</f>
        <v>14</v>
      </c>
      <c r="E535">
        <f ca="1">IF(AND(表_网址[[#This Row],[1级]]=B534,表_网址[[#This Row],[2级]]=C534,表_网址[[#This Row],[3级]]=D534),E534+1,101)</f>
        <v>112</v>
      </c>
      <c r="F535" t="s">
        <v>1618</v>
      </c>
      <c r="G535" t="s">
        <v>1619</v>
      </c>
      <c r="I535" t="s">
        <v>1620</v>
      </c>
      <c r="J535" t="s">
        <v>59</v>
      </c>
      <c r="K535" t="s">
        <v>1573</v>
      </c>
      <c r="L535" t="s">
        <v>1587</v>
      </c>
      <c r="M535">
        <v>999</v>
      </c>
      <c r="N535">
        <v>999</v>
      </c>
    </row>
    <row r="536" spans="1:14" x14ac:dyDescent="0.2">
      <c r="A536" t="str">
        <f ca="1">表_网址[[#This Row],[1级]]&amp;"-"&amp;表_网址[[#This Row],[2级]]&amp;"-"&amp;表_网址[[#This Row],[3级]]&amp;"-"&amp;表_网址[[#This Row],[级内]]</f>
        <v>991-13-14-113</v>
      </c>
      <c r="B536">
        <f>VLOOKUP(表_网址[[#This Row],[首要关键词]],表_首次要关键词[[首要关键词]:[排序]],2,0)</f>
        <v>991</v>
      </c>
      <c r="C536" s="4">
        <f ca="1">IF(表_网址[[#This Row],[次要关键词]]="",10,MATCH(表_网址[[#This Row],[次要关键词]],次要关键词,0)+10)</f>
        <v>13</v>
      </c>
      <c r="D536">
        <f ca="1">IF(表_网址[[#This Row],[重点关键词]]="",10,MATCH(表_网址[[#This Row],[重点关键词]],OFFSET(重点关键词!$A$1,MATCH($J536,首要关键词,0)*50-48,MATCH($K536,次要关键词,0),重点关键词数量,1),0)+10)</f>
        <v>14</v>
      </c>
      <c r="E536">
        <f ca="1">IF(AND(表_网址[[#This Row],[1级]]=B535,表_网址[[#This Row],[2级]]=C535,表_网址[[#This Row],[3级]]=D535),E535+1,101)</f>
        <v>113</v>
      </c>
      <c r="F536" t="s">
        <v>1621</v>
      </c>
      <c r="G536" t="s">
        <v>1622</v>
      </c>
      <c r="J536" t="s">
        <v>59</v>
      </c>
      <c r="K536" t="s">
        <v>1573</v>
      </c>
      <c r="L536" t="s">
        <v>1587</v>
      </c>
      <c r="M536">
        <v>999</v>
      </c>
    </row>
    <row r="537" spans="1:14" x14ac:dyDescent="0.2">
      <c r="A537" t="str">
        <f ca="1">表_网址[[#This Row],[1级]]&amp;"-"&amp;表_网址[[#This Row],[2级]]&amp;"-"&amp;表_网址[[#This Row],[3级]]&amp;"-"&amp;表_网址[[#This Row],[级内]]</f>
        <v>991-13-14-114</v>
      </c>
      <c r="B537">
        <f>VLOOKUP(表_网址[[#This Row],[首要关键词]],表_首次要关键词[[首要关键词]:[排序]],2,0)</f>
        <v>991</v>
      </c>
      <c r="C537" s="4">
        <f ca="1">IF(表_网址[[#This Row],[次要关键词]]="",10,MATCH(表_网址[[#This Row],[次要关键词]],次要关键词,0)+10)</f>
        <v>13</v>
      </c>
      <c r="D537">
        <f ca="1">IF(表_网址[[#This Row],[重点关键词]]="",10,MATCH(表_网址[[#This Row],[重点关键词]],OFFSET(重点关键词!$A$1,MATCH($J537,首要关键词,0)*50-48,MATCH($K537,次要关键词,0),重点关键词数量,1),0)+10)</f>
        <v>14</v>
      </c>
      <c r="E537">
        <f ca="1">IF(AND(表_网址[[#This Row],[1级]]=B536,表_网址[[#This Row],[2级]]=C536,表_网址[[#This Row],[3级]]=D536),E536+1,101)</f>
        <v>114</v>
      </c>
      <c r="F537" t="s">
        <v>1623</v>
      </c>
      <c r="G537" t="s">
        <v>1624</v>
      </c>
      <c r="I537" t="s">
        <v>1625</v>
      </c>
      <c r="J537" t="s">
        <v>59</v>
      </c>
      <c r="K537" t="s">
        <v>1573</v>
      </c>
      <c r="L537" t="s">
        <v>1587</v>
      </c>
      <c r="M537">
        <v>999</v>
      </c>
      <c r="N537">
        <v>999</v>
      </c>
    </row>
    <row r="538" spans="1:14" x14ac:dyDescent="0.2">
      <c r="A538" t="str">
        <f ca="1">表_网址[[#This Row],[1级]]&amp;"-"&amp;表_网址[[#This Row],[2级]]&amp;"-"&amp;表_网址[[#This Row],[3级]]&amp;"-"&amp;表_网址[[#This Row],[级内]]</f>
        <v>991-13-14-115</v>
      </c>
      <c r="B538">
        <f>VLOOKUP(表_网址[[#This Row],[首要关键词]],表_首次要关键词[[首要关键词]:[排序]],2,0)</f>
        <v>991</v>
      </c>
      <c r="C538" s="4">
        <f ca="1">IF(表_网址[[#This Row],[次要关键词]]="",10,MATCH(表_网址[[#This Row],[次要关键词]],次要关键词,0)+10)</f>
        <v>13</v>
      </c>
      <c r="D538">
        <f ca="1">IF(表_网址[[#This Row],[重点关键词]]="",10,MATCH(表_网址[[#This Row],[重点关键词]],OFFSET(重点关键词!$A$1,MATCH($J538,首要关键词,0)*50-48,MATCH($K538,次要关键词,0),重点关键词数量,1),0)+10)</f>
        <v>14</v>
      </c>
      <c r="E538">
        <f ca="1">IF(AND(表_网址[[#This Row],[1级]]=B537,表_网址[[#This Row],[2级]]=C537,表_网址[[#This Row],[3级]]=D537),E537+1,101)</f>
        <v>115</v>
      </c>
      <c r="F538" t="s">
        <v>1626</v>
      </c>
      <c r="G538" t="s">
        <v>1627</v>
      </c>
      <c r="I538" t="s">
        <v>1628</v>
      </c>
      <c r="J538" t="s">
        <v>59</v>
      </c>
      <c r="K538" t="s">
        <v>1573</v>
      </c>
      <c r="L538" t="s">
        <v>1587</v>
      </c>
      <c r="M538">
        <v>999</v>
      </c>
      <c r="N538">
        <v>999</v>
      </c>
    </row>
    <row r="539" spans="1:14" x14ac:dyDescent="0.2">
      <c r="A539" t="str">
        <f ca="1">表_网址[[#This Row],[1级]]&amp;"-"&amp;表_网址[[#This Row],[2级]]&amp;"-"&amp;表_网址[[#This Row],[3级]]&amp;"-"&amp;表_网址[[#This Row],[级内]]</f>
        <v>991-13-14-116</v>
      </c>
      <c r="B539">
        <f>VLOOKUP(表_网址[[#This Row],[首要关键词]],表_首次要关键词[[首要关键词]:[排序]],2,0)</f>
        <v>991</v>
      </c>
      <c r="C539" s="4">
        <f ca="1">IF(表_网址[[#This Row],[次要关键词]]="",10,MATCH(表_网址[[#This Row],[次要关键词]],次要关键词,0)+10)</f>
        <v>13</v>
      </c>
      <c r="D539">
        <f ca="1">IF(表_网址[[#This Row],[重点关键词]]="",10,MATCH(表_网址[[#This Row],[重点关键词]],OFFSET(重点关键词!$A$1,MATCH($J539,首要关键词,0)*50-48,MATCH($K539,次要关键词,0),重点关键词数量,1),0)+10)</f>
        <v>14</v>
      </c>
      <c r="E539">
        <f ca="1">IF(AND(表_网址[[#This Row],[1级]]=B538,表_网址[[#This Row],[2级]]=C538,表_网址[[#This Row],[3级]]=D538),E538+1,101)</f>
        <v>116</v>
      </c>
      <c r="F539" t="s">
        <v>1629</v>
      </c>
      <c r="G539" t="s">
        <v>1630</v>
      </c>
      <c r="I539" t="s">
        <v>1631</v>
      </c>
      <c r="J539" t="s">
        <v>59</v>
      </c>
      <c r="K539" t="s">
        <v>1573</v>
      </c>
      <c r="L539" t="s">
        <v>1587</v>
      </c>
      <c r="M539">
        <v>999</v>
      </c>
      <c r="N539">
        <v>999</v>
      </c>
    </row>
    <row r="540" spans="1:14" x14ac:dyDescent="0.2">
      <c r="A540" t="str">
        <f ca="1">表_网址[[#This Row],[1级]]&amp;"-"&amp;表_网址[[#This Row],[2级]]&amp;"-"&amp;表_网址[[#This Row],[3级]]&amp;"-"&amp;表_网址[[#This Row],[级内]]</f>
        <v>991-13-14-117</v>
      </c>
      <c r="B540">
        <f>VLOOKUP(表_网址[[#This Row],[首要关键词]],表_首次要关键词[[首要关键词]:[排序]],2,0)</f>
        <v>991</v>
      </c>
      <c r="C540" s="4">
        <f ca="1">IF(表_网址[[#This Row],[次要关键词]]="",10,MATCH(表_网址[[#This Row],[次要关键词]],次要关键词,0)+10)</f>
        <v>13</v>
      </c>
      <c r="D540">
        <f ca="1">IF(表_网址[[#This Row],[重点关键词]]="",10,MATCH(表_网址[[#This Row],[重点关键词]],OFFSET(重点关键词!$A$1,MATCH($J540,首要关键词,0)*50-48,MATCH($K540,次要关键词,0),重点关键词数量,1),0)+10)</f>
        <v>14</v>
      </c>
      <c r="E540">
        <f ca="1">IF(AND(表_网址[[#This Row],[1级]]=B539,表_网址[[#This Row],[2级]]=C539,表_网址[[#This Row],[3级]]=D539),E539+1,101)</f>
        <v>117</v>
      </c>
      <c r="F540" t="s">
        <v>1632</v>
      </c>
      <c r="G540" t="s">
        <v>1633</v>
      </c>
      <c r="J540" t="s">
        <v>59</v>
      </c>
      <c r="K540" t="s">
        <v>1573</v>
      </c>
      <c r="L540" t="s">
        <v>1587</v>
      </c>
      <c r="M540">
        <v>999</v>
      </c>
    </row>
    <row r="541" spans="1:14" x14ac:dyDescent="0.2">
      <c r="A541" t="str">
        <f ca="1">表_网址[[#This Row],[1级]]&amp;"-"&amp;表_网址[[#This Row],[2级]]&amp;"-"&amp;表_网址[[#This Row],[3级]]&amp;"-"&amp;表_网址[[#This Row],[级内]]</f>
        <v>991-13-14-118</v>
      </c>
      <c r="B541">
        <f>VLOOKUP(表_网址[[#This Row],[首要关键词]],表_首次要关键词[[首要关键词]:[排序]],2,0)</f>
        <v>991</v>
      </c>
      <c r="C541" s="4">
        <f ca="1">IF(表_网址[[#This Row],[次要关键词]]="",10,MATCH(表_网址[[#This Row],[次要关键词]],次要关键词,0)+10)</f>
        <v>13</v>
      </c>
      <c r="D541">
        <f ca="1">IF(表_网址[[#This Row],[重点关键词]]="",10,MATCH(表_网址[[#This Row],[重点关键词]],OFFSET(重点关键词!$A$1,MATCH($J541,首要关键词,0)*50-48,MATCH($K541,次要关键词,0),重点关键词数量,1),0)+10)</f>
        <v>14</v>
      </c>
      <c r="E541">
        <f ca="1">IF(AND(表_网址[[#This Row],[1级]]=B540,表_网址[[#This Row],[2级]]=C540,表_网址[[#This Row],[3级]]=D540),E540+1,101)</f>
        <v>118</v>
      </c>
      <c r="F541" t="s">
        <v>1634</v>
      </c>
      <c r="G541" t="s">
        <v>1635</v>
      </c>
      <c r="I541" t="s">
        <v>1636</v>
      </c>
      <c r="J541" t="s">
        <v>59</v>
      </c>
      <c r="K541" t="s">
        <v>1573</v>
      </c>
      <c r="L541" t="s">
        <v>1587</v>
      </c>
      <c r="M541">
        <v>999</v>
      </c>
      <c r="N541">
        <v>999</v>
      </c>
    </row>
    <row r="542" spans="1:14" x14ac:dyDescent="0.2">
      <c r="A542" t="str">
        <f ca="1">表_网址[[#This Row],[1级]]&amp;"-"&amp;表_网址[[#This Row],[2级]]&amp;"-"&amp;表_网址[[#This Row],[3级]]&amp;"-"&amp;表_网址[[#This Row],[级内]]</f>
        <v>991-13-14-119</v>
      </c>
      <c r="B542">
        <f>VLOOKUP(表_网址[[#This Row],[首要关键词]],表_首次要关键词[[首要关键词]:[排序]],2,0)</f>
        <v>991</v>
      </c>
      <c r="C542" s="4">
        <f ca="1">IF(表_网址[[#This Row],[次要关键词]]="",10,MATCH(表_网址[[#This Row],[次要关键词]],次要关键词,0)+10)</f>
        <v>13</v>
      </c>
      <c r="D542">
        <f ca="1">IF(表_网址[[#This Row],[重点关键词]]="",10,MATCH(表_网址[[#This Row],[重点关键词]],OFFSET(重点关键词!$A$1,MATCH($J542,首要关键词,0)*50-48,MATCH($K542,次要关键词,0),重点关键词数量,1),0)+10)</f>
        <v>14</v>
      </c>
      <c r="E542">
        <f ca="1">IF(AND(表_网址[[#This Row],[1级]]=B541,表_网址[[#This Row],[2级]]=C541,表_网址[[#This Row],[3级]]=D541),E541+1,101)</f>
        <v>119</v>
      </c>
      <c r="F542" t="s">
        <v>1637</v>
      </c>
      <c r="G542" t="s">
        <v>1638</v>
      </c>
      <c r="I542" t="s">
        <v>1639</v>
      </c>
      <c r="J542" t="s">
        <v>59</v>
      </c>
      <c r="K542" t="s">
        <v>1573</v>
      </c>
      <c r="L542" t="s">
        <v>1587</v>
      </c>
      <c r="M542">
        <v>999</v>
      </c>
      <c r="N542">
        <v>999</v>
      </c>
    </row>
    <row r="543" spans="1:14" x14ac:dyDescent="0.2">
      <c r="A543" t="str">
        <f ca="1">表_网址[[#This Row],[1级]]&amp;"-"&amp;表_网址[[#This Row],[2级]]&amp;"-"&amp;表_网址[[#This Row],[3级]]&amp;"-"&amp;表_网址[[#This Row],[级内]]</f>
        <v>991-13-14-120</v>
      </c>
      <c r="B543">
        <f>VLOOKUP(表_网址[[#This Row],[首要关键词]],表_首次要关键词[[首要关键词]:[排序]],2,0)</f>
        <v>991</v>
      </c>
      <c r="C543" s="4">
        <f ca="1">IF(表_网址[[#This Row],[次要关键词]]="",10,MATCH(表_网址[[#This Row],[次要关键词]],次要关键词,0)+10)</f>
        <v>13</v>
      </c>
      <c r="D543">
        <f ca="1">IF(表_网址[[#This Row],[重点关键词]]="",10,MATCH(表_网址[[#This Row],[重点关键词]],OFFSET(重点关键词!$A$1,MATCH($J543,首要关键词,0)*50-48,MATCH($K543,次要关键词,0),重点关键词数量,1),0)+10)</f>
        <v>14</v>
      </c>
      <c r="E543">
        <f ca="1">IF(AND(表_网址[[#This Row],[1级]]=B542,表_网址[[#This Row],[2级]]=C542,表_网址[[#This Row],[3级]]=D542),E542+1,101)</f>
        <v>120</v>
      </c>
      <c r="F543" t="s">
        <v>1640</v>
      </c>
      <c r="G543" t="s">
        <v>1641</v>
      </c>
      <c r="I543" t="s">
        <v>1642</v>
      </c>
      <c r="J543" t="s">
        <v>59</v>
      </c>
      <c r="K543" t="s">
        <v>1573</v>
      </c>
      <c r="L543" t="s">
        <v>1587</v>
      </c>
      <c r="M543">
        <v>999</v>
      </c>
      <c r="N543">
        <v>999</v>
      </c>
    </row>
    <row r="544" spans="1:14" x14ac:dyDescent="0.2">
      <c r="A544" t="str">
        <f ca="1">表_网址[[#This Row],[1级]]&amp;"-"&amp;表_网址[[#This Row],[2级]]&amp;"-"&amp;表_网址[[#This Row],[3级]]&amp;"-"&amp;表_网址[[#This Row],[级内]]</f>
        <v>991-13-14-121</v>
      </c>
      <c r="B544">
        <f>VLOOKUP(表_网址[[#This Row],[首要关键词]],表_首次要关键词[[首要关键词]:[排序]],2,0)</f>
        <v>991</v>
      </c>
      <c r="C544" s="4">
        <f ca="1">IF(表_网址[[#This Row],[次要关键词]]="",10,MATCH(表_网址[[#This Row],[次要关键词]],次要关键词,0)+10)</f>
        <v>13</v>
      </c>
      <c r="D544">
        <f ca="1">IF(表_网址[[#This Row],[重点关键词]]="",10,MATCH(表_网址[[#This Row],[重点关键词]],OFFSET(重点关键词!$A$1,MATCH($J544,首要关键词,0)*50-48,MATCH($K544,次要关键词,0),重点关键词数量,1),0)+10)</f>
        <v>14</v>
      </c>
      <c r="E544">
        <f ca="1">IF(AND(表_网址[[#This Row],[1级]]=B543,表_网址[[#This Row],[2级]]=C543,表_网址[[#This Row],[3级]]=D543),E543+1,101)</f>
        <v>121</v>
      </c>
      <c r="F544" t="s">
        <v>1643</v>
      </c>
      <c r="G544" t="s">
        <v>1644</v>
      </c>
      <c r="I544" t="s">
        <v>1645</v>
      </c>
      <c r="J544" t="s">
        <v>59</v>
      </c>
      <c r="K544" t="s">
        <v>1573</v>
      </c>
      <c r="L544" t="s">
        <v>1587</v>
      </c>
      <c r="M544">
        <v>999</v>
      </c>
      <c r="N544">
        <v>999</v>
      </c>
    </row>
    <row r="545" spans="1:16" x14ac:dyDescent="0.2">
      <c r="A545" t="str">
        <f ca="1">表_网址[[#This Row],[1级]]&amp;"-"&amp;表_网址[[#This Row],[2级]]&amp;"-"&amp;表_网址[[#This Row],[3级]]&amp;"-"&amp;表_网址[[#This Row],[级内]]</f>
        <v>991-13-14-122</v>
      </c>
      <c r="B545">
        <f>VLOOKUP(表_网址[[#This Row],[首要关键词]],表_首次要关键词[[首要关键词]:[排序]],2,0)</f>
        <v>991</v>
      </c>
      <c r="C545" s="4">
        <f ca="1">IF(表_网址[[#This Row],[次要关键词]]="",10,MATCH(表_网址[[#This Row],[次要关键词]],次要关键词,0)+10)</f>
        <v>13</v>
      </c>
      <c r="D545">
        <f ca="1">IF(表_网址[[#This Row],[重点关键词]]="",10,MATCH(表_网址[[#This Row],[重点关键词]],OFFSET(重点关键词!$A$1,MATCH($J545,首要关键词,0)*50-48,MATCH($K545,次要关键词,0),重点关键词数量,1),0)+10)</f>
        <v>14</v>
      </c>
      <c r="E545">
        <f ca="1">IF(AND(表_网址[[#This Row],[1级]]=B544,表_网址[[#This Row],[2级]]=C544,表_网址[[#This Row],[3级]]=D544),E544+1,101)</f>
        <v>122</v>
      </c>
      <c r="F545" t="s">
        <v>1646</v>
      </c>
      <c r="G545" t="s">
        <v>1647</v>
      </c>
      <c r="I545" t="s">
        <v>1648</v>
      </c>
      <c r="J545" t="s">
        <v>59</v>
      </c>
      <c r="K545" t="s">
        <v>1573</v>
      </c>
      <c r="L545" t="s">
        <v>1587</v>
      </c>
      <c r="M545">
        <v>999</v>
      </c>
      <c r="N545">
        <v>999</v>
      </c>
    </row>
    <row r="546" spans="1:16" x14ac:dyDescent="0.2">
      <c r="A546" t="str">
        <f ca="1">表_网址[[#This Row],[1级]]&amp;"-"&amp;表_网址[[#This Row],[2级]]&amp;"-"&amp;表_网址[[#This Row],[3级]]&amp;"-"&amp;表_网址[[#This Row],[级内]]</f>
        <v>991-13-14-123</v>
      </c>
      <c r="B546">
        <f>VLOOKUP(表_网址[[#This Row],[首要关键词]],表_首次要关键词[[首要关键词]:[排序]],2,0)</f>
        <v>991</v>
      </c>
      <c r="C546" s="4">
        <f ca="1">IF(表_网址[[#This Row],[次要关键词]]="",10,MATCH(表_网址[[#This Row],[次要关键词]],次要关键词,0)+10)</f>
        <v>13</v>
      </c>
      <c r="D546">
        <f ca="1">IF(表_网址[[#This Row],[重点关键词]]="",10,MATCH(表_网址[[#This Row],[重点关键词]],OFFSET(重点关键词!$A$1,MATCH($J546,首要关键词,0)*50-48,MATCH($K546,次要关键词,0),重点关键词数量,1),0)+10)</f>
        <v>14</v>
      </c>
      <c r="E546">
        <f ca="1">IF(AND(表_网址[[#This Row],[1级]]=B545,表_网址[[#This Row],[2级]]=C545,表_网址[[#This Row],[3级]]=D545),E545+1,101)</f>
        <v>123</v>
      </c>
      <c r="F546" t="s">
        <v>1649</v>
      </c>
      <c r="G546" t="s">
        <v>1650</v>
      </c>
      <c r="I546" t="s">
        <v>1651</v>
      </c>
      <c r="J546" t="s">
        <v>59</v>
      </c>
      <c r="K546" t="s">
        <v>1573</v>
      </c>
      <c r="L546" t="s">
        <v>1587</v>
      </c>
      <c r="M546">
        <v>999</v>
      </c>
      <c r="N546">
        <v>999</v>
      </c>
    </row>
    <row r="547" spans="1:16" x14ac:dyDescent="0.2">
      <c r="A547" t="str">
        <f ca="1">表_网址[[#This Row],[1级]]&amp;"-"&amp;表_网址[[#This Row],[2级]]&amp;"-"&amp;表_网址[[#This Row],[3级]]&amp;"-"&amp;表_网址[[#This Row],[级内]]</f>
        <v>991-13-14-124</v>
      </c>
      <c r="B547">
        <f>VLOOKUP(表_网址[[#This Row],[首要关键词]],表_首次要关键词[[首要关键词]:[排序]],2,0)</f>
        <v>991</v>
      </c>
      <c r="C547" s="4">
        <f ca="1">IF(表_网址[[#This Row],[次要关键词]]="",10,MATCH(表_网址[[#This Row],[次要关键词]],次要关键词,0)+10)</f>
        <v>13</v>
      </c>
      <c r="D547">
        <f ca="1">IF(表_网址[[#This Row],[重点关键词]]="",10,MATCH(表_网址[[#This Row],[重点关键词]],OFFSET(重点关键词!$A$1,MATCH($J547,首要关键词,0)*50-48,MATCH($K547,次要关键词,0),重点关键词数量,1),0)+10)</f>
        <v>14</v>
      </c>
      <c r="E547">
        <f ca="1">IF(AND(表_网址[[#This Row],[1级]]=B546,表_网址[[#This Row],[2级]]=C546,表_网址[[#This Row],[3级]]=D546),E546+1,101)</f>
        <v>124</v>
      </c>
      <c r="F547" t="s">
        <v>1652</v>
      </c>
      <c r="G547" t="s">
        <v>1653</v>
      </c>
      <c r="I547" t="s">
        <v>1654</v>
      </c>
      <c r="J547" t="s">
        <v>59</v>
      </c>
      <c r="K547" t="s">
        <v>1573</v>
      </c>
      <c r="L547" t="s">
        <v>1587</v>
      </c>
      <c r="M547">
        <v>999</v>
      </c>
      <c r="N547">
        <v>999</v>
      </c>
    </row>
    <row r="548" spans="1:16" x14ac:dyDescent="0.2">
      <c r="A548" t="str">
        <f ca="1">表_网址[[#This Row],[1级]]&amp;"-"&amp;表_网址[[#This Row],[2级]]&amp;"-"&amp;表_网址[[#This Row],[3级]]&amp;"-"&amp;表_网址[[#This Row],[级内]]</f>
        <v>991-13-14-125</v>
      </c>
      <c r="B548">
        <f>VLOOKUP(表_网址[[#This Row],[首要关键词]],表_首次要关键词[[首要关键词]:[排序]],2,0)</f>
        <v>991</v>
      </c>
      <c r="C548" s="4">
        <f ca="1">IF(表_网址[[#This Row],[次要关键词]]="",10,MATCH(表_网址[[#This Row],[次要关键词]],次要关键词,0)+10)</f>
        <v>13</v>
      </c>
      <c r="D548">
        <f ca="1">IF(表_网址[[#This Row],[重点关键词]]="",10,MATCH(表_网址[[#This Row],[重点关键词]],OFFSET(重点关键词!$A$1,MATCH($J548,首要关键词,0)*50-48,MATCH($K548,次要关键词,0),重点关键词数量,1),0)+10)</f>
        <v>14</v>
      </c>
      <c r="E548">
        <f ca="1">IF(AND(表_网址[[#This Row],[1级]]=B547,表_网址[[#This Row],[2级]]=C547,表_网址[[#This Row],[3级]]=D547),E547+1,101)</f>
        <v>125</v>
      </c>
      <c r="F548" t="s">
        <v>1655</v>
      </c>
      <c r="G548" t="s">
        <v>1656</v>
      </c>
      <c r="I548" t="s">
        <v>1657</v>
      </c>
      <c r="J548" t="s">
        <v>59</v>
      </c>
      <c r="K548" t="s">
        <v>1573</v>
      </c>
      <c r="L548" t="s">
        <v>1587</v>
      </c>
      <c r="M548">
        <v>999</v>
      </c>
      <c r="N548">
        <v>999</v>
      </c>
    </row>
    <row r="549" spans="1:16" x14ac:dyDescent="0.2">
      <c r="A549" t="str">
        <f ca="1">表_网址[[#This Row],[1级]]&amp;"-"&amp;表_网址[[#This Row],[2级]]&amp;"-"&amp;表_网址[[#This Row],[3级]]&amp;"-"&amp;表_网址[[#This Row],[级内]]</f>
        <v>991-13-14-126</v>
      </c>
      <c r="B549">
        <f>VLOOKUP(表_网址[[#This Row],[首要关键词]],表_首次要关键词[[首要关键词]:[排序]],2,0)</f>
        <v>991</v>
      </c>
      <c r="C549" s="4">
        <f ca="1">IF(表_网址[[#This Row],[次要关键词]]="",10,MATCH(表_网址[[#This Row],[次要关键词]],次要关键词,0)+10)</f>
        <v>13</v>
      </c>
      <c r="D549">
        <f ca="1">IF(表_网址[[#This Row],[重点关键词]]="",10,MATCH(表_网址[[#This Row],[重点关键词]],OFFSET(重点关键词!$A$1,MATCH($J549,首要关键词,0)*50-48,MATCH($K549,次要关键词,0),重点关键词数量,1),0)+10)</f>
        <v>14</v>
      </c>
      <c r="E549">
        <f ca="1">IF(AND(表_网址[[#This Row],[1级]]=B548,表_网址[[#This Row],[2级]]=C548,表_网址[[#This Row],[3级]]=D548),E548+1,101)</f>
        <v>126</v>
      </c>
      <c r="F549" t="s">
        <v>1658</v>
      </c>
      <c r="G549" t="s">
        <v>1659</v>
      </c>
      <c r="I549" t="s">
        <v>1660</v>
      </c>
      <c r="J549" t="s">
        <v>59</v>
      </c>
      <c r="K549" t="s">
        <v>1573</v>
      </c>
      <c r="L549" t="s">
        <v>1587</v>
      </c>
      <c r="M549">
        <v>999</v>
      </c>
      <c r="N549">
        <v>999</v>
      </c>
    </row>
    <row r="550" spans="1:16" x14ac:dyDescent="0.2">
      <c r="A550" t="str">
        <f ca="1">表_网址[[#This Row],[1级]]&amp;"-"&amp;表_网址[[#This Row],[2级]]&amp;"-"&amp;表_网址[[#This Row],[3级]]&amp;"-"&amp;表_网址[[#This Row],[级内]]</f>
        <v>991-13-14-127</v>
      </c>
      <c r="B550">
        <f>VLOOKUP(表_网址[[#This Row],[首要关键词]],表_首次要关键词[[首要关键词]:[排序]],2,0)</f>
        <v>991</v>
      </c>
      <c r="C550" s="4">
        <f ca="1">IF(表_网址[[#This Row],[次要关键词]]="",10,MATCH(表_网址[[#This Row],[次要关键词]],次要关键词,0)+10)</f>
        <v>13</v>
      </c>
      <c r="D550">
        <f ca="1">IF(表_网址[[#This Row],[重点关键词]]="",10,MATCH(表_网址[[#This Row],[重点关键词]],OFFSET(重点关键词!$A$1,MATCH($J550,首要关键词,0)*50-48,MATCH($K550,次要关键词,0),重点关键词数量,1),0)+10)</f>
        <v>14</v>
      </c>
      <c r="E550">
        <f ca="1">IF(AND(表_网址[[#This Row],[1级]]=B549,表_网址[[#This Row],[2级]]=C549,表_网址[[#This Row],[3级]]=D549),E549+1,101)</f>
        <v>127</v>
      </c>
      <c r="F550" t="s">
        <v>1661</v>
      </c>
      <c r="G550" t="s">
        <v>1662</v>
      </c>
      <c r="H550" t="s">
        <v>82</v>
      </c>
      <c r="J550" t="s">
        <v>59</v>
      </c>
      <c r="K550" t="s">
        <v>1573</v>
      </c>
      <c r="L550" t="s">
        <v>1587</v>
      </c>
      <c r="M550">
        <v>999</v>
      </c>
    </row>
    <row r="551" spans="1:16" x14ac:dyDescent="0.2">
      <c r="A551" t="str">
        <f ca="1">表_网址[[#This Row],[1级]]&amp;"-"&amp;表_网址[[#This Row],[2级]]&amp;"-"&amp;表_网址[[#This Row],[3级]]&amp;"-"&amp;表_网址[[#This Row],[级内]]</f>
        <v>991-13-14-128</v>
      </c>
      <c r="B551">
        <f>VLOOKUP(表_网址[[#This Row],[首要关键词]],表_首次要关键词[[首要关键词]:[排序]],2,0)</f>
        <v>991</v>
      </c>
      <c r="C551" s="4">
        <f ca="1">IF(表_网址[[#This Row],[次要关键词]]="",10,MATCH(表_网址[[#This Row],[次要关键词]],次要关键词,0)+10)</f>
        <v>13</v>
      </c>
      <c r="D551">
        <f ca="1">IF(表_网址[[#This Row],[重点关键词]]="",10,MATCH(表_网址[[#This Row],[重点关键词]],OFFSET(重点关键词!$A$1,MATCH($J551,首要关键词,0)*50-48,MATCH($K551,次要关键词,0),重点关键词数量,1),0)+10)</f>
        <v>14</v>
      </c>
      <c r="E551">
        <f ca="1">IF(AND(表_网址[[#This Row],[1级]]=B550,表_网址[[#This Row],[2级]]=C550,表_网址[[#This Row],[3级]]=D550),E550+1,101)</f>
        <v>128</v>
      </c>
      <c r="F551" t="s">
        <v>1663</v>
      </c>
      <c r="G551" t="s">
        <v>1664</v>
      </c>
      <c r="H551" t="s">
        <v>82</v>
      </c>
      <c r="J551" t="s">
        <v>59</v>
      </c>
      <c r="K551" t="s">
        <v>1573</v>
      </c>
      <c r="L551" t="s">
        <v>1587</v>
      </c>
      <c r="M551">
        <v>999</v>
      </c>
    </row>
    <row r="552" spans="1:16" x14ac:dyDescent="0.2">
      <c r="A552" t="str">
        <f ca="1">表_网址[[#This Row],[1级]]&amp;"-"&amp;表_网址[[#This Row],[2级]]&amp;"-"&amp;表_网址[[#This Row],[3级]]&amp;"-"&amp;表_网址[[#This Row],[级内]]</f>
        <v>991-13-14-129</v>
      </c>
      <c r="B552">
        <f>VLOOKUP(表_网址[[#This Row],[首要关键词]],表_首次要关键词[[首要关键词]:[排序]],2,0)</f>
        <v>991</v>
      </c>
      <c r="C552" s="4">
        <f ca="1">IF(表_网址[[#This Row],[次要关键词]]="",10,MATCH(表_网址[[#This Row],[次要关键词]],次要关键词,0)+10)</f>
        <v>13</v>
      </c>
      <c r="D552">
        <f ca="1">IF(表_网址[[#This Row],[重点关键词]]="",10,MATCH(表_网址[[#This Row],[重点关键词]],OFFSET(重点关键词!$A$1,MATCH($J552,首要关键词,0)*50-48,MATCH($K552,次要关键词,0),重点关键词数量,1),0)+10)</f>
        <v>14</v>
      </c>
      <c r="E552">
        <f ca="1">IF(AND(表_网址[[#This Row],[1级]]=B551,表_网址[[#This Row],[2级]]=C551,表_网址[[#This Row],[3级]]=D551),E551+1,101)</f>
        <v>129</v>
      </c>
      <c r="F552" t="s">
        <v>1665</v>
      </c>
      <c r="G552" t="s">
        <v>1666</v>
      </c>
      <c r="H552" t="s">
        <v>82</v>
      </c>
      <c r="J552" t="s">
        <v>59</v>
      </c>
      <c r="K552" t="s">
        <v>1573</v>
      </c>
      <c r="L552" t="s">
        <v>1587</v>
      </c>
      <c r="M552">
        <v>999</v>
      </c>
    </row>
    <row r="553" spans="1:16" x14ac:dyDescent="0.2">
      <c r="A553" t="str">
        <f ca="1">表_网址[[#This Row],[1级]]&amp;"-"&amp;表_网址[[#This Row],[2级]]&amp;"-"&amp;表_网址[[#This Row],[3级]]&amp;"-"&amp;表_网址[[#This Row],[级内]]</f>
        <v>991-13-14-130</v>
      </c>
      <c r="B553">
        <f>VLOOKUP(表_网址[[#This Row],[首要关键词]],表_首次要关键词[[首要关键词]:[排序]],2,0)</f>
        <v>991</v>
      </c>
      <c r="C553" s="4">
        <f ca="1">IF(表_网址[[#This Row],[次要关键词]]="",10,MATCH(表_网址[[#This Row],[次要关键词]],次要关键词,0)+10)</f>
        <v>13</v>
      </c>
      <c r="D553">
        <f ca="1">IF(表_网址[[#This Row],[重点关键词]]="",10,MATCH(表_网址[[#This Row],[重点关键词]],OFFSET(重点关键词!$A$1,MATCH($J553,首要关键词,0)*50-48,MATCH($K553,次要关键词,0),重点关键词数量,1),0)+10)</f>
        <v>14</v>
      </c>
      <c r="E553">
        <f ca="1">IF(AND(表_网址[[#This Row],[1级]]=B552,表_网址[[#This Row],[2级]]=C552,表_网址[[#This Row],[3级]]=D552),E552+1,101)</f>
        <v>130</v>
      </c>
      <c r="F553">
        <v>5566</v>
      </c>
      <c r="G553" t="s">
        <v>1667</v>
      </c>
      <c r="H553" t="s">
        <v>82</v>
      </c>
      <c r="J553" t="s">
        <v>59</v>
      </c>
      <c r="K553" t="s">
        <v>1573</v>
      </c>
      <c r="L553" t="s">
        <v>1587</v>
      </c>
      <c r="M553">
        <v>999</v>
      </c>
    </row>
    <row r="554" spans="1:16" x14ac:dyDescent="0.2">
      <c r="A554" t="str">
        <f ca="1">表_网址[[#This Row],[1级]]&amp;"-"&amp;表_网址[[#This Row],[2级]]&amp;"-"&amp;表_网址[[#This Row],[3级]]&amp;"-"&amp;表_网址[[#This Row],[级内]]</f>
        <v>991-13-14-131</v>
      </c>
      <c r="B554">
        <f>VLOOKUP(表_网址[[#This Row],[首要关键词]],表_首次要关键词[[首要关键词]:[排序]],2,0)</f>
        <v>991</v>
      </c>
      <c r="C554" s="4">
        <f ca="1">IF(表_网址[[#This Row],[次要关键词]]="",10,MATCH(表_网址[[#This Row],[次要关键词]],次要关键词,0)+10)</f>
        <v>13</v>
      </c>
      <c r="D554">
        <f ca="1">IF(表_网址[[#This Row],[重点关键词]]="",10,MATCH(表_网址[[#This Row],[重点关键词]],OFFSET(重点关键词!$A$1,MATCH($J554,首要关键词,0)*50-48,MATCH($K554,次要关键词,0),重点关键词数量,1),0)+10)</f>
        <v>14</v>
      </c>
      <c r="E554">
        <f ca="1">IF(AND(表_网址[[#This Row],[1级]]=B553,表_网址[[#This Row],[2级]]=C553,表_网址[[#This Row],[3级]]=D553),E553+1,101)</f>
        <v>131</v>
      </c>
      <c r="F554">
        <v>7999</v>
      </c>
      <c r="G554" t="s">
        <v>1668</v>
      </c>
      <c r="H554" t="s">
        <v>82</v>
      </c>
      <c r="J554" t="s">
        <v>59</v>
      </c>
      <c r="K554" t="s">
        <v>1573</v>
      </c>
      <c r="L554" t="s">
        <v>1587</v>
      </c>
      <c r="M554">
        <v>999</v>
      </c>
    </row>
    <row r="555" spans="1:16" x14ac:dyDescent="0.2">
      <c r="A555" t="str">
        <f ca="1">表_网址[[#This Row],[1级]]&amp;"-"&amp;表_网址[[#This Row],[2级]]&amp;"-"&amp;表_网址[[#This Row],[3级]]&amp;"-"&amp;表_网址[[#This Row],[级内]]</f>
        <v>991-13-14-132</v>
      </c>
      <c r="B555">
        <f>VLOOKUP(表_网址[[#This Row],[首要关键词]],表_首次要关键词[[首要关键词]:[排序]],2,0)</f>
        <v>991</v>
      </c>
      <c r="C555" s="4">
        <f ca="1">IF(表_网址[[#This Row],[次要关键词]]="",10,MATCH(表_网址[[#This Row],[次要关键词]],次要关键词,0)+10)</f>
        <v>13</v>
      </c>
      <c r="D555">
        <f ca="1">IF(表_网址[[#This Row],[重点关键词]]="",10,MATCH(表_网址[[#This Row],[重点关键词]],OFFSET(重点关键词!$A$1,MATCH($J555,首要关键词,0)*50-48,MATCH($K555,次要关键词,0),重点关键词数量,1),0)+10)</f>
        <v>14</v>
      </c>
      <c r="E555">
        <f ca="1">IF(AND(表_网址[[#This Row],[1级]]=B554,表_网址[[#This Row],[2级]]=C554,表_网址[[#This Row],[3级]]=D554),E554+1,101)</f>
        <v>132</v>
      </c>
      <c r="F555" t="s">
        <v>1669</v>
      </c>
      <c r="G555" t="s">
        <v>1670</v>
      </c>
      <c r="H555" t="s">
        <v>82</v>
      </c>
      <c r="J555" t="s">
        <v>59</v>
      </c>
      <c r="K555" t="s">
        <v>1573</v>
      </c>
      <c r="L555" t="s">
        <v>1587</v>
      </c>
      <c r="M555">
        <v>999</v>
      </c>
    </row>
    <row r="556" spans="1:16" x14ac:dyDescent="0.2">
      <c r="A556" t="str">
        <f ca="1">表_网址[[#This Row],[1级]]&amp;"-"&amp;表_网址[[#This Row],[2级]]&amp;"-"&amp;表_网址[[#This Row],[3级]]&amp;"-"&amp;表_网址[[#This Row],[级内]]</f>
        <v>991-13-14-133</v>
      </c>
      <c r="B556">
        <f>VLOOKUP(表_网址[[#This Row],[首要关键词]],表_首次要关键词[[首要关键词]:[排序]],2,0)</f>
        <v>991</v>
      </c>
      <c r="C556" s="4">
        <f ca="1">IF(表_网址[[#This Row],[次要关键词]]="",10,MATCH(表_网址[[#This Row],[次要关键词]],次要关键词,0)+10)</f>
        <v>13</v>
      </c>
      <c r="D556">
        <f ca="1">IF(表_网址[[#This Row],[重点关键词]]="",10,MATCH(表_网址[[#This Row],[重点关键词]],OFFSET(重点关键词!$A$1,MATCH($J556,首要关键词,0)*50-48,MATCH($K556,次要关键词,0),重点关键词数量,1),0)+10)</f>
        <v>14</v>
      </c>
      <c r="E556">
        <f ca="1">IF(AND(表_网址[[#This Row],[1级]]=B555,表_网址[[#This Row],[2级]]=C555,表_网址[[#This Row],[3级]]=D555),E555+1,101)</f>
        <v>133</v>
      </c>
      <c r="F556" t="s">
        <v>1671</v>
      </c>
      <c r="G556" t="s">
        <v>1672</v>
      </c>
      <c r="H556" t="s">
        <v>82</v>
      </c>
      <c r="J556" t="s">
        <v>59</v>
      </c>
      <c r="K556" t="s">
        <v>1573</v>
      </c>
      <c r="L556" t="s">
        <v>1587</v>
      </c>
      <c r="M556">
        <v>999</v>
      </c>
    </row>
    <row r="557" spans="1:16" x14ac:dyDescent="0.2">
      <c r="A557" t="str">
        <f ca="1">表_网址[[#This Row],[1级]]&amp;"-"&amp;表_网址[[#This Row],[2级]]&amp;"-"&amp;表_网址[[#This Row],[3级]]&amp;"-"&amp;表_网址[[#This Row],[级内]]</f>
        <v>991-13-14-134</v>
      </c>
      <c r="B557">
        <f>VLOOKUP(表_网址[[#This Row],[首要关键词]],表_首次要关键词[[首要关键词]:[排序]],2,0)</f>
        <v>991</v>
      </c>
      <c r="C557" s="4">
        <f ca="1">IF(表_网址[[#This Row],[次要关键词]]="",10,MATCH(表_网址[[#This Row],[次要关键词]],次要关键词,0)+10)</f>
        <v>13</v>
      </c>
      <c r="D557">
        <f ca="1">IF(表_网址[[#This Row],[重点关键词]]="",10,MATCH(表_网址[[#This Row],[重点关键词]],OFFSET(重点关键词!$A$1,MATCH($J557,首要关键词,0)*50-48,MATCH($K557,次要关键词,0),重点关键词数量,1),0)+10)</f>
        <v>14</v>
      </c>
      <c r="E557">
        <f ca="1">IF(AND(表_网址[[#This Row],[1级]]=B556,表_网址[[#This Row],[2级]]=C556,表_网址[[#This Row],[3级]]=D556),E556+1,101)</f>
        <v>134</v>
      </c>
      <c r="F557" t="s">
        <v>1673</v>
      </c>
      <c r="G557" t="s">
        <v>1674</v>
      </c>
      <c r="H557" t="s">
        <v>82</v>
      </c>
      <c r="J557" t="s">
        <v>59</v>
      </c>
      <c r="K557" t="s">
        <v>1573</v>
      </c>
      <c r="L557" t="s">
        <v>1587</v>
      </c>
      <c r="M557">
        <v>999</v>
      </c>
    </row>
    <row r="558" spans="1:16" x14ac:dyDescent="0.2">
      <c r="A558" t="str">
        <f ca="1">表_网址[[#This Row],[1级]]&amp;"-"&amp;表_网址[[#This Row],[2级]]&amp;"-"&amp;表_网址[[#This Row],[3级]]&amp;"-"&amp;表_网址[[#This Row],[级内]]</f>
        <v>991-13-14-135</v>
      </c>
      <c r="B558">
        <f>VLOOKUP(表_网址[[#This Row],[首要关键词]],表_首次要关键词[[首要关键词]:[排序]],2,0)</f>
        <v>991</v>
      </c>
      <c r="C558" s="4">
        <f ca="1">IF(表_网址[[#This Row],[次要关键词]]="",10,MATCH(表_网址[[#This Row],[次要关键词]],次要关键词,0)+10)</f>
        <v>13</v>
      </c>
      <c r="D558">
        <f ca="1">IF(表_网址[[#This Row],[重点关键词]]="",10,MATCH(表_网址[[#This Row],[重点关键词]],OFFSET(重点关键词!$A$1,MATCH($J558,首要关键词,0)*50-48,MATCH($K558,次要关键词,0),重点关键词数量,1),0)+10)</f>
        <v>14</v>
      </c>
      <c r="E558">
        <f ca="1">IF(AND(表_网址[[#This Row],[1级]]=B557,表_网址[[#This Row],[2级]]=C557,表_网址[[#This Row],[3级]]=D557),E557+1,101)</f>
        <v>135</v>
      </c>
      <c r="F558" t="s">
        <v>1675</v>
      </c>
      <c r="G558" t="s">
        <v>1676</v>
      </c>
      <c r="H558" t="s">
        <v>82</v>
      </c>
      <c r="J558" t="s">
        <v>59</v>
      </c>
      <c r="K558" t="s">
        <v>1573</v>
      </c>
      <c r="L558" t="s">
        <v>1587</v>
      </c>
      <c r="M558">
        <v>999</v>
      </c>
    </row>
    <row r="559" spans="1:16" x14ac:dyDescent="0.2">
      <c r="A559" t="str">
        <f ca="1">表_网址[[#This Row],[1级]]&amp;"-"&amp;表_网址[[#This Row],[2级]]&amp;"-"&amp;表_网址[[#This Row],[3级]]&amp;"-"&amp;表_网址[[#This Row],[级内]]</f>
        <v>991-14-10-101</v>
      </c>
      <c r="B559">
        <f>VLOOKUP(表_网址[[#This Row],[首要关键词]],表_首次要关键词[[首要关键词]:[排序]],2,0)</f>
        <v>991</v>
      </c>
      <c r="C559" s="4">
        <f ca="1">IF(表_网址[[#This Row],[次要关键词]]="",10,MATCH(表_网址[[#This Row],[次要关键词]],次要关键词,0)+10)</f>
        <v>14</v>
      </c>
      <c r="D559">
        <f ca="1">IF(表_网址[[#This Row],[重点关键词]]="",10,MATCH(表_网址[[#This Row],[重点关键词]],OFFSET(重点关键词!$A$1,MATCH($J559,首要关键词,0)*50-48,MATCH($K559,次要关键词,0),重点关键词数量,1),0)+10)</f>
        <v>10</v>
      </c>
      <c r="E559">
        <f ca="1">IF(AND(表_网址[[#This Row],[1级]]=B558,表_网址[[#This Row],[2级]]=C558,表_网址[[#This Row],[3级]]=D558),E558+1,101)</f>
        <v>101</v>
      </c>
      <c r="F559" t="s">
        <v>1677</v>
      </c>
      <c r="G559" t="s">
        <v>1678</v>
      </c>
      <c r="J559" t="s">
        <v>59</v>
      </c>
      <c r="K559" t="s">
        <v>1679</v>
      </c>
      <c r="M559">
        <v>999</v>
      </c>
    </row>
    <row r="560" spans="1:16" x14ac:dyDescent="0.2">
      <c r="A560" t="str">
        <f ca="1">表_网址[[#This Row],[1级]]&amp;"-"&amp;表_网址[[#This Row],[2级]]&amp;"-"&amp;表_网址[[#This Row],[3级]]&amp;"-"&amp;表_网址[[#This Row],[级内]]</f>
        <v>991-14-11-101</v>
      </c>
      <c r="B560">
        <f>VLOOKUP(表_网址[[#This Row],[首要关键词]],表_首次要关键词[[首要关键词]:[排序]],2,0)</f>
        <v>991</v>
      </c>
      <c r="C560" s="4">
        <f ca="1">IF(表_网址[[#This Row],[次要关键词]]="",10,MATCH(表_网址[[#This Row],[次要关键词]],次要关键词,0)+10)</f>
        <v>14</v>
      </c>
      <c r="D560">
        <f ca="1">IF(表_网址[[#This Row],[重点关键词]]="",10,MATCH(表_网址[[#This Row],[重点关键词]],OFFSET(重点关键词!$A$1,MATCH($J560,首要关键词,0)*50-48,MATCH($K560,次要关键词,0),重点关键词数量,1),0)+10)</f>
        <v>11</v>
      </c>
      <c r="E560">
        <f ca="1">IF(AND(表_网址[[#This Row],[1级]]=B559,表_网址[[#This Row],[2级]]=C559,表_网址[[#This Row],[3级]]=D559),E559+1,101)</f>
        <v>101</v>
      </c>
      <c r="F560" t="s">
        <v>1680</v>
      </c>
      <c r="G560" t="s">
        <v>1681</v>
      </c>
      <c r="H560" t="s">
        <v>1682</v>
      </c>
      <c r="I560" t="s">
        <v>1683</v>
      </c>
      <c r="J560" t="s">
        <v>59</v>
      </c>
      <c r="K560" t="s">
        <v>1679</v>
      </c>
      <c r="L560" t="s">
        <v>1684</v>
      </c>
      <c r="M560">
        <v>999</v>
      </c>
      <c r="N560">
        <v>999</v>
      </c>
      <c r="P560">
        <v>256</v>
      </c>
    </row>
    <row r="561" spans="1:16" x14ac:dyDescent="0.2">
      <c r="A561" t="str">
        <f ca="1">表_网址[[#This Row],[1级]]&amp;"-"&amp;表_网址[[#This Row],[2级]]&amp;"-"&amp;表_网址[[#This Row],[3级]]&amp;"-"&amp;表_网址[[#This Row],[级内]]</f>
        <v>991-14-12-101</v>
      </c>
      <c r="B561">
        <f>VLOOKUP(表_网址[[#This Row],[首要关键词]],表_首次要关键词[[首要关键词]:[排序]],2,0)</f>
        <v>991</v>
      </c>
      <c r="C561" s="4">
        <f ca="1">IF(表_网址[[#This Row],[次要关键词]]="",10,MATCH(表_网址[[#This Row],[次要关键词]],次要关键词,0)+10)</f>
        <v>14</v>
      </c>
      <c r="D561">
        <f ca="1">IF(表_网址[[#This Row],[重点关键词]]="",10,MATCH(表_网址[[#This Row],[重点关键词]],OFFSET(重点关键词!$A$1,MATCH($J561,首要关键词,0)*50-48,MATCH($K561,次要关键词,0),重点关键词数量,1),0)+10)</f>
        <v>12</v>
      </c>
      <c r="E561">
        <f ca="1">IF(AND(表_网址[[#This Row],[1级]]=B560,表_网址[[#This Row],[2级]]=C560,表_网址[[#This Row],[3级]]=D560),E560+1,101)</f>
        <v>101</v>
      </c>
      <c r="F561" t="s">
        <v>1685</v>
      </c>
      <c r="G561" t="s">
        <v>1686</v>
      </c>
      <c r="H561" t="s">
        <v>1687</v>
      </c>
      <c r="I561" t="s">
        <v>1688</v>
      </c>
      <c r="J561" t="s">
        <v>59</v>
      </c>
      <c r="K561" t="s">
        <v>1679</v>
      </c>
      <c r="L561" t="s">
        <v>905</v>
      </c>
      <c r="M561">
        <v>999</v>
      </c>
      <c r="N561">
        <v>999</v>
      </c>
      <c r="P561">
        <v>32</v>
      </c>
    </row>
    <row r="562" spans="1:16" x14ac:dyDescent="0.2">
      <c r="A562" t="str">
        <f ca="1">表_网址[[#This Row],[1级]]&amp;"-"&amp;表_网址[[#This Row],[2级]]&amp;"-"&amp;表_网址[[#This Row],[3级]]&amp;"-"&amp;表_网址[[#This Row],[级内]]</f>
        <v>991-14-13-101</v>
      </c>
      <c r="B562">
        <f>VLOOKUP(表_网址[[#This Row],[首要关键词]],表_首次要关键词[[首要关键词]:[排序]],2,0)</f>
        <v>991</v>
      </c>
      <c r="C562" s="4">
        <f ca="1">IF(表_网址[[#This Row],[次要关键词]]="",10,MATCH(表_网址[[#This Row],[次要关键词]],次要关键词,0)+10)</f>
        <v>14</v>
      </c>
      <c r="D562">
        <f ca="1">IF(表_网址[[#This Row],[重点关键词]]="",10,MATCH(表_网址[[#This Row],[重点关键词]],OFFSET(重点关键词!$A$1,MATCH($J562,首要关键词,0)*50-48,MATCH($K562,次要关键词,0),重点关键词数量,1),0)+10)</f>
        <v>13</v>
      </c>
      <c r="E562">
        <f ca="1">IF(AND(表_网址[[#This Row],[1级]]=B561,表_网址[[#This Row],[2级]]=C561,表_网址[[#This Row],[3级]]=D561),E561+1,101)</f>
        <v>101</v>
      </c>
      <c r="F562" t="s">
        <v>1689</v>
      </c>
      <c r="G562" t="s">
        <v>1690</v>
      </c>
      <c r="H562" t="s">
        <v>1691</v>
      </c>
      <c r="I562" t="s">
        <v>1692</v>
      </c>
      <c r="J562" t="s">
        <v>59</v>
      </c>
      <c r="K562" t="s">
        <v>1679</v>
      </c>
      <c r="L562" t="s">
        <v>1693</v>
      </c>
      <c r="M562">
        <v>999</v>
      </c>
    </row>
    <row r="563" spans="1:16" x14ac:dyDescent="0.2">
      <c r="A563" t="str">
        <f ca="1">表_网址[[#This Row],[1级]]&amp;"-"&amp;表_网址[[#This Row],[2级]]&amp;"-"&amp;表_网址[[#This Row],[3级]]&amp;"-"&amp;表_网址[[#This Row],[级内]]</f>
        <v>992-10-10-101</v>
      </c>
      <c r="B563">
        <f>VLOOKUP(表_网址[[#This Row],[首要关键词]],表_首次要关键词[[首要关键词]:[排序]],2,0)</f>
        <v>992</v>
      </c>
      <c r="C563" s="4">
        <f>IF(表_网址[[#This Row],[次要关键词]]="",10,MATCH(表_网址[[#This Row],[次要关键词]],次要关键词,0)+10)</f>
        <v>10</v>
      </c>
      <c r="D563">
        <f ca="1">IF(表_网址[[#This Row],[重点关键词]]="",10,MATCH(表_网址[[#This Row],[重点关键词]],OFFSET(重点关键词!$A$1,MATCH($J563,首要关键词,0)*50-48,MATCH($K563,次要关键词,0),重点关键词数量,1),0)+10)</f>
        <v>10</v>
      </c>
      <c r="E563">
        <f ca="1">IF(AND(表_网址[[#This Row],[1级]]=B562,表_网址[[#This Row],[2级]]=C562,表_网址[[#This Row],[3级]]=D562),E562+1,101)</f>
        <v>101</v>
      </c>
      <c r="F563" t="s">
        <v>82</v>
      </c>
      <c r="J563" t="s">
        <v>60</v>
      </c>
    </row>
    <row r="564" spans="1:16" x14ac:dyDescent="0.2">
      <c r="A564" t="str">
        <f ca="1">表_网址[[#This Row],[1级]]&amp;"-"&amp;表_网址[[#This Row],[2级]]&amp;"-"&amp;表_网址[[#This Row],[3级]]&amp;"-"&amp;表_网址[[#This Row],[级内]]</f>
        <v>992-11-10-101</v>
      </c>
      <c r="B564">
        <f>VLOOKUP(表_网址[[#This Row],[首要关键词]],表_首次要关键词[[首要关键词]:[排序]],2,0)</f>
        <v>992</v>
      </c>
      <c r="C564" s="4">
        <f ca="1">IF(表_网址[[#This Row],[次要关键词]]="",10,MATCH(表_网址[[#This Row],[次要关键词]],次要关键词,0)+10)</f>
        <v>11</v>
      </c>
      <c r="D564">
        <f ca="1">IF(表_网址[[#This Row],[重点关键词]]="",10,MATCH(表_网址[[#This Row],[重点关键词]],OFFSET(重点关键词!$A$1,MATCH($J564,首要关键词,0)*50-48,MATCH($K564,次要关键词,0),重点关键词数量,1),0)+10)</f>
        <v>10</v>
      </c>
      <c r="E564">
        <f ca="1">IF(AND(表_网址[[#This Row],[1级]]=B563,表_网址[[#This Row],[2级]]=C563,表_网址[[#This Row],[3级]]=D563),E563+1,101)</f>
        <v>101</v>
      </c>
      <c r="F564" t="s">
        <v>82</v>
      </c>
      <c r="J564" t="s">
        <v>60</v>
      </c>
      <c r="K564" t="s">
        <v>1308</v>
      </c>
    </row>
    <row r="565" spans="1:16" x14ac:dyDescent="0.2">
      <c r="A565" t="str">
        <f ca="1">表_网址[[#This Row],[1级]]&amp;"-"&amp;表_网址[[#This Row],[2级]]&amp;"-"&amp;表_网址[[#This Row],[3级]]&amp;"-"&amp;表_网址[[#This Row],[级内]]</f>
        <v>992-11-11-101</v>
      </c>
      <c r="B565">
        <f>VLOOKUP(表_网址[[#This Row],[首要关键词]],表_首次要关键词[[首要关键词]:[排序]],2,0)</f>
        <v>992</v>
      </c>
      <c r="C565" s="4">
        <f ca="1">IF(表_网址[[#This Row],[次要关键词]]="",10,MATCH(表_网址[[#This Row],[次要关键词]],次要关键词,0)+10)</f>
        <v>11</v>
      </c>
      <c r="D565">
        <f ca="1">IF(表_网址[[#This Row],[重点关键词]]="",10,MATCH(表_网址[[#This Row],[重点关键词]],OFFSET(重点关键词!$A$1,MATCH($J565,首要关键词,0)*50-48,MATCH($K565,次要关键词,0),重点关键词数量,1),0)+10)</f>
        <v>11</v>
      </c>
      <c r="E565">
        <f ca="1">IF(AND(表_网址[[#This Row],[1级]]=B564,表_网址[[#This Row],[2级]]=C564,表_网址[[#This Row],[3级]]=D564),E564+1,101)</f>
        <v>101</v>
      </c>
      <c r="F565" t="s">
        <v>1309</v>
      </c>
      <c r="G565" t="s">
        <v>1310</v>
      </c>
      <c r="J565" t="s">
        <v>60</v>
      </c>
      <c r="K565" t="s">
        <v>1308</v>
      </c>
      <c r="L565" t="s">
        <v>1311</v>
      </c>
      <c r="M565">
        <v>999</v>
      </c>
    </row>
    <row r="566" spans="1:16" x14ac:dyDescent="0.2">
      <c r="A566" t="str">
        <f ca="1">表_网址[[#This Row],[1级]]&amp;"-"&amp;表_网址[[#This Row],[2级]]&amp;"-"&amp;表_网址[[#This Row],[3级]]&amp;"-"&amp;表_网址[[#This Row],[级内]]</f>
        <v>992-11-12-101</v>
      </c>
      <c r="B566">
        <f>VLOOKUP(表_网址[[#This Row],[首要关键词]],表_首次要关键词[[首要关键词]:[排序]],2,0)</f>
        <v>992</v>
      </c>
      <c r="C566" s="4">
        <f ca="1">IF(表_网址[[#This Row],[次要关键词]]="",10,MATCH(表_网址[[#This Row],[次要关键词]],次要关键词,0)+10)</f>
        <v>11</v>
      </c>
      <c r="D566">
        <f ca="1">IF(表_网址[[#This Row],[重点关键词]]="",10,MATCH(表_网址[[#This Row],[重点关键词]],OFFSET(重点关键词!$A$1,MATCH($J566,首要关键词,0)*50-48,MATCH($K566,次要关键词,0),重点关键词数量,1),0)+10)</f>
        <v>12</v>
      </c>
      <c r="E566">
        <f ca="1">IF(AND(表_网址[[#This Row],[1级]]=B565,表_网址[[#This Row],[2级]]=C565,表_网址[[#This Row],[3级]]=D565),E565+1,101)</f>
        <v>101</v>
      </c>
      <c r="F566" t="s">
        <v>1312</v>
      </c>
      <c r="G566" t="s">
        <v>1313</v>
      </c>
      <c r="H566" t="s">
        <v>1314</v>
      </c>
      <c r="J566" t="s">
        <v>60</v>
      </c>
      <c r="K566" t="s">
        <v>1308</v>
      </c>
      <c r="L566" t="s">
        <v>1314</v>
      </c>
      <c r="M566">
        <v>999</v>
      </c>
    </row>
    <row r="567" spans="1:16" x14ac:dyDescent="0.2">
      <c r="A567" t="str">
        <f ca="1">表_网址[[#This Row],[1级]]&amp;"-"&amp;表_网址[[#This Row],[2级]]&amp;"-"&amp;表_网址[[#This Row],[3级]]&amp;"-"&amp;表_网址[[#This Row],[级内]]</f>
        <v>992-11-13-101</v>
      </c>
      <c r="B567">
        <f>VLOOKUP(表_网址[[#This Row],[首要关键词]],表_首次要关键词[[首要关键词]:[排序]],2,0)</f>
        <v>992</v>
      </c>
      <c r="C567" s="4">
        <f ca="1">IF(表_网址[[#This Row],[次要关键词]]="",10,MATCH(表_网址[[#This Row],[次要关键词]],次要关键词,0)+10)</f>
        <v>11</v>
      </c>
      <c r="D567">
        <f ca="1">IF(表_网址[[#This Row],[重点关键词]]="",10,MATCH(表_网址[[#This Row],[重点关键词]],OFFSET(重点关键词!$A$1,MATCH($J567,首要关键词,0)*50-48,MATCH($K567,次要关键词,0),重点关键词数量,1),0)+10)</f>
        <v>13</v>
      </c>
      <c r="E567">
        <f ca="1">IF(AND(表_网址[[#This Row],[1级]]=B566,表_网址[[#This Row],[2级]]=C566,表_网址[[#This Row],[3级]]=D566),E566+1,101)</f>
        <v>101</v>
      </c>
      <c r="F567" t="s">
        <v>1315</v>
      </c>
      <c r="G567" t="s">
        <v>1316</v>
      </c>
      <c r="H567" t="s">
        <v>1317</v>
      </c>
      <c r="J567" t="s">
        <v>60</v>
      </c>
      <c r="K567" t="s">
        <v>1308</v>
      </c>
      <c r="L567" t="s">
        <v>1317</v>
      </c>
      <c r="M567">
        <v>999</v>
      </c>
    </row>
    <row r="568" spans="1:16" x14ac:dyDescent="0.2">
      <c r="A568" t="str">
        <f ca="1">表_网址[[#This Row],[1级]]&amp;"-"&amp;表_网址[[#This Row],[2级]]&amp;"-"&amp;表_网址[[#This Row],[3级]]&amp;"-"&amp;表_网址[[#This Row],[级内]]</f>
        <v>992-11-14-101</v>
      </c>
      <c r="B568">
        <f>VLOOKUP(表_网址[[#This Row],[首要关键词]],表_首次要关键词[[首要关键词]:[排序]],2,0)</f>
        <v>992</v>
      </c>
      <c r="C568" s="4">
        <f ca="1">IF(表_网址[[#This Row],[次要关键词]]="",10,MATCH(表_网址[[#This Row],[次要关键词]],次要关键词,0)+10)</f>
        <v>11</v>
      </c>
      <c r="D568">
        <f ca="1">IF(表_网址[[#This Row],[重点关键词]]="",10,MATCH(表_网址[[#This Row],[重点关键词]],OFFSET(重点关键词!$A$1,MATCH($J568,首要关键词,0)*50-48,MATCH($K568,次要关键词,0),重点关键词数量,1),0)+10)</f>
        <v>14</v>
      </c>
      <c r="E568">
        <f ca="1">IF(AND(表_网址[[#This Row],[1级]]=B567,表_网址[[#This Row],[2级]]=C567,表_网址[[#This Row],[3级]]=D567),E567+1,101)</f>
        <v>101</v>
      </c>
      <c r="F568" t="s">
        <v>1318</v>
      </c>
      <c r="G568" t="s">
        <v>1319</v>
      </c>
      <c r="H568" t="s">
        <v>1320</v>
      </c>
      <c r="J568" t="s">
        <v>60</v>
      </c>
      <c r="K568" t="s">
        <v>1308</v>
      </c>
      <c r="L568" t="s">
        <v>1320</v>
      </c>
      <c r="M568">
        <v>999</v>
      </c>
    </row>
    <row r="569" spans="1:16" x14ac:dyDescent="0.2">
      <c r="A569" t="str">
        <f ca="1">表_网址[[#This Row],[1级]]&amp;"-"&amp;表_网址[[#This Row],[2级]]&amp;"-"&amp;表_网址[[#This Row],[3级]]&amp;"-"&amp;表_网址[[#This Row],[级内]]</f>
        <v>992-11-15-101</v>
      </c>
      <c r="B569">
        <f>VLOOKUP(表_网址[[#This Row],[首要关键词]],表_首次要关键词[[首要关键词]:[排序]],2,0)</f>
        <v>992</v>
      </c>
      <c r="C569" s="4">
        <f ca="1">IF(表_网址[[#This Row],[次要关键词]]="",10,MATCH(表_网址[[#This Row],[次要关键词]],次要关键词,0)+10)</f>
        <v>11</v>
      </c>
      <c r="D569">
        <f ca="1">IF(表_网址[[#This Row],[重点关键词]]="",10,MATCH(表_网址[[#This Row],[重点关键词]],OFFSET(重点关键词!$A$1,MATCH($J569,首要关键词,0)*50-48,MATCH($K569,次要关键词,0),重点关键词数量,1),0)+10)</f>
        <v>15</v>
      </c>
      <c r="E569">
        <f ca="1">IF(AND(表_网址[[#This Row],[1级]]=B568,表_网址[[#This Row],[2级]]=C568,表_网址[[#This Row],[3级]]=D568),E568+1,101)</f>
        <v>101</v>
      </c>
      <c r="F569" t="s">
        <v>1321</v>
      </c>
      <c r="G569" t="s">
        <v>1322</v>
      </c>
      <c r="H569" t="s">
        <v>1323</v>
      </c>
      <c r="J569" t="s">
        <v>60</v>
      </c>
      <c r="K569" t="s">
        <v>1308</v>
      </c>
      <c r="L569" t="s">
        <v>1323</v>
      </c>
      <c r="M569">
        <v>999</v>
      </c>
    </row>
    <row r="570" spans="1:16" x14ac:dyDescent="0.2">
      <c r="A570" t="str">
        <f ca="1">表_网址[[#This Row],[1级]]&amp;"-"&amp;表_网址[[#This Row],[2级]]&amp;"-"&amp;表_网址[[#This Row],[3级]]&amp;"-"&amp;表_网址[[#This Row],[级内]]</f>
        <v>992-11-16-101</v>
      </c>
      <c r="B570">
        <f>VLOOKUP(表_网址[[#This Row],[首要关键词]],表_首次要关键词[[首要关键词]:[排序]],2,0)</f>
        <v>992</v>
      </c>
      <c r="C570" s="4">
        <f ca="1">IF(表_网址[[#This Row],[次要关键词]]="",10,MATCH(表_网址[[#This Row],[次要关键词]],次要关键词,0)+10)</f>
        <v>11</v>
      </c>
      <c r="D570">
        <f ca="1">IF(表_网址[[#This Row],[重点关键词]]="",10,MATCH(表_网址[[#This Row],[重点关键词]],OFFSET(重点关键词!$A$1,MATCH($J570,首要关键词,0)*50-48,MATCH($K570,次要关键词,0),重点关键词数量,1),0)+10)</f>
        <v>16</v>
      </c>
      <c r="E570">
        <f ca="1">IF(AND(表_网址[[#This Row],[1级]]=B569,表_网址[[#This Row],[2级]]=C569,表_网址[[#This Row],[3级]]=D569),E569+1,101)</f>
        <v>101</v>
      </c>
      <c r="F570" t="s">
        <v>1324</v>
      </c>
      <c r="G570" t="s">
        <v>1325</v>
      </c>
      <c r="H570" t="s">
        <v>1326</v>
      </c>
      <c r="J570" t="s">
        <v>60</v>
      </c>
      <c r="K570" t="s">
        <v>1308</v>
      </c>
      <c r="L570" t="s">
        <v>1326</v>
      </c>
      <c r="M570">
        <v>999</v>
      </c>
    </row>
    <row r="571" spans="1:16" x14ac:dyDescent="0.2">
      <c r="A571" t="str">
        <f ca="1">表_网址[[#This Row],[1级]]&amp;"-"&amp;表_网址[[#This Row],[2级]]&amp;"-"&amp;表_网址[[#This Row],[3级]]&amp;"-"&amp;表_网址[[#This Row],[级内]]</f>
        <v>992-11-17-101</v>
      </c>
      <c r="B571">
        <f>VLOOKUP(表_网址[[#This Row],[首要关键词]],表_首次要关键词[[首要关键词]:[排序]],2,0)</f>
        <v>992</v>
      </c>
      <c r="C571" s="4">
        <f ca="1">IF(表_网址[[#This Row],[次要关键词]]="",10,MATCH(表_网址[[#This Row],[次要关键词]],次要关键词,0)+10)</f>
        <v>11</v>
      </c>
      <c r="D571">
        <f ca="1">IF(表_网址[[#This Row],[重点关键词]]="",10,MATCH(表_网址[[#This Row],[重点关键词]],OFFSET(重点关键词!$A$1,MATCH($J571,首要关键词,0)*50-48,MATCH($K571,次要关键词,0),重点关键词数量,1),0)+10)</f>
        <v>17</v>
      </c>
      <c r="E571">
        <f ca="1">IF(AND(表_网址[[#This Row],[1级]]=B570,表_网址[[#This Row],[2级]]=C570,表_网址[[#This Row],[3级]]=D570),E570+1,101)</f>
        <v>101</v>
      </c>
      <c r="F571" t="s">
        <v>1327</v>
      </c>
      <c r="G571" t="s">
        <v>1328</v>
      </c>
      <c r="H571" t="s">
        <v>1329</v>
      </c>
      <c r="J571" t="s">
        <v>60</v>
      </c>
      <c r="K571" t="s">
        <v>1308</v>
      </c>
      <c r="L571" t="s">
        <v>1329</v>
      </c>
      <c r="M571">
        <v>999</v>
      </c>
    </row>
    <row r="572" spans="1:16" x14ac:dyDescent="0.2">
      <c r="A572" t="str">
        <f ca="1">表_网址[[#This Row],[1级]]&amp;"-"&amp;表_网址[[#This Row],[2级]]&amp;"-"&amp;表_网址[[#This Row],[3级]]&amp;"-"&amp;表_网址[[#This Row],[级内]]</f>
        <v>992-11-18-101</v>
      </c>
      <c r="B572">
        <f>VLOOKUP(表_网址[[#This Row],[首要关键词]],表_首次要关键词[[首要关键词]:[排序]],2,0)</f>
        <v>992</v>
      </c>
      <c r="C572" s="4">
        <f ca="1">IF(表_网址[[#This Row],[次要关键词]]="",10,MATCH(表_网址[[#This Row],[次要关键词]],次要关键词,0)+10)</f>
        <v>11</v>
      </c>
      <c r="D572">
        <f ca="1">IF(表_网址[[#This Row],[重点关键词]]="",10,MATCH(表_网址[[#This Row],[重点关键词]],OFFSET(重点关键词!$A$1,MATCH($J572,首要关键词,0)*50-48,MATCH($K572,次要关键词,0),重点关键词数量,1),0)+10)</f>
        <v>18</v>
      </c>
      <c r="E572">
        <f ca="1">IF(AND(表_网址[[#This Row],[1级]]=B571,表_网址[[#This Row],[2级]]=C571,表_网址[[#This Row],[3级]]=D571),E571+1,101)</f>
        <v>101</v>
      </c>
      <c r="F572" t="s">
        <v>1330</v>
      </c>
      <c r="G572" t="s">
        <v>1331</v>
      </c>
      <c r="J572" t="s">
        <v>1723</v>
      </c>
      <c r="K572" t="s">
        <v>1725</v>
      </c>
      <c r="L572" t="s">
        <v>1330</v>
      </c>
      <c r="M572">
        <v>999</v>
      </c>
    </row>
    <row r="573" spans="1:16" x14ac:dyDescent="0.2">
      <c r="A573" t="str">
        <f ca="1">表_网址[[#This Row],[1级]]&amp;"-"&amp;表_网址[[#This Row],[2级]]&amp;"-"&amp;表_网址[[#This Row],[3级]]&amp;"-"&amp;表_网址[[#This Row],[级内]]</f>
        <v>991-13-10-101</v>
      </c>
      <c r="B573">
        <f>VLOOKUP(表_网址[[#This Row],[首要关键词]],表_首次要关键词[[首要关键词]:[排序]],2,0)</f>
        <v>991</v>
      </c>
      <c r="C573" s="4">
        <f ca="1">IF(表_网址[[#This Row],[次要关键词]]="",10,MATCH(表_网址[[#This Row],[次要关键词]],次要关键词,0)+10)</f>
        <v>13</v>
      </c>
      <c r="D573" s="4">
        <f ca="1">IF(表_网址[[#This Row],[重点关键词]]="",10,MATCH(表_网址[[#This Row],[重点关键词]],OFFSET(重点关键词!$A$1,MATCH($J573,首要关键词,0)*50-48,MATCH($K573,次要关键词,0),重点关键词数量,1),0)+10)</f>
        <v>10</v>
      </c>
      <c r="E573">
        <f ca="1">IF(AND(表_网址[[#This Row],[1级]]=B572,表_网址[[#This Row],[2级]]=C572,表_网址[[#This Row],[3级]]=D572),E572+1,101)</f>
        <v>101</v>
      </c>
      <c r="F573" t="s">
        <v>1734</v>
      </c>
      <c r="G573" s="6" t="s">
        <v>1732</v>
      </c>
      <c r="H573" t="s">
        <v>1735</v>
      </c>
      <c r="I573" s="6" t="s">
        <v>1733</v>
      </c>
      <c r="J573" t="s">
        <v>1722</v>
      </c>
      <c r="K573" t="s">
        <v>1573</v>
      </c>
      <c r="M573">
        <v>999</v>
      </c>
      <c r="N573">
        <v>999</v>
      </c>
    </row>
    <row r="574" spans="1:16" x14ac:dyDescent="0.2">
      <c r="A574" t="str">
        <f ca="1">表_网址[[#This Row],[1级]]&amp;"-"&amp;表_网址[[#This Row],[2级]]&amp;"-"&amp;表_网址[[#This Row],[3级]]&amp;"-"&amp;表_网址[[#This Row],[级内]]</f>
        <v>991-13-10-102</v>
      </c>
      <c r="B574">
        <f>VLOOKUP(表_网址[[#This Row],[首要关键词]],表_首次要关键词[[首要关键词]:[排序]],2,0)</f>
        <v>991</v>
      </c>
      <c r="C574" s="4">
        <f ca="1">IF(表_网址[[#This Row],[次要关键词]]="",10,MATCH(表_网址[[#This Row],[次要关键词]],次要关键词,0)+10)</f>
        <v>13</v>
      </c>
      <c r="D574" s="4">
        <f ca="1">IF(表_网址[[#This Row],[重点关键词]]="",10,MATCH(表_网址[[#This Row],[重点关键词]],OFFSET(重点关键词!$A$1,MATCH($J574,首要关键词,0)*50-48,MATCH($K574,次要关键词,0),重点关键词数量,1),0)+10)</f>
        <v>10</v>
      </c>
      <c r="E574">
        <f ca="1">IF(AND(表_网址[[#This Row],[1级]]=B573,表_网址[[#This Row],[2级]]=C573,表_网址[[#This Row],[3级]]=D573),E573+1,101)</f>
        <v>102</v>
      </c>
      <c r="F574" t="s">
        <v>1737</v>
      </c>
      <c r="G574" s="6" t="s">
        <v>1736</v>
      </c>
      <c r="I574" s="6" t="s">
        <v>1738</v>
      </c>
      <c r="J574" t="s">
        <v>1722</v>
      </c>
      <c r="K574" t="s">
        <v>1573</v>
      </c>
      <c r="M574">
        <v>999</v>
      </c>
      <c r="N574">
        <v>999</v>
      </c>
    </row>
    <row r="575" spans="1:16" x14ac:dyDescent="0.2">
      <c r="A575" t="str">
        <f ca="1">表_网址[[#This Row],[1级]]&amp;"-"&amp;表_网址[[#This Row],[2级]]&amp;"-"&amp;表_网址[[#This Row],[3级]]&amp;"-"&amp;表_网址[[#This Row],[级内]]</f>
        <v>991-13-10-103</v>
      </c>
      <c r="B575">
        <f>VLOOKUP(表_网址[[#This Row],[首要关键词]],表_首次要关键词[[首要关键词]:[排序]],2,0)</f>
        <v>991</v>
      </c>
      <c r="C575" s="4">
        <f ca="1">IF(表_网址[[#This Row],[次要关键词]]="",10,MATCH(表_网址[[#This Row],[次要关键词]],次要关键词,0)+10)</f>
        <v>13</v>
      </c>
      <c r="D575" s="4">
        <f ca="1">IF(表_网址[[#This Row],[重点关键词]]="",10,MATCH(表_网址[[#This Row],[重点关键词]],OFFSET(重点关键词!$A$1,MATCH($J575,首要关键词,0)*50-48,MATCH($K575,次要关键词,0),重点关键词数量,1),0)+10)</f>
        <v>10</v>
      </c>
      <c r="E575">
        <f ca="1">IF(AND(表_网址[[#This Row],[1级]]=B574,表_网址[[#This Row],[2级]]=C574,表_网址[[#This Row],[3级]]=D574),E574+1,101)</f>
        <v>103</v>
      </c>
      <c r="F575" t="s">
        <v>1741</v>
      </c>
      <c r="G575" t="s">
        <v>1739</v>
      </c>
      <c r="H575" t="s">
        <v>1742</v>
      </c>
      <c r="I575" t="s">
        <v>1740</v>
      </c>
      <c r="J575" t="s">
        <v>1722</v>
      </c>
      <c r="K575" t="s">
        <v>1573</v>
      </c>
      <c r="M575">
        <v>999</v>
      </c>
      <c r="N575">
        <v>999</v>
      </c>
    </row>
    <row r="576" spans="1:16" x14ac:dyDescent="0.2">
      <c r="A576" t="str">
        <f ca="1">表_网址[[#This Row],[1级]]&amp;"-"&amp;表_网址[[#This Row],[2级]]&amp;"-"&amp;表_网址[[#This Row],[3级]]&amp;"-"&amp;表_网址[[#This Row],[级内]]</f>
        <v>991-13-10-104</v>
      </c>
      <c r="B576">
        <f>VLOOKUP(表_网址[[#This Row],[首要关键词]],表_首次要关键词[[首要关键词]:[排序]],2,0)</f>
        <v>991</v>
      </c>
      <c r="C576" s="4">
        <f ca="1">IF(表_网址[[#This Row],[次要关键词]]="",10,MATCH(表_网址[[#This Row],[次要关键词]],次要关键词,0)+10)</f>
        <v>13</v>
      </c>
      <c r="D576" s="4">
        <f ca="1">IF(表_网址[[#This Row],[重点关键词]]="",10,MATCH(表_网址[[#This Row],[重点关键词]],OFFSET(重点关键词!$A$1,MATCH($J576,首要关键词,0)*50-48,MATCH($K576,次要关键词,0),重点关键词数量,1),0)+10)</f>
        <v>10</v>
      </c>
      <c r="E576">
        <f ca="1">IF(AND(表_网址[[#This Row],[1级]]=B575,表_网址[[#This Row],[2级]]=C575,表_网址[[#This Row],[3级]]=D575),E575+1,101)</f>
        <v>104</v>
      </c>
      <c r="F576" t="s">
        <v>1744</v>
      </c>
      <c r="G576" t="s">
        <v>1743</v>
      </c>
      <c r="H576" t="s">
        <v>1748</v>
      </c>
      <c r="I576" t="s">
        <v>1745</v>
      </c>
      <c r="J576" t="s">
        <v>1722</v>
      </c>
      <c r="K576" t="s">
        <v>1573</v>
      </c>
      <c r="M576">
        <v>999</v>
      </c>
      <c r="N576">
        <v>999</v>
      </c>
    </row>
    <row r="577" spans="1:11" x14ac:dyDescent="0.2">
      <c r="A577" t="str">
        <f ca="1">表_网址[[#This Row],[1级]]&amp;"-"&amp;表_网址[[#This Row],[2级]]&amp;"-"&amp;表_网址[[#This Row],[3级]]&amp;"-"&amp;表_网址[[#This Row],[级内]]</f>
        <v>991-13-10-105</v>
      </c>
      <c r="B577">
        <f>VLOOKUP(表_网址[[#This Row],[首要关键词]],表_首次要关键词[[首要关键词]:[排序]],2,0)</f>
        <v>991</v>
      </c>
      <c r="C577" s="4">
        <f ca="1">IF(表_网址[[#This Row],[次要关键词]]="",10,MATCH(表_网址[[#This Row],[次要关键词]],次要关键词,0)+10)</f>
        <v>13</v>
      </c>
      <c r="D577" s="4">
        <f ca="1">IF(表_网址[[#This Row],[重点关键词]]="",10,MATCH(表_网址[[#This Row],[重点关键词]],OFFSET(重点关键词!$A$1,MATCH($J577,首要关键词,0)*50-48,MATCH($K577,次要关键词,0),重点关键词数量,1),0)+10)</f>
        <v>10</v>
      </c>
      <c r="E577">
        <f ca="1">IF(AND(表_网址[[#This Row],[1级]]=B576,表_网址[[#This Row],[2级]]=C576,表_网址[[#This Row],[3级]]=D576),E576+1,101)</f>
        <v>105</v>
      </c>
      <c r="F577" t="s">
        <v>1747</v>
      </c>
      <c r="G577" t="s">
        <v>1746</v>
      </c>
      <c r="H577" t="s">
        <v>1749</v>
      </c>
      <c r="I577" t="s">
        <v>1750</v>
      </c>
      <c r="J577" t="s">
        <v>1722</v>
      </c>
      <c r="K577" t="s">
        <v>1573</v>
      </c>
    </row>
  </sheetData>
  <phoneticPr fontId="1" type="noConversion"/>
  <dataValidations count="3">
    <dataValidation type="list" allowBlank="1" showInputMessage="1" showErrorMessage="1" sqref="L572:L1048576 L1" xr:uid="{6D8E162C-2E68-4CD1-B78D-8F28CD9EB725}">
      <formula1>重点关键词</formula1>
    </dataValidation>
    <dataValidation type="list" allowBlank="1" showInputMessage="1" showErrorMessage="1" sqref="J2:J577" xr:uid="{0D0681B3-20B9-45A3-80B6-FFC77A7997E1}">
      <formula1>首要关键词</formula1>
    </dataValidation>
    <dataValidation type="list" allowBlank="1" showInputMessage="1" showErrorMessage="1" sqref="K2:K577" xr:uid="{0E0E5666-E15F-4EA9-875A-08721E65B47E}">
      <formula1>次要关键词</formula1>
    </dataValidation>
  </dataValidations>
  <hyperlinks>
    <hyperlink ref="I210" r:id="rId1" xr:uid="{200B902E-10EC-4FA7-AB5F-D18F3C39718A}"/>
    <hyperlink ref="I166" r:id="rId2" xr:uid="{EC7431F8-57A7-481C-B77E-5B59D9984386}"/>
    <hyperlink ref="G573" r:id="rId3" xr:uid="{419AF4C5-BD6C-448D-9A5F-CBDDFBEE2933}"/>
    <hyperlink ref="I573" r:id="rId4" xr:uid="{552BC540-DE56-4C53-ADAD-B4BEC290C753}"/>
    <hyperlink ref="G574" r:id="rId5" xr:uid="{2F142600-B42D-4336-997F-6AD4FA4703E7}"/>
    <hyperlink ref="I574" r:id="rId6" xr:uid="{9DA529F4-D363-4930-8DA6-7FD22DB4ECEF}"/>
  </hyperlinks>
  <pageMargins left="0.7" right="0.7" top="0.75" bottom="0.75" header="0.3" footer="0.3"/>
  <pageSetup paperSize="9" orientation="portrait" r:id="rId7"/>
  <legacyDrawing r:id="rId8"/>
  <tableParts count="1">
    <tablePart r:id="rId9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065FE2-59D3-4FAE-8F38-CD5CB40FB7C0}">
          <x14:formula1>
            <xm:f>OFFSET(重点关键词!$A$1,MATCH($J2,首要关键词,0)*50-48,MATCH($K2,次要关键词,0),重点关键词数量,1)</xm:f>
          </x14:formula1>
          <xm:sqref>L2:L571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D5050-583A-43FE-965E-2E3E6D3ABCDD}">
  <dimension ref="A1:R571"/>
  <sheetViews>
    <sheetView workbookViewId="0">
      <selection activeCell="M1" sqref="M1:M1048576"/>
    </sheetView>
  </sheetViews>
  <sheetFormatPr defaultRowHeight="14.25" x14ac:dyDescent="0.2"/>
  <sheetData>
    <row r="1" spans="1:18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11</v>
      </c>
      <c r="H1" t="s">
        <v>12</v>
      </c>
      <c r="I1" t="s">
        <v>23</v>
      </c>
      <c r="J1" t="s">
        <v>27</v>
      </c>
      <c r="K1" t="s">
        <v>15</v>
      </c>
      <c r="L1" t="s">
        <v>25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</row>
    <row r="2" spans="1:18" x14ac:dyDescent="0.2">
      <c r="A2" t="s">
        <v>1720</v>
      </c>
      <c r="B2">
        <v>101</v>
      </c>
      <c r="C2">
        <v>11</v>
      </c>
      <c r="D2">
        <v>10</v>
      </c>
      <c r="E2">
        <v>101</v>
      </c>
      <c r="F2" t="s">
        <v>74</v>
      </c>
      <c r="G2" t="s">
        <v>75</v>
      </c>
      <c r="H2" t="s">
        <v>76</v>
      </c>
      <c r="I2" t="s">
        <v>77</v>
      </c>
      <c r="J2" t="s">
        <v>29</v>
      </c>
      <c r="K2" t="s">
        <v>79</v>
      </c>
      <c r="M2">
        <v>999</v>
      </c>
      <c r="N2">
        <v>999</v>
      </c>
      <c r="P2">
        <v>16</v>
      </c>
    </row>
    <row r="3" spans="1:18" x14ac:dyDescent="0.2">
      <c r="A3" t="s">
        <v>1721</v>
      </c>
      <c r="B3">
        <v>101</v>
      </c>
      <c r="C3">
        <v>11</v>
      </c>
      <c r="D3">
        <v>10</v>
      </c>
      <c r="E3">
        <v>102</v>
      </c>
      <c r="F3" t="s">
        <v>78</v>
      </c>
      <c r="J3" t="s">
        <v>29</v>
      </c>
      <c r="K3" t="s">
        <v>79</v>
      </c>
    </row>
    <row r="4" spans="1:18" x14ac:dyDescent="0.2">
      <c r="B4">
        <v>101</v>
      </c>
      <c r="C4">
        <v>11</v>
      </c>
      <c r="D4">
        <v>12</v>
      </c>
      <c r="F4" t="s">
        <v>80</v>
      </c>
      <c r="G4" t="s">
        <v>81</v>
      </c>
      <c r="H4" t="s">
        <v>82</v>
      </c>
      <c r="I4" t="s">
        <v>83</v>
      </c>
      <c r="J4" t="s">
        <v>29</v>
      </c>
      <c r="K4" t="s">
        <v>79</v>
      </c>
      <c r="L4" t="s">
        <v>84</v>
      </c>
      <c r="M4">
        <v>999</v>
      </c>
    </row>
    <row r="5" spans="1:18" x14ac:dyDescent="0.2">
      <c r="B5">
        <v>101</v>
      </c>
      <c r="C5">
        <v>11</v>
      </c>
      <c r="D5">
        <v>12</v>
      </c>
      <c r="F5" t="s">
        <v>85</v>
      </c>
      <c r="G5" t="s">
        <v>86</v>
      </c>
      <c r="H5" t="s">
        <v>82</v>
      </c>
      <c r="I5" t="s">
        <v>87</v>
      </c>
      <c r="J5" t="s">
        <v>29</v>
      </c>
      <c r="K5" t="s">
        <v>79</v>
      </c>
      <c r="L5" t="s">
        <v>84</v>
      </c>
      <c r="M5">
        <v>999</v>
      </c>
      <c r="P5">
        <v>256</v>
      </c>
    </row>
    <row r="6" spans="1:18" x14ac:dyDescent="0.2">
      <c r="B6">
        <v>101</v>
      </c>
      <c r="C6">
        <v>11</v>
      </c>
      <c r="D6">
        <v>12</v>
      </c>
      <c r="F6" t="s">
        <v>88</v>
      </c>
      <c r="G6" t="s">
        <v>89</v>
      </c>
      <c r="H6" t="s">
        <v>82</v>
      </c>
      <c r="I6" t="s">
        <v>90</v>
      </c>
      <c r="J6" t="s">
        <v>29</v>
      </c>
      <c r="K6" t="s">
        <v>79</v>
      </c>
      <c r="L6" t="s">
        <v>84</v>
      </c>
      <c r="M6">
        <v>999</v>
      </c>
    </row>
    <row r="7" spans="1:18" x14ac:dyDescent="0.2">
      <c r="B7">
        <v>101</v>
      </c>
      <c r="C7">
        <v>11</v>
      </c>
      <c r="D7">
        <v>12</v>
      </c>
      <c r="F7" t="s">
        <v>91</v>
      </c>
      <c r="G7" t="s">
        <v>92</v>
      </c>
      <c r="H7" t="s">
        <v>82</v>
      </c>
      <c r="I7" t="s">
        <v>93</v>
      </c>
      <c r="J7" t="s">
        <v>29</v>
      </c>
      <c r="K7" t="s">
        <v>79</v>
      </c>
      <c r="L7" t="s">
        <v>84</v>
      </c>
      <c r="M7">
        <v>999</v>
      </c>
      <c r="P7">
        <v>16</v>
      </c>
    </row>
    <row r="8" spans="1:18" x14ac:dyDescent="0.2">
      <c r="B8">
        <v>101</v>
      </c>
      <c r="C8">
        <v>11</v>
      </c>
      <c r="D8">
        <v>12</v>
      </c>
      <c r="F8" t="s">
        <v>94</v>
      </c>
      <c r="G8" t="s">
        <v>95</v>
      </c>
      <c r="H8" t="s">
        <v>82</v>
      </c>
      <c r="I8" t="s">
        <v>93</v>
      </c>
      <c r="J8" t="s">
        <v>29</v>
      </c>
      <c r="K8" t="s">
        <v>79</v>
      </c>
      <c r="L8" t="s">
        <v>84</v>
      </c>
      <c r="M8">
        <v>999</v>
      </c>
      <c r="P8">
        <v>16</v>
      </c>
    </row>
    <row r="9" spans="1:18" x14ac:dyDescent="0.2">
      <c r="B9">
        <v>101</v>
      </c>
      <c r="C9">
        <v>11</v>
      </c>
      <c r="D9">
        <v>12</v>
      </c>
      <c r="F9" t="s">
        <v>96</v>
      </c>
      <c r="G9" t="s">
        <v>97</v>
      </c>
      <c r="H9" t="s">
        <v>82</v>
      </c>
      <c r="I9" t="s">
        <v>98</v>
      </c>
      <c r="J9" t="s">
        <v>29</v>
      </c>
      <c r="K9" t="s">
        <v>79</v>
      </c>
      <c r="L9" t="s">
        <v>84</v>
      </c>
      <c r="M9">
        <v>999</v>
      </c>
      <c r="P9">
        <v>16</v>
      </c>
    </row>
    <row r="10" spans="1:18" x14ac:dyDescent="0.2">
      <c r="B10">
        <v>101</v>
      </c>
      <c r="C10">
        <v>11</v>
      </c>
      <c r="D10">
        <v>12</v>
      </c>
      <c r="F10" t="s">
        <v>99</v>
      </c>
      <c r="G10" t="s">
        <v>100</v>
      </c>
      <c r="H10" t="s">
        <v>82</v>
      </c>
      <c r="I10" t="s">
        <v>101</v>
      </c>
      <c r="J10" t="s">
        <v>29</v>
      </c>
      <c r="K10" t="s">
        <v>79</v>
      </c>
      <c r="L10" t="s">
        <v>84</v>
      </c>
      <c r="M10">
        <v>999</v>
      </c>
      <c r="N10">
        <v>999</v>
      </c>
      <c r="P10">
        <v>32</v>
      </c>
    </row>
    <row r="11" spans="1:18" x14ac:dyDescent="0.2">
      <c r="B11">
        <v>101</v>
      </c>
      <c r="C11">
        <v>11</v>
      </c>
      <c r="D11">
        <v>12</v>
      </c>
      <c r="F11" t="s">
        <v>102</v>
      </c>
      <c r="G11" t="s">
        <v>103</v>
      </c>
      <c r="H11" t="s">
        <v>82</v>
      </c>
      <c r="I11" t="s">
        <v>104</v>
      </c>
      <c r="J11" t="s">
        <v>29</v>
      </c>
      <c r="K11" t="s">
        <v>79</v>
      </c>
      <c r="L11" t="s">
        <v>84</v>
      </c>
      <c r="M11">
        <v>999</v>
      </c>
    </row>
    <row r="12" spans="1:18" x14ac:dyDescent="0.2">
      <c r="B12">
        <v>101</v>
      </c>
      <c r="C12">
        <v>11</v>
      </c>
      <c r="D12">
        <v>12</v>
      </c>
      <c r="F12" t="s">
        <v>105</v>
      </c>
      <c r="G12" t="s">
        <v>106</v>
      </c>
      <c r="H12" t="s">
        <v>82</v>
      </c>
      <c r="I12" t="s">
        <v>107</v>
      </c>
      <c r="J12" t="s">
        <v>29</v>
      </c>
      <c r="K12" t="s">
        <v>79</v>
      </c>
      <c r="L12" t="s">
        <v>84</v>
      </c>
      <c r="M12">
        <v>999</v>
      </c>
    </row>
    <row r="13" spans="1:18" x14ac:dyDescent="0.2">
      <c r="B13">
        <v>101</v>
      </c>
      <c r="C13">
        <v>11</v>
      </c>
      <c r="D13">
        <v>12</v>
      </c>
      <c r="F13" t="s">
        <v>108</v>
      </c>
      <c r="G13" t="s">
        <v>109</v>
      </c>
      <c r="H13" t="s">
        <v>82</v>
      </c>
      <c r="I13" t="s">
        <v>110</v>
      </c>
      <c r="J13" t="s">
        <v>29</v>
      </c>
      <c r="K13" t="s">
        <v>79</v>
      </c>
      <c r="L13" t="s">
        <v>84</v>
      </c>
      <c r="M13">
        <v>999</v>
      </c>
      <c r="N13">
        <v>999</v>
      </c>
      <c r="P13">
        <v>32</v>
      </c>
    </row>
    <row r="14" spans="1:18" x14ac:dyDescent="0.2">
      <c r="B14">
        <v>101</v>
      </c>
      <c r="C14">
        <v>11</v>
      </c>
      <c r="D14">
        <v>12</v>
      </c>
      <c r="F14" t="s">
        <v>111</v>
      </c>
      <c r="G14" t="s">
        <v>112</v>
      </c>
      <c r="H14" t="s">
        <v>82</v>
      </c>
      <c r="I14" t="s">
        <v>113</v>
      </c>
      <c r="J14" t="s">
        <v>29</v>
      </c>
      <c r="K14" t="s">
        <v>79</v>
      </c>
      <c r="L14" t="s">
        <v>84</v>
      </c>
      <c r="M14">
        <v>999</v>
      </c>
      <c r="N14">
        <v>999</v>
      </c>
      <c r="P14">
        <v>16</v>
      </c>
    </row>
    <row r="15" spans="1:18" x14ac:dyDescent="0.2">
      <c r="B15">
        <v>101</v>
      </c>
      <c r="C15">
        <v>11</v>
      </c>
      <c r="D15">
        <v>12</v>
      </c>
      <c r="F15" t="s">
        <v>114</v>
      </c>
      <c r="H15" t="s">
        <v>82</v>
      </c>
      <c r="J15" t="s">
        <v>29</v>
      </c>
      <c r="K15" t="s">
        <v>79</v>
      </c>
      <c r="L15" t="s">
        <v>84</v>
      </c>
    </row>
    <row r="16" spans="1:18" x14ac:dyDescent="0.2">
      <c r="B16">
        <v>101</v>
      </c>
      <c r="C16">
        <v>11</v>
      </c>
      <c r="D16">
        <v>12</v>
      </c>
      <c r="F16" t="s">
        <v>115</v>
      </c>
      <c r="G16" t="s">
        <v>116</v>
      </c>
      <c r="H16" t="s">
        <v>82</v>
      </c>
      <c r="I16" t="s">
        <v>117</v>
      </c>
      <c r="J16" t="s">
        <v>29</v>
      </c>
      <c r="K16" t="s">
        <v>79</v>
      </c>
      <c r="L16" t="s">
        <v>84</v>
      </c>
      <c r="M16">
        <v>999</v>
      </c>
      <c r="P16">
        <v>16</v>
      </c>
    </row>
    <row r="17" spans="2:16" x14ac:dyDescent="0.2">
      <c r="B17">
        <v>101</v>
      </c>
      <c r="C17">
        <v>11</v>
      </c>
      <c r="D17">
        <v>12</v>
      </c>
      <c r="F17" t="s">
        <v>118</v>
      </c>
      <c r="G17" t="s">
        <v>119</v>
      </c>
      <c r="H17" t="s">
        <v>82</v>
      </c>
      <c r="I17" t="s">
        <v>120</v>
      </c>
      <c r="J17" t="s">
        <v>29</v>
      </c>
      <c r="K17" t="s">
        <v>79</v>
      </c>
      <c r="L17" t="s">
        <v>84</v>
      </c>
      <c r="M17">
        <v>999</v>
      </c>
      <c r="P17">
        <v>16</v>
      </c>
    </row>
    <row r="18" spans="2:16" x14ac:dyDescent="0.2">
      <c r="B18">
        <v>101</v>
      </c>
      <c r="C18">
        <v>11</v>
      </c>
      <c r="D18">
        <v>12</v>
      </c>
      <c r="F18" t="s">
        <v>121</v>
      </c>
      <c r="G18" t="s">
        <v>122</v>
      </c>
      <c r="H18" t="s">
        <v>82</v>
      </c>
      <c r="I18" t="s">
        <v>123</v>
      </c>
      <c r="J18" t="s">
        <v>29</v>
      </c>
      <c r="K18" t="s">
        <v>79</v>
      </c>
      <c r="L18" t="s">
        <v>84</v>
      </c>
      <c r="M18">
        <v>999</v>
      </c>
      <c r="P18">
        <v>16</v>
      </c>
    </row>
    <row r="19" spans="2:16" x14ac:dyDescent="0.2">
      <c r="B19">
        <v>101</v>
      </c>
      <c r="C19">
        <v>11</v>
      </c>
      <c r="D19">
        <v>12</v>
      </c>
      <c r="F19" t="s">
        <v>124</v>
      </c>
      <c r="G19" t="s">
        <v>125</v>
      </c>
      <c r="H19" t="s">
        <v>82</v>
      </c>
      <c r="I19" t="s">
        <v>126</v>
      </c>
      <c r="J19" t="s">
        <v>29</v>
      </c>
      <c r="K19" t="s">
        <v>79</v>
      </c>
      <c r="L19" t="s">
        <v>84</v>
      </c>
      <c r="M19">
        <v>999</v>
      </c>
    </row>
    <row r="20" spans="2:16" x14ac:dyDescent="0.2">
      <c r="B20">
        <v>101</v>
      </c>
      <c r="C20">
        <v>11</v>
      </c>
      <c r="D20">
        <v>12</v>
      </c>
      <c r="F20" t="s">
        <v>127</v>
      </c>
      <c r="G20" t="s">
        <v>128</v>
      </c>
      <c r="H20" t="s">
        <v>82</v>
      </c>
      <c r="J20" t="s">
        <v>29</v>
      </c>
      <c r="K20" t="s">
        <v>79</v>
      </c>
      <c r="L20" t="s">
        <v>84</v>
      </c>
    </row>
    <row r="21" spans="2:16" x14ac:dyDescent="0.2">
      <c r="B21">
        <v>101</v>
      </c>
      <c r="C21">
        <v>11</v>
      </c>
      <c r="D21">
        <v>12</v>
      </c>
      <c r="F21" t="s">
        <v>129</v>
      </c>
      <c r="G21" t="s">
        <v>130</v>
      </c>
      <c r="H21" t="s">
        <v>82</v>
      </c>
      <c r="I21" t="s">
        <v>131</v>
      </c>
      <c r="J21" t="s">
        <v>29</v>
      </c>
      <c r="K21" t="s">
        <v>79</v>
      </c>
      <c r="L21" t="s">
        <v>84</v>
      </c>
      <c r="M21">
        <v>999</v>
      </c>
      <c r="N21">
        <v>999</v>
      </c>
      <c r="P21">
        <v>16</v>
      </c>
    </row>
    <row r="22" spans="2:16" x14ac:dyDescent="0.2">
      <c r="B22">
        <v>101</v>
      </c>
      <c r="C22">
        <v>11</v>
      </c>
      <c r="D22">
        <v>12</v>
      </c>
      <c r="F22" t="s">
        <v>132</v>
      </c>
      <c r="G22" t="s">
        <v>133</v>
      </c>
      <c r="H22" t="s">
        <v>82</v>
      </c>
      <c r="I22" t="s">
        <v>134</v>
      </c>
      <c r="J22" t="s">
        <v>29</v>
      </c>
      <c r="K22" t="s">
        <v>79</v>
      </c>
      <c r="L22" t="s">
        <v>84</v>
      </c>
      <c r="M22">
        <v>999</v>
      </c>
      <c r="N22">
        <v>999</v>
      </c>
      <c r="P22">
        <v>16</v>
      </c>
    </row>
    <row r="23" spans="2:16" x14ac:dyDescent="0.2">
      <c r="B23">
        <v>101</v>
      </c>
      <c r="C23">
        <v>11</v>
      </c>
      <c r="D23">
        <v>12</v>
      </c>
      <c r="F23" t="s">
        <v>135</v>
      </c>
      <c r="G23" t="s">
        <v>136</v>
      </c>
      <c r="H23" t="s">
        <v>82</v>
      </c>
      <c r="I23" t="s">
        <v>137</v>
      </c>
      <c r="J23" t="s">
        <v>29</v>
      </c>
      <c r="K23" t="s">
        <v>79</v>
      </c>
      <c r="L23" t="s">
        <v>84</v>
      </c>
      <c r="M23">
        <v>999</v>
      </c>
    </row>
    <row r="24" spans="2:16" x14ac:dyDescent="0.2">
      <c r="B24">
        <v>101</v>
      </c>
      <c r="C24">
        <v>11</v>
      </c>
      <c r="D24">
        <v>12</v>
      </c>
      <c r="F24" t="s">
        <v>138</v>
      </c>
      <c r="G24" t="s">
        <v>139</v>
      </c>
      <c r="H24" t="s">
        <v>82</v>
      </c>
      <c r="I24" t="s">
        <v>140</v>
      </c>
      <c r="J24" t="s">
        <v>29</v>
      </c>
      <c r="K24" t="s">
        <v>79</v>
      </c>
      <c r="L24" t="s">
        <v>84</v>
      </c>
      <c r="M24">
        <v>999</v>
      </c>
    </row>
    <row r="25" spans="2:16" x14ac:dyDescent="0.2">
      <c r="B25">
        <v>101</v>
      </c>
      <c r="C25">
        <v>11</v>
      </c>
      <c r="D25">
        <v>12</v>
      </c>
      <c r="F25" t="s">
        <v>141</v>
      </c>
      <c r="G25" t="s">
        <v>142</v>
      </c>
      <c r="H25" t="s">
        <v>82</v>
      </c>
      <c r="I25" t="s">
        <v>143</v>
      </c>
      <c r="J25" t="s">
        <v>29</v>
      </c>
      <c r="K25" t="s">
        <v>79</v>
      </c>
      <c r="L25" t="s">
        <v>84</v>
      </c>
      <c r="M25">
        <v>999</v>
      </c>
      <c r="P25">
        <v>16</v>
      </c>
    </row>
    <row r="26" spans="2:16" x14ac:dyDescent="0.2">
      <c r="B26">
        <v>101</v>
      </c>
      <c r="C26">
        <v>11</v>
      </c>
      <c r="D26">
        <v>12</v>
      </c>
      <c r="F26" t="s">
        <v>144</v>
      </c>
      <c r="G26" t="s">
        <v>145</v>
      </c>
      <c r="H26" t="s">
        <v>82</v>
      </c>
      <c r="I26" t="s">
        <v>146</v>
      </c>
      <c r="J26" t="s">
        <v>29</v>
      </c>
      <c r="K26" t="s">
        <v>79</v>
      </c>
      <c r="L26" t="s">
        <v>84</v>
      </c>
      <c r="M26">
        <v>999</v>
      </c>
      <c r="P26">
        <v>16</v>
      </c>
    </row>
    <row r="27" spans="2:16" x14ac:dyDescent="0.2">
      <c r="B27">
        <v>101</v>
      </c>
      <c r="C27">
        <v>11</v>
      </c>
      <c r="D27">
        <v>12</v>
      </c>
      <c r="F27" t="s">
        <v>147</v>
      </c>
      <c r="G27" t="s">
        <v>148</v>
      </c>
      <c r="H27" t="s">
        <v>82</v>
      </c>
      <c r="I27" t="s">
        <v>149</v>
      </c>
      <c r="J27" t="s">
        <v>29</v>
      </c>
      <c r="K27" t="s">
        <v>79</v>
      </c>
      <c r="L27" t="s">
        <v>84</v>
      </c>
      <c r="M27">
        <v>999</v>
      </c>
      <c r="P27">
        <v>32</v>
      </c>
    </row>
    <row r="28" spans="2:16" x14ac:dyDescent="0.2">
      <c r="B28">
        <v>101</v>
      </c>
      <c r="C28">
        <v>11</v>
      </c>
      <c r="D28">
        <v>12</v>
      </c>
      <c r="F28" t="s">
        <v>150</v>
      </c>
      <c r="G28" t="s">
        <v>151</v>
      </c>
      <c r="H28" t="s">
        <v>82</v>
      </c>
      <c r="I28" t="s">
        <v>152</v>
      </c>
      <c r="J28" t="s">
        <v>29</v>
      </c>
      <c r="K28" t="s">
        <v>79</v>
      </c>
      <c r="L28" t="s">
        <v>84</v>
      </c>
      <c r="M28">
        <v>999</v>
      </c>
      <c r="N28">
        <v>999</v>
      </c>
      <c r="P28">
        <v>32</v>
      </c>
    </row>
    <row r="29" spans="2:16" x14ac:dyDescent="0.2">
      <c r="B29">
        <v>101</v>
      </c>
      <c r="C29">
        <v>11</v>
      </c>
      <c r="D29">
        <v>12</v>
      </c>
      <c r="F29" t="s">
        <v>153</v>
      </c>
      <c r="G29" t="s">
        <v>154</v>
      </c>
      <c r="H29" t="s">
        <v>82</v>
      </c>
      <c r="I29" t="s">
        <v>155</v>
      </c>
      <c r="J29" t="s">
        <v>29</v>
      </c>
      <c r="K29" t="s">
        <v>79</v>
      </c>
      <c r="L29" t="s">
        <v>84</v>
      </c>
      <c r="M29">
        <v>999</v>
      </c>
    </row>
    <row r="30" spans="2:16" x14ac:dyDescent="0.2">
      <c r="B30">
        <v>101</v>
      </c>
      <c r="C30">
        <v>11</v>
      </c>
      <c r="D30">
        <v>12</v>
      </c>
      <c r="F30" t="s">
        <v>156</v>
      </c>
      <c r="G30" t="s">
        <v>151</v>
      </c>
      <c r="H30" t="s">
        <v>82</v>
      </c>
      <c r="I30" t="s">
        <v>157</v>
      </c>
      <c r="J30" t="s">
        <v>29</v>
      </c>
      <c r="K30" t="s">
        <v>79</v>
      </c>
      <c r="L30" t="s">
        <v>84</v>
      </c>
      <c r="M30">
        <v>999</v>
      </c>
      <c r="P30">
        <v>16</v>
      </c>
    </row>
    <row r="31" spans="2:16" x14ac:dyDescent="0.2">
      <c r="B31">
        <v>101</v>
      </c>
      <c r="C31">
        <v>11</v>
      </c>
      <c r="D31">
        <v>12</v>
      </c>
      <c r="F31" t="s">
        <v>158</v>
      </c>
      <c r="G31" t="s">
        <v>159</v>
      </c>
      <c r="H31" t="s">
        <v>82</v>
      </c>
      <c r="I31" t="s">
        <v>160</v>
      </c>
      <c r="J31" t="s">
        <v>29</v>
      </c>
      <c r="K31" t="s">
        <v>79</v>
      </c>
      <c r="L31" t="s">
        <v>84</v>
      </c>
      <c r="M31">
        <v>999</v>
      </c>
      <c r="N31">
        <v>999</v>
      </c>
      <c r="P31">
        <v>64</v>
      </c>
    </row>
    <row r="32" spans="2:16" x14ac:dyDescent="0.2">
      <c r="B32">
        <v>101</v>
      </c>
      <c r="C32">
        <v>11</v>
      </c>
      <c r="D32">
        <v>12</v>
      </c>
      <c r="F32" t="s">
        <v>161</v>
      </c>
      <c r="G32" t="s">
        <v>162</v>
      </c>
      <c r="H32" t="s">
        <v>82</v>
      </c>
      <c r="I32" t="s">
        <v>163</v>
      </c>
      <c r="J32" t="s">
        <v>29</v>
      </c>
      <c r="K32" t="s">
        <v>79</v>
      </c>
      <c r="L32" t="s">
        <v>84</v>
      </c>
      <c r="M32">
        <v>999</v>
      </c>
      <c r="P32">
        <v>16</v>
      </c>
    </row>
    <row r="33" spans="2:16" x14ac:dyDescent="0.2">
      <c r="B33">
        <v>101</v>
      </c>
      <c r="C33">
        <v>11</v>
      </c>
      <c r="D33">
        <v>12</v>
      </c>
      <c r="F33" t="s">
        <v>164</v>
      </c>
      <c r="G33" t="s">
        <v>165</v>
      </c>
      <c r="H33" t="s">
        <v>82</v>
      </c>
      <c r="I33" t="s">
        <v>166</v>
      </c>
      <c r="J33" t="s">
        <v>29</v>
      </c>
      <c r="K33" t="s">
        <v>79</v>
      </c>
      <c r="L33" t="s">
        <v>84</v>
      </c>
      <c r="M33">
        <v>999</v>
      </c>
    </row>
    <row r="34" spans="2:16" x14ac:dyDescent="0.2">
      <c r="B34">
        <v>101</v>
      </c>
      <c r="C34">
        <v>11</v>
      </c>
      <c r="D34">
        <v>13</v>
      </c>
      <c r="F34" t="s">
        <v>167</v>
      </c>
      <c r="G34" t="s">
        <v>168</v>
      </c>
      <c r="H34" t="s">
        <v>169</v>
      </c>
      <c r="I34" t="s">
        <v>170</v>
      </c>
      <c r="J34" t="s">
        <v>29</v>
      </c>
      <c r="K34" t="s">
        <v>79</v>
      </c>
      <c r="L34" t="s">
        <v>171</v>
      </c>
      <c r="M34">
        <v>999</v>
      </c>
      <c r="P34">
        <v>30</v>
      </c>
    </row>
    <row r="35" spans="2:16" x14ac:dyDescent="0.2">
      <c r="B35">
        <v>101</v>
      </c>
      <c r="C35">
        <v>11</v>
      </c>
      <c r="D35">
        <v>14</v>
      </c>
      <c r="F35" t="s">
        <v>172</v>
      </c>
      <c r="G35" t="s">
        <v>173</v>
      </c>
      <c r="H35" t="s">
        <v>82</v>
      </c>
      <c r="I35" t="s">
        <v>174</v>
      </c>
      <c r="J35" t="s">
        <v>29</v>
      </c>
      <c r="K35" t="s">
        <v>79</v>
      </c>
      <c r="L35" t="s">
        <v>175</v>
      </c>
      <c r="M35">
        <v>999</v>
      </c>
      <c r="N35">
        <v>999</v>
      </c>
    </row>
    <row r="36" spans="2:16" x14ac:dyDescent="0.2">
      <c r="B36">
        <v>101</v>
      </c>
      <c r="C36">
        <v>11</v>
      </c>
      <c r="D36">
        <v>14</v>
      </c>
      <c r="F36" t="s">
        <v>176</v>
      </c>
      <c r="G36" t="s">
        <v>177</v>
      </c>
      <c r="H36" t="s">
        <v>82</v>
      </c>
      <c r="I36" t="s">
        <v>178</v>
      </c>
      <c r="J36" t="s">
        <v>29</v>
      </c>
      <c r="K36" t="s">
        <v>79</v>
      </c>
      <c r="L36" t="s">
        <v>175</v>
      </c>
      <c r="M36">
        <v>999</v>
      </c>
    </row>
    <row r="37" spans="2:16" x14ac:dyDescent="0.2">
      <c r="B37">
        <v>101</v>
      </c>
      <c r="C37">
        <v>11</v>
      </c>
      <c r="D37">
        <v>14</v>
      </c>
      <c r="F37" t="s">
        <v>179</v>
      </c>
      <c r="G37" t="s">
        <v>180</v>
      </c>
      <c r="H37" t="s">
        <v>82</v>
      </c>
      <c r="I37" t="s">
        <v>181</v>
      </c>
      <c r="J37" t="s">
        <v>29</v>
      </c>
      <c r="K37" t="s">
        <v>79</v>
      </c>
      <c r="L37" t="s">
        <v>175</v>
      </c>
      <c r="M37">
        <v>999</v>
      </c>
      <c r="P37">
        <v>16</v>
      </c>
    </row>
    <row r="38" spans="2:16" x14ac:dyDescent="0.2">
      <c r="B38">
        <v>101</v>
      </c>
      <c r="C38">
        <v>11</v>
      </c>
      <c r="D38">
        <v>14</v>
      </c>
      <c r="F38" t="s">
        <v>182</v>
      </c>
      <c r="G38" t="s">
        <v>183</v>
      </c>
      <c r="H38" t="s">
        <v>82</v>
      </c>
      <c r="I38" t="s">
        <v>184</v>
      </c>
      <c r="J38" t="s">
        <v>29</v>
      </c>
      <c r="K38" t="s">
        <v>79</v>
      </c>
      <c r="L38" t="s">
        <v>175</v>
      </c>
      <c r="M38">
        <v>999</v>
      </c>
      <c r="P38">
        <v>16</v>
      </c>
    </row>
    <row r="39" spans="2:16" x14ac:dyDescent="0.2">
      <c r="B39">
        <v>101</v>
      </c>
      <c r="C39">
        <v>11</v>
      </c>
      <c r="D39">
        <v>14</v>
      </c>
      <c r="F39" t="s">
        <v>185</v>
      </c>
      <c r="G39" t="s">
        <v>186</v>
      </c>
      <c r="H39" t="s">
        <v>82</v>
      </c>
      <c r="I39" t="s">
        <v>187</v>
      </c>
      <c r="J39" t="s">
        <v>29</v>
      </c>
      <c r="K39" t="s">
        <v>79</v>
      </c>
      <c r="L39" t="s">
        <v>175</v>
      </c>
      <c r="M39">
        <v>999</v>
      </c>
      <c r="P39">
        <v>16</v>
      </c>
    </row>
    <row r="40" spans="2:16" x14ac:dyDescent="0.2">
      <c r="B40">
        <v>101</v>
      </c>
      <c r="C40">
        <v>11</v>
      </c>
      <c r="D40">
        <v>14</v>
      </c>
      <c r="F40" t="s">
        <v>188</v>
      </c>
      <c r="G40" t="s">
        <v>189</v>
      </c>
      <c r="H40" t="s">
        <v>82</v>
      </c>
      <c r="I40" t="s">
        <v>190</v>
      </c>
      <c r="J40" t="s">
        <v>29</v>
      </c>
      <c r="K40" t="s">
        <v>79</v>
      </c>
      <c r="L40" t="s">
        <v>175</v>
      </c>
      <c r="M40">
        <v>999</v>
      </c>
      <c r="P40">
        <v>32</v>
      </c>
    </row>
    <row r="41" spans="2:16" x14ac:dyDescent="0.2">
      <c r="B41">
        <v>101</v>
      </c>
      <c r="C41">
        <v>11</v>
      </c>
      <c r="D41">
        <v>14</v>
      </c>
      <c r="F41" t="s">
        <v>191</v>
      </c>
      <c r="G41" t="s">
        <v>192</v>
      </c>
      <c r="H41" t="s">
        <v>82</v>
      </c>
      <c r="I41" t="s">
        <v>193</v>
      </c>
      <c r="J41" t="s">
        <v>29</v>
      </c>
      <c r="K41" t="s">
        <v>79</v>
      </c>
      <c r="L41" t="s">
        <v>175</v>
      </c>
      <c r="M41">
        <v>999</v>
      </c>
    </row>
    <row r="42" spans="2:16" x14ac:dyDescent="0.2">
      <c r="B42">
        <v>101</v>
      </c>
      <c r="C42">
        <v>11</v>
      </c>
      <c r="D42">
        <v>14</v>
      </c>
      <c r="F42" t="s">
        <v>194</v>
      </c>
      <c r="G42" t="s">
        <v>195</v>
      </c>
      <c r="H42" t="s">
        <v>82</v>
      </c>
      <c r="I42" t="s">
        <v>196</v>
      </c>
      <c r="J42" t="s">
        <v>29</v>
      </c>
      <c r="K42" t="s">
        <v>79</v>
      </c>
      <c r="L42" t="s">
        <v>175</v>
      </c>
      <c r="M42">
        <v>999</v>
      </c>
      <c r="P42">
        <v>16</v>
      </c>
    </row>
    <row r="43" spans="2:16" x14ac:dyDescent="0.2">
      <c r="B43">
        <v>101</v>
      </c>
      <c r="C43">
        <v>11</v>
      </c>
      <c r="D43">
        <v>14</v>
      </c>
      <c r="F43" t="s">
        <v>197</v>
      </c>
      <c r="G43" t="s">
        <v>198</v>
      </c>
      <c r="H43" t="s">
        <v>82</v>
      </c>
      <c r="I43" t="s">
        <v>199</v>
      </c>
      <c r="J43" t="s">
        <v>29</v>
      </c>
      <c r="K43" t="s">
        <v>79</v>
      </c>
      <c r="L43" t="s">
        <v>175</v>
      </c>
      <c r="M43">
        <v>999</v>
      </c>
      <c r="P43">
        <v>16</v>
      </c>
    </row>
    <row r="44" spans="2:16" x14ac:dyDescent="0.2">
      <c r="B44">
        <v>101</v>
      </c>
      <c r="C44">
        <v>11</v>
      </c>
      <c r="D44">
        <v>14</v>
      </c>
      <c r="F44" t="s">
        <v>200</v>
      </c>
      <c r="G44" t="s">
        <v>201</v>
      </c>
      <c r="H44" t="s">
        <v>82</v>
      </c>
      <c r="I44" t="s">
        <v>202</v>
      </c>
      <c r="J44" t="s">
        <v>29</v>
      </c>
      <c r="K44" t="s">
        <v>79</v>
      </c>
      <c r="L44" t="s">
        <v>175</v>
      </c>
      <c r="M44">
        <v>999</v>
      </c>
      <c r="P44">
        <v>19</v>
      </c>
    </row>
    <row r="45" spans="2:16" x14ac:dyDescent="0.2">
      <c r="B45">
        <v>101</v>
      </c>
      <c r="C45">
        <v>11</v>
      </c>
      <c r="D45">
        <v>14</v>
      </c>
      <c r="F45" t="s">
        <v>203</v>
      </c>
      <c r="G45" t="s">
        <v>204</v>
      </c>
      <c r="H45" t="s">
        <v>82</v>
      </c>
      <c r="I45" t="s">
        <v>205</v>
      </c>
      <c r="J45" t="s">
        <v>29</v>
      </c>
      <c r="K45" t="s">
        <v>79</v>
      </c>
      <c r="L45" t="s">
        <v>175</v>
      </c>
      <c r="M45">
        <v>999</v>
      </c>
    </row>
    <row r="46" spans="2:16" x14ac:dyDescent="0.2">
      <c r="B46">
        <v>101</v>
      </c>
      <c r="C46">
        <v>11</v>
      </c>
      <c r="D46">
        <v>14</v>
      </c>
      <c r="F46" t="s">
        <v>206</v>
      </c>
      <c r="G46" t="s">
        <v>207</v>
      </c>
      <c r="H46" t="s">
        <v>82</v>
      </c>
      <c r="I46" t="s">
        <v>208</v>
      </c>
      <c r="J46" t="s">
        <v>29</v>
      </c>
      <c r="K46" t="s">
        <v>79</v>
      </c>
      <c r="L46" t="s">
        <v>175</v>
      </c>
      <c r="M46">
        <v>999</v>
      </c>
    </row>
    <row r="47" spans="2:16" x14ac:dyDescent="0.2">
      <c r="B47">
        <v>101</v>
      </c>
      <c r="C47">
        <v>11</v>
      </c>
      <c r="D47">
        <v>14</v>
      </c>
      <c r="F47" t="s">
        <v>209</v>
      </c>
      <c r="G47" t="s">
        <v>210</v>
      </c>
      <c r="H47" t="s">
        <v>82</v>
      </c>
      <c r="I47" t="s">
        <v>211</v>
      </c>
      <c r="J47" t="s">
        <v>29</v>
      </c>
      <c r="K47" t="s">
        <v>79</v>
      </c>
      <c r="L47" t="s">
        <v>175</v>
      </c>
      <c r="M47">
        <v>999</v>
      </c>
      <c r="P47">
        <v>32</v>
      </c>
    </row>
    <row r="48" spans="2:16" x14ac:dyDescent="0.2">
      <c r="B48">
        <v>101</v>
      </c>
      <c r="C48">
        <v>11</v>
      </c>
      <c r="D48">
        <v>14</v>
      </c>
      <c r="F48" t="s">
        <v>212</v>
      </c>
      <c r="G48" t="s">
        <v>213</v>
      </c>
      <c r="H48" t="s">
        <v>82</v>
      </c>
      <c r="I48" t="s">
        <v>214</v>
      </c>
      <c r="J48" t="s">
        <v>29</v>
      </c>
      <c r="K48" t="s">
        <v>79</v>
      </c>
      <c r="L48" t="s">
        <v>175</v>
      </c>
      <c r="M48">
        <v>999</v>
      </c>
    </row>
    <row r="49" spans="2:16" x14ac:dyDescent="0.2">
      <c r="B49">
        <v>101</v>
      </c>
      <c r="C49">
        <v>11</v>
      </c>
      <c r="D49">
        <v>15</v>
      </c>
      <c r="F49" t="s">
        <v>215</v>
      </c>
      <c r="G49" t="s">
        <v>216</v>
      </c>
      <c r="H49" t="s">
        <v>82</v>
      </c>
      <c r="I49" t="s">
        <v>217</v>
      </c>
      <c r="J49" t="s">
        <v>29</v>
      </c>
      <c r="K49" t="s">
        <v>79</v>
      </c>
      <c r="L49" t="s">
        <v>218</v>
      </c>
      <c r="M49">
        <v>999</v>
      </c>
    </row>
    <row r="50" spans="2:16" x14ac:dyDescent="0.2">
      <c r="B50">
        <v>101</v>
      </c>
      <c r="C50">
        <v>11</v>
      </c>
      <c r="D50">
        <v>15</v>
      </c>
      <c r="F50" t="s">
        <v>219</v>
      </c>
      <c r="G50" t="s">
        <v>220</v>
      </c>
      <c r="H50" t="s">
        <v>82</v>
      </c>
      <c r="I50" t="s">
        <v>77</v>
      </c>
      <c r="J50" t="s">
        <v>29</v>
      </c>
      <c r="K50" t="s">
        <v>79</v>
      </c>
      <c r="L50" t="s">
        <v>218</v>
      </c>
      <c r="M50">
        <v>999</v>
      </c>
      <c r="N50">
        <v>999</v>
      </c>
      <c r="P50">
        <v>16</v>
      </c>
    </row>
    <row r="51" spans="2:16" x14ac:dyDescent="0.2">
      <c r="B51">
        <v>101</v>
      </c>
      <c r="C51">
        <v>11</v>
      </c>
      <c r="D51">
        <v>15</v>
      </c>
      <c r="F51" t="s">
        <v>221</v>
      </c>
      <c r="G51" t="s">
        <v>222</v>
      </c>
      <c r="H51" t="s">
        <v>82</v>
      </c>
      <c r="I51" t="s">
        <v>223</v>
      </c>
      <c r="J51" t="s">
        <v>29</v>
      </c>
      <c r="K51" t="s">
        <v>79</v>
      </c>
      <c r="L51" t="s">
        <v>218</v>
      </c>
      <c r="M51">
        <v>999</v>
      </c>
    </row>
    <row r="52" spans="2:16" x14ac:dyDescent="0.2">
      <c r="B52">
        <v>101</v>
      </c>
      <c r="C52">
        <v>11</v>
      </c>
      <c r="D52">
        <v>15</v>
      </c>
      <c r="F52" t="s">
        <v>224</v>
      </c>
      <c r="G52" t="s">
        <v>225</v>
      </c>
      <c r="H52" t="s">
        <v>82</v>
      </c>
      <c r="I52" t="s">
        <v>226</v>
      </c>
      <c r="J52" t="s">
        <v>29</v>
      </c>
      <c r="K52" t="s">
        <v>79</v>
      </c>
      <c r="L52" t="s">
        <v>218</v>
      </c>
      <c r="M52">
        <v>999</v>
      </c>
    </row>
    <row r="53" spans="2:16" x14ac:dyDescent="0.2">
      <c r="B53">
        <v>101</v>
      </c>
      <c r="C53">
        <v>11</v>
      </c>
      <c r="D53">
        <v>15</v>
      </c>
      <c r="F53" t="s">
        <v>227</v>
      </c>
      <c r="G53" t="s">
        <v>228</v>
      </c>
      <c r="H53" t="s">
        <v>82</v>
      </c>
      <c r="I53" t="s">
        <v>229</v>
      </c>
      <c r="J53" t="s">
        <v>29</v>
      </c>
      <c r="K53" t="s">
        <v>79</v>
      </c>
      <c r="L53" t="s">
        <v>218</v>
      </c>
      <c r="M53">
        <v>999</v>
      </c>
      <c r="P53">
        <v>16</v>
      </c>
    </row>
    <row r="54" spans="2:16" x14ac:dyDescent="0.2">
      <c r="B54">
        <v>101</v>
      </c>
      <c r="C54">
        <v>11</v>
      </c>
      <c r="D54">
        <v>15</v>
      </c>
      <c r="F54" t="s">
        <v>230</v>
      </c>
      <c r="G54" t="s">
        <v>231</v>
      </c>
      <c r="H54" t="s">
        <v>82</v>
      </c>
      <c r="I54" t="s">
        <v>232</v>
      </c>
      <c r="J54" t="s">
        <v>29</v>
      </c>
      <c r="K54" t="s">
        <v>79</v>
      </c>
      <c r="L54" t="s">
        <v>218</v>
      </c>
      <c r="M54">
        <v>999</v>
      </c>
      <c r="P54">
        <v>256</v>
      </c>
    </row>
    <row r="55" spans="2:16" x14ac:dyDescent="0.2">
      <c r="B55">
        <v>101</v>
      </c>
      <c r="C55">
        <v>11</v>
      </c>
      <c r="D55">
        <v>16</v>
      </c>
      <c r="F55" t="s">
        <v>233</v>
      </c>
      <c r="G55" t="s">
        <v>234</v>
      </c>
      <c r="H55" t="s">
        <v>82</v>
      </c>
      <c r="I55" t="s">
        <v>235</v>
      </c>
      <c r="J55" t="s">
        <v>29</v>
      </c>
      <c r="K55" t="s">
        <v>79</v>
      </c>
      <c r="L55" t="s">
        <v>236</v>
      </c>
      <c r="M55">
        <v>999</v>
      </c>
    </row>
    <row r="56" spans="2:16" x14ac:dyDescent="0.2">
      <c r="B56">
        <v>101</v>
      </c>
      <c r="C56">
        <v>11</v>
      </c>
      <c r="D56">
        <v>16</v>
      </c>
      <c r="F56" t="s">
        <v>237</v>
      </c>
      <c r="G56" t="s">
        <v>238</v>
      </c>
      <c r="H56" t="s">
        <v>82</v>
      </c>
      <c r="I56" t="s">
        <v>239</v>
      </c>
      <c r="J56" t="s">
        <v>29</v>
      </c>
      <c r="K56" t="s">
        <v>79</v>
      </c>
      <c r="L56" t="s">
        <v>236</v>
      </c>
      <c r="M56">
        <v>999</v>
      </c>
      <c r="N56">
        <v>999</v>
      </c>
      <c r="P56">
        <v>64</v>
      </c>
    </row>
    <row r="57" spans="2:16" x14ac:dyDescent="0.2">
      <c r="B57">
        <v>101</v>
      </c>
      <c r="C57">
        <v>11</v>
      </c>
      <c r="D57">
        <v>16</v>
      </c>
      <c r="F57" t="s">
        <v>240</v>
      </c>
      <c r="G57" t="s">
        <v>241</v>
      </c>
      <c r="H57" t="s">
        <v>82</v>
      </c>
      <c r="I57" t="s">
        <v>242</v>
      </c>
      <c r="J57" t="s">
        <v>29</v>
      </c>
      <c r="K57" t="s">
        <v>79</v>
      </c>
      <c r="L57" t="s">
        <v>236</v>
      </c>
      <c r="M57">
        <v>999</v>
      </c>
      <c r="P57">
        <v>16</v>
      </c>
    </row>
    <row r="58" spans="2:16" x14ac:dyDescent="0.2">
      <c r="B58">
        <v>101</v>
      </c>
      <c r="C58">
        <v>11</v>
      </c>
      <c r="D58">
        <v>16</v>
      </c>
      <c r="F58" t="s">
        <v>243</v>
      </c>
      <c r="G58" t="s">
        <v>244</v>
      </c>
      <c r="H58" t="s">
        <v>82</v>
      </c>
      <c r="I58" t="s">
        <v>245</v>
      </c>
      <c r="J58" t="s">
        <v>29</v>
      </c>
      <c r="K58" t="s">
        <v>79</v>
      </c>
      <c r="L58" t="s">
        <v>236</v>
      </c>
      <c r="M58">
        <v>999</v>
      </c>
      <c r="N58">
        <v>999</v>
      </c>
      <c r="P58">
        <v>32</v>
      </c>
    </row>
    <row r="59" spans="2:16" x14ac:dyDescent="0.2">
      <c r="B59">
        <v>101</v>
      </c>
      <c r="C59">
        <v>11</v>
      </c>
      <c r="D59">
        <v>16</v>
      </c>
      <c r="F59" t="s">
        <v>246</v>
      </c>
      <c r="G59" t="s">
        <v>247</v>
      </c>
      <c r="H59" t="s">
        <v>82</v>
      </c>
      <c r="I59" t="s">
        <v>248</v>
      </c>
      <c r="J59" t="s">
        <v>29</v>
      </c>
      <c r="K59" t="s">
        <v>79</v>
      </c>
      <c r="L59" t="s">
        <v>236</v>
      </c>
      <c r="M59">
        <v>999</v>
      </c>
    </row>
    <row r="60" spans="2:16" x14ac:dyDescent="0.2">
      <c r="B60">
        <v>101</v>
      </c>
      <c r="C60">
        <v>11</v>
      </c>
      <c r="D60">
        <v>16</v>
      </c>
      <c r="F60" t="s">
        <v>249</v>
      </c>
      <c r="G60" t="s">
        <v>250</v>
      </c>
      <c r="H60" t="s">
        <v>82</v>
      </c>
      <c r="I60" t="s">
        <v>251</v>
      </c>
      <c r="J60" t="s">
        <v>29</v>
      </c>
      <c r="K60" t="s">
        <v>79</v>
      </c>
      <c r="L60" t="s">
        <v>236</v>
      </c>
      <c r="M60">
        <v>999</v>
      </c>
      <c r="N60">
        <v>999</v>
      </c>
      <c r="P60">
        <v>16</v>
      </c>
    </row>
    <row r="61" spans="2:16" x14ac:dyDescent="0.2">
      <c r="B61">
        <v>101</v>
      </c>
      <c r="C61">
        <v>11</v>
      </c>
      <c r="D61">
        <v>16</v>
      </c>
      <c r="F61" t="s">
        <v>252</v>
      </c>
      <c r="G61" t="s">
        <v>253</v>
      </c>
      <c r="H61" t="s">
        <v>82</v>
      </c>
      <c r="I61" t="s">
        <v>254</v>
      </c>
      <c r="J61" t="s">
        <v>29</v>
      </c>
      <c r="K61" t="s">
        <v>79</v>
      </c>
      <c r="L61" t="s">
        <v>236</v>
      </c>
      <c r="M61">
        <v>999</v>
      </c>
      <c r="P61">
        <v>16</v>
      </c>
    </row>
    <row r="62" spans="2:16" x14ac:dyDescent="0.2">
      <c r="B62">
        <v>101</v>
      </c>
      <c r="C62">
        <v>11</v>
      </c>
      <c r="D62">
        <v>16</v>
      </c>
      <c r="F62" t="s">
        <v>255</v>
      </c>
      <c r="G62" t="s">
        <v>256</v>
      </c>
      <c r="H62" t="s">
        <v>82</v>
      </c>
      <c r="I62" t="s">
        <v>257</v>
      </c>
      <c r="J62" t="s">
        <v>29</v>
      </c>
      <c r="K62" t="s">
        <v>79</v>
      </c>
      <c r="L62" t="s">
        <v>236</v>
      </c>
      <c r="M62">
        <v>999</v>
      </c>
      <c r="N62">
        <v>999</v>
      </c>
      <c r="P62">
        <v>128</v>
      </c>
    </row>
    <row r="63" spans="2:16" x14ac:dyDescent="0.2">
      <c r="B63">
        <v>101</v>
      </c>
      <c r="C63">
        <v>11</v>
      </c>
      <c r="D63">
        <v>16</v>
      </c>
      <c r="F63" t="s">
        <v>258</v>
      </c>
      <c r="G63" t="s">
        <v>259</v>
      </c>
      <c r="H63" t="s">
        <v>82</v>
      </c>
      <c r="I63" t="s">
        <v>260</v>
      </c>
      <c r="J63" t="s">
        <v>29</v>
      </c>
      <c r="K63" t="s">
        <v>79</v>
      </c>
      <c r="L63" t="s">
        <v>236</v>
      </c>
      <c r="M63">
        <v>999</v>
      </c>
    </row>
    <row r="64" spans="2:16" x14ac:dyDescent="0.2">
      <c r="B64">
        <v>101</v>
      </c>
      <c r="C64">
        <v>11</v>
      </c>
      <c r="D64">
        <v>17</v>
      </c>
      <c r="F64" t="s">
        <v>261</v>
      </c>
      <c r="G64" t="s">
        <v>262</v>
      </c>
      <c r="H64" t="s">
        <v>82</v>
      </c>
      <c r="I64" t="s">
        <v>263</v>
      </c>
      <c r="J64" t="s">
        <v>29</v>
      </c>
      <c r="K64" t="s">
        <v>79</v>
      </c>
      <c r="L64" t="s">
        <v>264</v>
      </c>
      <c r="M64">
        <v>999</v>
      </c>
      <c r="N64">
        <v>999</v>
      </c>
      <c r="P64">
        <v>32</v>
      </c>
    </row>
    <row r="65" spans="2:16" x14ac:dyDescent="0.2">
      <c r="B65">
        <v>101</v>
      </c>
      <c r="C65">
        <v>11</v>
      </c>
      <c r="D65">
        <v>17</v>
      </c>
      <c r="F65" t="s">
        <v>265</v>
      </c>
      <c r="G65" t="s">
        <v>266</v>
      </c>
      <c r="H65" t="s">
        <v>82</v>
      </c>
      <c r="I65" t="s">
        <v>267</v>
      </c>
      <c r="J65" t="s">
        <v>29</v>
      </c>
      <c r="K65" t="s">
        <v>79</v>
      </c>
      <c r="L65" t="s">
        <v>264</v>
      </c>
      <c r="M65">
        <v>999</v>
      </c>
      <c r="P65">
        <v>16</v>
      </c>
    </row>
    <row r="66" spans="2:16" x14ac:dyDescent="0.2">
      <c r="B66">
        <v>101</v>
      </c>
      <c r="C66">
        <v>11</v>
      </c>
      <c r="D66">
        <v>17</v>
      </c>
      <c r="F66" t="s">
        <v>268</v>
      </c>
      <c r="G66" t="s">
        <v>269</v>
      </c>
      <c r="H66" t="s">
        <v>82</v>
      </c>
      <c r="I66" t="s">
        <v>270</v>
      </c>
      <c r="J66" t="s">
        <v>29</v>
      </c>
      <c r="K66" t="s">
        <v>79</v>
      </c>
      <c r="L66" t="s">
        <v>264</v>
      </c>
      <c r="M66">
        <v>999</v>
      </c>
    </row>
    <row r="67" spans="2:16" x14ac:dyDescent="0.2">
      <c r="B67">
        <v>101</v>
      </c>
      <c r="C67">
        <v>11</v>
      </c>
      <c r="D67">
        <v>17</v>
      </c>
      <c r="F67" t="s">
        <v>271</v>
      </c>
      <c r="G67" t="s">
        <v>272</v>
      </c>
      <c r="H67" t="s">
        <v>82</v>
      </c>
      <c r="I67" t="s">
        <v>273</v>
      </c>
      <c r="J67" t="s">
        <v>29</v>
      </c>
      <c r="K67" t="s">
        <v>79</v>
      </c>
      <c r="L67" t="s">
        <v>264</v>
      </c>
      <c r="M67">
        <v>999</v>
      </c>
    </row>
    <row r="68" spans="2:16" x14ac:dyDescent="0.2">
      <c r="B68">
        <v>101</v>
      </c>
      <c r="C68">
        <v>11</v>
      </c>
      <c r="D68">
        <v>17</v>
      </c>
      <c r="F68" t="s">
        <v>274</v>
      </c>
      <c r="G68" t="s">
        <v>275</v>
      </c>
      <c r="H68" t="s">
        <v>82</v>
      </c>
      <c r="I68" t="s">
        <v>276</v>
      </c>
      <c r="J68" t="s">
        <v>29</v>
      </c>
      <c r="K68" t="s">
        <v>79</v>
      </c>
      <c r="L68" t="s">
        <v>264</v>
      </c>
      <c r="M68">
        <v>999</v>
      </c>
    </row>
    <row r="69" spans="2:16" x14ac:dyDescent="0.2">
      <c r="B69">
        <v>101</v>
      </c>
      <c r="C69">
        <v>11</v>
      </c>
      <c r="D69">
        <v>17</v>
      </c>
      <c r="F69" t="s">
        <v>277</v>
      </c>
      <c r="G69" t="s">
        <v>278</v>
      </c>
      <c r="H69" t="s">
        <v>82</v>
      </c>
      <c r="I69" t="s">
        <v>279</v>
      </c>
      <c r="J69" t="s">
        <v>29</v>
      </c>
      <c r="K69" t="s">
        <v>79</v>
      </c>
      <c r="L69" t="s">
        <v>264</v>
      </c>
      <c r="M69">
        <v>999</v>
      </c>
      <c r="N69">
        <v>999</v>
      </c>
      <c r="P69">
        <v>1024</v>
      </c>
    </row>
    <row r="70" spans="2:16" x14ac:dyDescent="0.2">
      <c r="B70">
        <v>101</v>
      </c>
      <c r="C70">
        <v>11</v>
      </c>
      <c r="D70">
        <v>17</v>
      </c>
      <c r="F70" t="s">
        <v>280</v>
      </c>
      <c r="G70" t="s">
        <v>281</v>
      </c>
      <c r="H70" t="s">
        <v>82</v>
      </c>
      <c r="I70" t="s">
        <v>282</v>
      </c>
      <c r="J70" t="s">
        <v>29</v>
      </c>
      <c r="K70" t="s">
        <v>79</v>
      </c>
      <c r="L70" t="s">
        <v>264</v>
      </c>
      <c r="M70">
        <v>999</v>
      </c>
      <c r="P70">
        <v>53</v>
      </c>
    </row>
    <row r="71" spans="2:16" x14ac:dyDescent="0.2">
      <c r="B71">
        <v>101</v>
      </c>
      <c r="C71">
        <v>11</v>
      </c>
      <c r="D71">
        <v>17</v>
      </c>
      <c r="F71" t="s">
        <v>283</v>
      </c>
      <c r="G71" t="s">
        <v>281</v>
      </c>
      <c r="H71" t="s">
        <v>82</v>
      </c>
      <c r="I71" t="s">
        <v>282</v>
      </c>
      <c r="J71" t="s">
        <v>29</v>
      </c>
      <c r="K71" t="s">
        <v>79</v>
      </c>
      <c r="L71" t="s">
        <v>264</v>
      </c>
      <c r="M71">
        <v>999</v>
      </c>
      <c r="P71">
        <v>53</v>
      </c>
    </row>
    <row r="72" spans="2:16" x14ac:dyDescent="0.2">
      <c r="B72">
        <v>101</v>
      </c>
      <c r="C72">
        <v>11</v>
      </c>
      <c r="D72">
        <v>17</v>
      </c>
      <c r="F72" t="s">
        <v>284</v>
      </c>
      <c r="G72" t="s">
        <v>285</v>
      </c>
      <c r="H72" t="s">
        <v>82</v>
      </c>
      <c r="I72" t="s">
        <v>286</v>
      </c>
      <c r="J72" t="s">
        <v>29</v>
      </c>
      <c r="K72" t="s">
        <v>79</v>
      </c>
      <c r="L72" t="s">
        <v>264</v>
      </c>
      <c r="M72">
        <v>999</v>
      </c>
    </row>
    <row r="73" spans="2:16" x14ac:dyDescent="0.2">
      <c r="B73">
        <v>101</v>
      </c>
      <c r="C73">
        <v>11</v>
      </c>
      <c r="D73">
        <v>17</v>
      </c>
      <c r="F73" t="s">
        <v>287</v>
      </c>
      <c r="G73" t="s">
        <v>288</v>
      </c>
      <c r="H73" t="s">
        <v>82</v>
      </c>
      <c r="I73" t="s">
        <v>289</v>
      </c>
      <c r="J73" t="s">
        <v>29</v>
      </c>
      <c r="K73" t="s">
        <v>79</v>
      </c>
      <c r="L73" t="s">
        <v>264</v>
      </c>
      <c r="M73">
        <v>999</v>
      </c>
      <c r="P73">
        <v>197</v>
      </c>
    </row>
    <row r="74" spans="2:16" x14ac:dyDescent="0.2">
      <c r="B74">
        <v>101</v>
      </c>
      <c r="C74">
        <v>11</v>
      </c>
      <c r="D74">
        <v>17</v>
      </c>
      <c r="F74" t="s">
        <v>290</v>
      </c>
      <c r="G74" t="s">
        <v>291</v>
      </c>
      <c r="H74" t="s">
        <v>82</v>
      </c>
      <c r="I74" t="s">
        <v>292</v>
      </c>
      <c r="J74" t="s">
        <v>29</v>
      </c>
      <c r="K74" t="s">
        <v>79</v>
      </c>
      <c r="L74" t="s">
        <v>264</v>
      </c>
      <c r="M74">
        <v>999</v>
      </c>
    </row>
    <row r="75" spans="2:16" x14ac:dyDescent="0.2">
      <c r="B75">
        <v>101</v>
      </c>
      <c r="C75">
        <v>11</v>
      </c>
      <c r="D75">
        <v>17</v>
      </c>
      <c r="F75" t="s">
        <v>293</v>
      </c>
      <c r="G75" t="s">
        <v>294</v>
      </c>
      <c r="H75" t="s">
        <v>82</v>
      </c>
      <c r="I75" t="s">
        <v>295</v>
      </c>
      <c r="J75" t="s">
        <v>29</v>
      </c>
      <c r="K75" t="s">
        <v>79</v>
      </c>
      <c r="L75" t="s">
        <v>264</v>
      </c>
      <c r="M75">
        <v>999</v>
      </c>
    </row>
    <row r="76" spans="2:16" x14ac:dyDescent="0.2">
      <c r="B76">
        <v>101</v>
      </c>
      <c r="C76">
        <v>11</v>
      </c>
      <c r="D76">
        <v>17</v>
      </c>
      <c r="F76" t="s">
        <v>296</v>
      </c>
      <c r="G76" t="s">
        <v>297</v>
      </c>
      <c r="H76" t="s">
        <v>82</v>
      </c>
      <c r="I76" t="s">
        <v>298</v>
      </c>
      <c r="J76" t="s">
        <v>29</v>
      </c>
      <c r="K76" t="s">
        <v>79</v>
      </c>
      <c r="L76" t="s">
        <v>264</v>
      </c>
      <c r="M76">
        <v>999</v>
      </c>
      <c r="P76">
        <v>256</v>
      </c>
    </row>
    <row r="77" spans="2:16" x14ac:dyDescent="0.2">
      <c r="B77">
        <v>101</v>
      </c>
      <c r="C77">
        <v>11</v>
      </c>
      <c r="D77">
        <v>17</v>
      </c>
      <c r="F77" t="s">
        <v>299</v>
      </c>
      <c r="G77" t="s">
        <v>300</v>
      </c>
      <c r="H77" t="s">
        <v>82</v>
      </c>
      <c r="J77" t="s">
        <v>29</v>
      </c>
      <c r="K77" t="s">
        <v>79</v>
      </c>
      <c r="L77" t="s">
        <v>264</v>
      </c>
      <c r="M77">
        <v>999</v>
      </c>
    </row>
    <row r="78" spans="2:16" x14ac:dyDescent="0.2">
      <c r="B78">
        <v>101</v>
      </c>
      <c r="C78">
        <v>11</v>
      </c>
      <c r="D78">
        <v>17</v>
      </c>
      <c r="F78" t="s">
        <v>301</v>
      </c>
      <c r="G78" t="s">
        <v>302</v>
      </c>
      <c r="H78" t="s">
        <v>82</v>
      </c>
      <c r="I78" t="s">
        <v>303</v>
      </c>
      <c r="J78" t="s">
        <v>29</v>
      </c>
      <c r="K78" t="s">
        <v>79</v>
      </c>
      <c r="L78" t="s">
        <v>264</v>
      </c>
      <c r="M78">
        <v>999</v>
      </c>
      <c r="P78">
        <v>32</v>
      </c>
    </row>
    <row r="79" spans="2:16" x14ac:dyDescent="0.2">
      <c r="B79">
        <v>101</v>
      </c>
      <c r="C79">
        <v>11</v>
      </c>
      <c r="D79">
        <v>17</v>
      </c>
      <c r="F79" t="s">
        <v>304</v>
      </c>
      <c r="G79" t="s">
        <v>305</v>
      </c>
      <c r="H79" t="s">
        <v>82</v>
      </c>
      <c r="I79" t="s">
        <v>306</v>
      </c>
      <c r="J79" t="s">
        <v>29</v>
      </c>
      <c r="K79" t="s">
        <v>79</v>
      </c>
      <c r="L79" t="s">
        <v>264</v>
      </c>
      <c r="M79">
        <v>999</v>
      </c>
      <c r="N79">
        <v>999</v>
      </c>
      <c r="P79">
        <v>16</v>
      </c>
    </row>
    <row r="80" spans="2:16" x14ac:dyDescent="0.2">
      <c r="B80">
        <v>101</v>
      </c>
      <c r="C80">
        <v>11</v>
      </c>
      <c r="D80">
        <v>17</v>
      </c>
      <c r="F80" t="s">
        <v>307</v>
      </c>
      <c r="G80" t="s">
        <v>308</v>
      </c>
      <c r="H80" t="s">
        <v>82</v>
      </c>
      <c r="I80" t="s">
        <v>309</v>
      </c>
      <c r="J80" t="s">
        <v>29</v>
      </c>
      <c r="K80" t="s">
        <v>79</v>
      </c>
      <c r="L80" t="s">
        <v>264</v>
      </c>
      <c r="M80">
        <v>999</v>
      </c>
      <c r="N80">
        <v>999</v>
      </c>
      <c r="P80">
        <v>128</v>
      </c>
    </row>
    <row r="81" spans="2:16" x14ac:dyDescent="0.2">
      <c r="B81">
        <v>101</v>
      </c>
      <c r="C81">
        <v>11</v>
      </c>
      <c r="D81">
        <v>17</v>
      </c>
      <c r="F81" t="s">
        <v>310</v>
      </c>
      <c r="G81" t="s">
        <v>311</v>
      </c>
      <c r="H81" t="s">
        <v>82</v>
      </c>
      <c r="I81" t="s">
        <v>312</v>
      </c>
      <c r="J81" t="s">
        <v>29</v>
      </c>
      <c r="K81" t="s">
        <v>79</v>
      </c>
      <c r="L81" t="s">
        <v>264</v>
      </c>
      <c r="M81">
        <v>999</v>
      </c>
    </row>
    <row r="82" spans="2:16" x14ac:dyDescent="0.2">
      <c r="B82">
        <v>101</v>
      </c>
      <c r="C82">
        <v>11</v>
      </c>
      <c r="D82">
        <v>17</v>
      </c>
      <c r="F82" t="s">
        <v>313</v>
      </c>
      <c r="G82" t="s">
        <v>314</v>
      </c>
      <c r="H82" t="s">
        <v>82</v>
      </c>
      <c r="I82" t="s">
        <v>315</v>
      </c>
      <c r="J82" t="s">
        <v>29</v>
      </c>
      <c r="K82" t="s">
        <v>79</v>
      </c>
      <c r="L82" t="s">
        <v>264</v>
      </c>
      <c r="M82">
        <v>999</v>
      </c>
    </row>
    <row r="83" spans="2:16" x14ac:dyDescent="0.2">
      <c r="B83">
        <v>101</v>
      </c>
      <c r="C83">
        <v>11</v>
      </c>
      <c r="D83">
        <v>17</v>
      </c>
      <c r="F83" t="s">
        <v>316</v>
      </c>
      <c r="G83" t="s">
        <v>317</v>
      </c>
      <c r="H83" t="s">
        <v>82</v>
      </c>
      <c r="I83" t="s">
        <v>318</v>
      </c>
      <c r="J83" t="s">
        <v>29</v>
      </c>
      <c r="K83" t="s">
        <v>79</v>
      </c>
      <c r="L83" t="s">
        <v>264</v>
      </c>
      <c r="M83">
        <v>999</v>
      </c>
    </row>
    <row r="84" spans="2:16" x14ac:dyDescent="0.2">
      <c r="B84">
        <v>101</v>
      </c>
      <c r="C84">
        <v>11</v>
      </c>
      <c r="D84">
        <v>18</v>
      </c>
      <c r="F84" t="s">
        <v>319</v>
      </c>
      <c r="G84" t="s">
        <v>320</v>
      </c>
      <c r="H84" t="s">
        <v>321</v>
      </c>
      <c r="I84" t="s">
        <v>322</v>
      </c>
      <c r="J84" t="s">
        <v>29</v>
      </c>
      <c r="K84" t="s">
        <v>79</v>
      </c>
      <c r="L84" t="s">
        <v>323</v>
      </c>
      <c r="M84">
        <v>999</v>
      </c>
      <c r="P84">
        <v>32</v>
      </c>
    </row>
    <row r="85" spans="2:16" x14ac:dyDescent="0.2">
      <c r="B85">
        <v>101</v>
      </c>
      <c r="C85">
        <v>11</v>
      </c>
      <c r="D85">
        <v>18</v>
      </c>
      <c r="F85" t="s">
        <v>324</v>
      </c>
      <c r="G85" t="s">
        <v>325</v>
      </c>
      <c r="H85" t="s">
        <v>326</v>
      </c>
      <c r="I85" t="s">
        <v>82</v>
      </c>
      <c r="J85" t="s">
        <v>29</v>
      </c>
      <c r="K85" t="s">
        <v>79</v>
      </c>
      <c r="L85" t="s">
        <v>323</v>
      </c>
      <c r="M85">
        <v>999</v>
      </c>
    </row>
    <row r="86" spans="2:16" x14ac:dyDescent="0.2">
      <c r="B86">
        <v>101</v>
      </c>
      <c r="C86">
        <v>11</v>
      </c>
      <c r="D86" t="e">
        <v>#N/A</v>
      </c>
      <c r="F86" t="s">
        <v>327</v>
      </c>
      <c r="H86" t="s">
        <v>328</v>
      </c>
      <c r="I86" t="s">
        <v>82</v>
      </c>
      <c r="J86" t="s">
        <v>29</v>
      </c>
      <c r="K86" t="s">
        <v>79</v>
      </c>
      <c r="L86" t="s">
        <v>323</v>
      </c>
    </row>
    <row r="87" spans="2:16" x14ac:dyDescent="0.2">
      <c r="B87">
        <v>102</v>
      </c>
      <c r="C87">
        <v>10</v>
      </c>
      <c r="D87">
        <v>10</v>
      </c>
      <c r="F87" t="s">
        <v>329</v>
      </c>
      <c r="G87" t="s">
        <v>330</v>
      </c>
      <c r="H87" t="s">
        <v>82</v>
      </c>
      <c r="I87" t="s">
        <v>331</v>
      </c>
      <c r="J87" t="s">
        <v>30</v>
      </c>
      <c r="M87">
        <v>999</v>
      </c>
      <c r="P87">
        <v>16</v>
      </c>
    </row>
    <row r="88" spans="2:16" x14ac:dyDescent="0.2">
      <c r="B88">
        <v>102</v>
      </c>
      <c r="C88">
        <v>11</v>
      </c>
      <c r="D88">
        <v>10</v>
      </c>
      <c r="F88" t="s">
        <v>332</v>
      </c>
      <c r="G88" t="s">
        <v>333</v>
      </c>
      <c r="H88" t="s">
        <v>82</v>
      </c>
      <c r="I88" t="s">
        <v>334</v>
      </c>
      <c r="J88" t="s">
        <v>30</v>
      </c>
      <c r="K88" t="s">
        <v>335</v>
      </c>
      <c r="M88">
        <v>999</v>
      </c>
      <c r="P88">
        <v>25</v>
      </c>
    </row>
    <row r="89" spans="2:16" x14ac:dyDescent="0.2">
      <c r="B89">
        <v>102</v>
      </c>
      <c r="C89">
        <v>12</v>
      </c>
      <c r="D89">
        <v>10</v>
      </c>
      <c r="F89" t="s">
        <v>336</v>
      </c>
      <c r="G89" t="s">
        <v>337</v>
      </c>
      <c r="H89" t="s">
        <v>82</v>
      </c>
      <c r="I89" t="s">
        <v>338</v>
      </c>
      <c r="J89" t="s">
        <v>30</v>
      </c>
      <c r="K89" t="s">
        <v>339</v>
      </c>
      <c r="M89">
        <v>999</v>
      </c>
    </row>
    <row r="90" spans="2:16" x14ac:dyDescent="0.2">
      <c r="B90">
        <v>102</v>
      </c>
      <c r="C90">
        <v>13</v>
      </c>
      <c r="D90">
        <v>10</v>
      </c>
      <c r="F90" t="s">
        <v>340</v>
      </c>
      <c r="G90" t="s">
        <v>341</v>
      </c>
      <c r="H90" t="s">
        <v>82</v>
      </c>
      <c r="I90" t="s">
        <v>342</v>
      </c>
      <c r="J90" t="s">
        <v>30</v>
      </c>
      <c r="K90" t="s">
        <v>343</v>
      </c>
      <c r="M90">
        <v>999</v>
      </c>
    </row>
    <row r="91" spans="2:16" x14ac:dyDescent="0.2">
      <c r="B91">
        <v>102</v>
      </c>
      <c r="C91">
        <v>14</v>
      </c>
      <c r="D91">
        <v>10</v>
      </c>
      <c r="F91" t="s">
        <v>344</v>
      </c>
      <c r="G91" t="s">
        <v>345</v>
      </c>
      <c r="H91" t="s">
        <v>82</v>
      </c>
      <c r="I91" t="s">
        <v>346</v>
      </c>
      <c r="J91" t="s">
        <v>30</v>
      </c>
      <c r="K91" t="s">
        <v>347</v>
      </c>
      <c r="M91">
        <v>999</v>
      </c>
    </row>
    <row r="92" spans="2:16" x14ac:dyDescent="0.2">
      <c r="B92">
        <v>102</v>
      </c>
      <c r="C92">
        <v>15</v>
      </c>
      <c r="D92">
        <v>10</v>
      </c>
      <c r="F92" t="s">
        <v>348</v>
      </c>
      <c r="G92" t="s">
        <v>349</v>
      </c>
      <c r="H92" t="s">
        <v>82</v>
      </c>
      <c r="I92" t="s">
        <v>350</v>
      </c>
      <c r="J92" t="s">
        <v>30</v>
      </c>
      <c r="K92" t="s">
        <v>351</v>
      </c>
      <c r="M92">
        <v>999</v>
      </c>
      <c r="P92">
        <v>241</v>
      </c>
    </row>
    <row r="93" spans="2:16" x14ac:dyDescent="0.2">
      <c r="B93">
        <v>102</v>
      </c>
      <c r="C93">
        <v>16</v>
      </c>
      <c r="D93">
        <v>10</v>
      </c>
      <c r="F93" t="s">
        <v>352</v>
      </c>
      <c r="G93" t="s">
        <v>353</v>
      </c>
      <c r="H93" t="s">
        <v>82</v>
      </c>
      <c r="I93" t="s">
        <v>354</v>
      </c>
      <c r="J93" t="s">
        <v>30</v>
      </c>
      <c r="K93" t="s">
        <v>355</v>
      </c>
      <c r="M93">
        <v>999</v>
      </c>
      <c r="N93">
        <v>999</v>
      </c>
      <c r="P93">
        <v>268</v>
      </c>
    </row>
    <row r="94" spans="2:16" x14ac:dyDescent="0.2">
      <c r="B94">
        <v>102</v>
      </c>
      <c r="C94">
        <v>17</v>
      </c>
      <c r="D94">
        <v>10</v>
      </c>
      <c r="F94" t="s">
        <v>356</v>
      </c>
      <c r="G94" t="s">
        <v>357</v>
      </c>
      <c r="H94" t="s">
        <v>82</v>
      </c>
      <c r="I94" t="s">
        <v>358</v>
      </c>
      <c r="J94" t="s">
        <v>30</v>
      </c>
      <c r="K94" t="s">
        <v>359</v>
      </c>
      <c r="M94">
        <v>999</v>
      </c>
    </row>
    <row r="95" spans="2:16" x14ac:dyDescent="0.2">
      <c r="B95">
        <v>102</v>
      </c>
      <c r="C95">
        <v>18</v>
      </c>
      <c r="D95">
        <v>10</v>
      </c>
      <c r="F95" t="s">
        <v>360</v>
      </c>
      <c r="G95" t="s">
        <v>361</v>
      </c>
      <c r="H95" t="s">
        <v>82</v>
      </c>
      <c r="I95" t="s">
        <v>362</v>
      </c>
      <c r="J95" t="s">
        <v>30</v>
      </c>
      <c r="K95" t="s">
        <v>363</v>
      </c>
      <c r="M95">
        <v>999</v>
      </c>
      <c r="P95">
        <v>16</v>
      </c>
    </row>
    <row r="96" spans="2:16" x14ac:dyDescent="0.2">
      <c r="B96">
        <v>102</v>
      </c>
      <c r="C96">
        <v>19</v>
      </c>
      <c r="D96">
        <v>10</v>
      </c>
      <c r="F96" t="s">
        <v>364</v>
      </c>
      <c r="G96" t="s">
        <v>365</v>
      </c>
      <c r="H96" t="s">
        <v>82</v>
      </c>
      <c r="I96" t="s">
        <v>366</v>
      </c>
      <c r="J96" t="s">
        <v>30</v>
      </c>
      <c r="K96" t="s">
        <v>367</v>
      </c>
      <c r="M96">
        <v>999</v>
      </c>
    </row>
    <row r="97" spans="2:16" x14ac:dyDescent="0.2">
      <c r="B97">
        <v>102</v>
      </c>
      <c r="C97">
        <v>20</v>
      </c>
      <c r="D97">
        <v>10</v>
      </c>
      <c r="F97" t="s">
        <v>368</v>
      </c>
      <c r="G97" t="s">
        <v>369</v>
      </c>
      <c r="H97" t="s">
        <v>82</v>
      </c>
      <c r="I97" t="s">
        <v>370</v>
      </c>
      <c r="J97" t="s">
        <v>30</v>
      </c>
      <c r="K97" t="s">
        <v>371</v>
      </c>
      <c r="M97">
        <v>999</v>
      </c>
    </row>
    <row r="98" spans="2:16" x14ac:dyDescent="0.2">
      <c r="B98">
        <v>102</v>
      </c>
      <c r="C98">
        <v>21</v>
      </c>
      <c r="D98">
        <v>10</v>
      </c>
      <c r="F98" t="s">
        <v>372</v>
      </c>
      <c r="G98" t="s">
        <v>373</v>
      </c>
      <c r="H98" t="s">
        <v>82</v>
      </c>
      <c r="I98" t="s">
        <v>374</v>
      </c>
      <c r="J98" t="s">
        <v>30</v>
      </c>
      <c r="K98" t="s">
        <v>375</v>
      </c>
      <c r="M98">
        <v>999</v>
      </c>
      <c r="P98">
        <v>25</v>
      </c>
    </row>
    <row r="99" spans="2:16" x14ac:dyDescent="0.2">
      <c r="B99">
        <v>102</v>
      </c>
      <c r="C99">
        <v>22</v>
      </c>
      <c r="D99">
        <v>10</v>
      </c>
      <c r="F99" t="s">
        <v>376</v>
      </c>
      <c r="G99" t="s">
        <v>377</v>
      </c>
      <c r="H99" t="s">
        <v>82</v>
      </c>
      <c r="I99" t="s">
        <v>378</v>
      </c>
      <c r="J99" t="s">
        <v>30</v>
      </c>
      <c r="K99" t="s">
        <v>379</v>
      </c>
      <c r="M99">
        <v>999</v>
      </c>
      <c r="P99">
        <v>32</v>
      </c>
    </row>
    <row r="100" spans="2:16" x14ac:dyDescent="0.2">
      <c r="B100">
        <v>102</v>
      </c>
      <c r="C100">
        <v>23</v>
      </c>
      <c r="D100">
        <v>10</v>
      </c>
      <c r="F100" t="s">
        <v>380</v>
      </c>
      <c r="G100" t="s">
        <v>381</v>
      </c>
      <c r="H100" t="s">
        <v>82</v>
      </c>
      <c r="I100" t="s">
        <v>382</v>
      </c>
      <c r="J100" t="s">
        <v>30</v>
      </c>
      <c r="K100" t="s">
        <v>383</v>
      </c>
      <c r="M100">
        <v>999</v>
      </c>
      <c r="P100">
        <v>32</v>
      </c>
    </row>
    <row r="101" spans="2:16" x14ac:dyDescent="0.2">
      <c r="B101">
        <v>102</v>
      </c>
      <c r="C101">
        <v>23</v>
      </c>
      <c r="D101">
        <v>11</v>
      </c>
      <c r="F101" t="s">
        <v>384</v>
      </c>
      <c r="G101" t="s">
        <v>385</v>
      </c>
      <c r="H101" t="s">
        <v>82</v>
      </c>
      <c r="I101" t="s">
        <v>386</v>
      </c>
      <c r="J101" t="s">
        <v>30</v>
      </c>
      <c r="K101" t="s">
        <v>383</v>
      </c>
      <c r="L101" t="s">
        <v>387</v>
      </c>
      <c r="M101">
        <v>999</v>
      </c>
      <c r="N101">
        <v>999</v>
      </c>
      <c r="P101">
        <v>40</v>
      </c>
    </row>
    <row r="102" spans="2:16" x14ac:dyDescent="0.2">
      <c r="B102">
        <v>102</v>
      </c>
      <c r="C102">
        <v>23</v>
      </c>
      <c r="D102">
        <v>12</v>
      </c>
      <c r="F102" t="s">
        <v>388</v>
      </c>
      <c r="G102" t="s">
        <v>389</v>
      </c>
      <c r="H102" t="s">
        <v>82</v>
      </c>
      <c r="I102" t="s">
        <v>390</v>
      </c>
      <c r="J102" t="s">
        <v>30</v>
      </c>
      <c r="K102" t="s">
        <v>383</v>
      </c>
      <c r="L102" t="s">
        <v>391</v>
      </c>
      <c r="M102">
        <v>999</v>
      </c>
    </row>
    <row r="103" spans="2:16" x14ac:dyDescent="0.2">
      <c r="B103">
        <v>102</v>
      </c>
      <c r="C103">
        <v>23</v>
      </c>
      <c r="D103">
        <v>13</v>
      </c>
      <c r="F103" t="s">
        <v>392</v>
      </c>
      <c r="G103" t="s">
        <v>393</v>
      </c>
      <c r="H103" t="s">
        <v>82</v>
      </c>
      <c r="I103" t="s">
        <v>394</v>
      </c>
      <c r="J103" t="s">
        <v>30</v>
      </c>
      <c r="K103" t="s">
        <v>383</v>
      </c>
      <c r="L103" t="s">
        <v>395</v>
      </c>
      <c r="M103">
        <v>999</v>
      </c>
    </row>
    <row r="104" spans="2:16" x14ac:dyDescent="0.2">
      <c r="B104">
        <v>102</v>
      </c>
      <c r="C104">
        <v>23</v>
      </c>
      <c r="D104">
        <v>14</v>
      </c>
      <c r="F104" t="s">
        <v>396</v>
      </c>
      <c r="G104" t="s">
        <v>397</v>
      </c>
      <c r="H104" t="s">
        <v>82</v>
      </c>
      <c r="I104" t="s">
        <v>398</v>
      </c>
      <c r="J104" t="s">
        <v>30</v>
      </c>
      <c r="K104" t="s">
        <v>383</v>
      </c>
      <c r="L104" t="s">
        <v>399</v>
      </c>
      <c r="M104">
        <v>999</v>
      </c>
    </row>
    <row r="105" spans="2:16" x14ac:dyDescent="0.2">
      <c r="B105">
        <v>102</v>
      </c>
      <c r="C105">
        <v>23</v>
      </c>
      <c r="D105">
        <v>14</v>
      </c>
      <c r="F105" t="s">
        <v>400</v>
      </c>
      <c r="G105" t="s">
        <v>401</v>
      </c>
      <c r="H105" t="s">
        <v>82</v>
      </c>
      <c r="I105" t="s">
        <v>402</v>
      </c>
      <c r="J105" t="s">
        <v>30</v>
      </c>
      <c r="K105" t="s">
        <v>383</v>
      </c>
      <c r="L105" t="s">
        <v>399</v>
      </c>
      <c r="M105">
        <v>999</v>
      </c>
      <c r="N105">
        <v>999</v>
      </c>
      <c r="P105">
        <v>16</v>
      </c>
    </row>
    <row r="106" spans="2:16" x14ac:dyDescent="0.2">
      <c r="B106">
        <v>102</v>
      </c>
      <c r="C106">
        <v>23</v>
      </c>
      <c r="D106">
        <v>15</v>
      </c>
      <c r="F106" t="s">
        <v>403</v>
      </c>
      <c r="G106" t="s">
        <v>404</v>
      </c>
      <c r="H106" t="s">
        <v>82</v>
      </c>
      <c r="I106" t="s">
        <v>405</v>
      </c>
      <c r="J106" t="s">
        <v>30</v>
      </c>
      <c r="K106" t="s">
        <v>383</v>
      </c>
      <c r="L106" t="s">
        <v>406</v>
      </c>
      <c r="M106">
        <v>999</v>
      </c>
    </row>
    <row r="107" spans="2:16" x14ac:dyDescent="0.2">
      <c r="B107">
        <v>102</v>
      </c>
      <c r="C107">
        <v>23</v>
      </c>
      <c r="D107">
        <v>16</v>
      </c>
      <c r="F107" t="s">
        <v>407</v>
      </c>
      <c r="G107" t="s">
        <v>408</v>
      </c>
      <c r="H107" t="s">
        <v>82</v>
      </c>
      <c r="I107" t="s">
        <v>409</v>
      </c>
      <c r="J107" t="s">
        <v>30</v>
      </c>
      <c r="K107" t="s">
        <v>383</v>
      </c>
      <c r="L107" t="s">
        <v>410</v>
      </c>
      <c r="M107">
        <v>999</v>
      </c>
    </row>
    <row r="108" spans="2:16" x14ac:dyDescent="0.2">
      <c r="B108">
        <v>102</v>
      </c>
      <c r="C108">
        <v>23</v>
      </c>
      <c r="D108">
        <v>17</v>
      </c>
      <c r="F108" t="s">
        <v>411</v>
      </c>
      <c r="G108" t="s">
        <v>412</v>
      </c>
      <c r="H108" t="s">
        <v>82</v>
      </c>
      <c r="I108" t="s">
        <v>413</v>
      </c>
      <c r="J108" t="s">
        <v>30</v>
      </c>
      <c r="K108" t="s">
        <v>383</v>
      </c>
      <c r="L108" t="s">
        <v>414</v>
      </c>
      <c r="M108">
        <v>999</v>
      </c>
    </row>
    <row r="109" spans="2:16" x14ac:dyDescent="0.2">
      <c r="B109">
        <v>102</v>
      </c>
      <c r="C109">
        <v>23</v>
      </c>
      <c r="D109">
        <v>18</v>
      </c>
      <c r="F109" t="s">
        <v>415</v>
      </c>
      <c r="G109" t="s">
        <v>416</v>
      </c>
      <c r="H109" t="s">
        <v>82</v>
      </c>
      <c r="I109" t="s">
        <v>417</v>
      </c>
      <c r="J109" t="s">
        <v>30</v>
      </c>
      <c r="K109" t="s">
        <v>383</v>
      </c>
      <c r="L109" t="s">
        <v>418</v>
      </c>
      <c r="M109">
        <v>999</v>
      </c>
    </row>
    <row r="110" spans="2:16" x14ac:dyDescent="0.2">
      <c r="B110">
        <v>102</v>
      </c>
      <c r="C110">
        <v>23</v>
      </c>
      <c r="D110">
        <v>19</v>
      </c>
      <c r="F110" t="s">
        <v>419</v>
      </c>
      <c r="G110" t="s">
        <v>420</v>
      </c>
      <c r="H110" t="s">
        <v>82</v>
      </c>
      <c r="I110" t="s">
        <v>421</v>
      </c>
      <c r="J110" t="s">
        <v>30</v>
      </c>
      <c r="K110" t="s">
        <v>383</v>
      </c>
      <c r="L110" t="s">
        <v>422</v>
      </c>
      <c r="M110">
        <v>999</v>
      </c>
    </row>
    <row r="111" spans="2:16" x14ac:dyDescent="0.2">
      <c r="B111">
        <v>102</v>
      </c>
      <c r="C111">
        <v>23</v>
      </c>
      <c r="D111">
        <v>20</v>
      </c>
      <c r="F111" t="s">
        <v>423</v>
      </c>
      <c r="G111" t="s">
        <v>424</v>
      </c>
      <c r="H111" t="s">
        <v>82</v>
      </c>
      <c r="I111" t="s">
        <v>425</v>
      </c>
      <c r="J111" t="s">
        <v>30</v>
      </c>
      <c r="K111" t="s">
        <v>383</v>
      </c>
      <c r="L111" t="s">
        <v>426</v>
      </c>
      <c r="M111">
        <v>999</v>
      </c>
    </row>
    <row r="112" spans="2:16" x14ac:dyDescent="0.2">
      <c r="B112">
        <v>102</v>
      </c>
      <c r="C112">
        <v>23</v>
      </c>
      <c r="D112">
        <v>21</v>
      </c>
      <c r="F112" t="s">
        <v>427</v>
      </c>
      <c r="G112" t="s">
        <v>428</v>
      </c>
      <c r="H112" t="s">
        <v>82</v>
      </c>
      <c r="I112" t="s">
        <v>429</v>
      </c>
      <c r="J112" t="s">
        <v>30</v>
      </c>
      <c r="K112" t="s">
        <v>383</v>
      </c>
      <c r="L112" t="s">
        <v>430</v>
      </c>
      <c r="M112">
        <v>999</v>
      </c>
    </row>
    <row r="113" spans="2:16" x14ac:dyDescent="0.2">
      <c r="B113">
        <v>102</v>
      </c>
      <c r="C113">
        <v>23</v>
      </c>
      <c r="D113">
        <v>22</v>
      </c>
      <c r="F113" t="s">
        <v>431</v>
      </c>
      <c r="G113" t="s">
        <v>432</v>
      </c>
      <c r="H113" t="s">
        <v>82</v>
      </c>
      <c r="I113" t="s">
        <v>433</v>
      </c>
      <c r="J113" t="s">
        <v>30</v>
      </c>
      <c r="K113" t="s">
        <v>383</v>
      </c>
      <c r="L113" t="s">
        <v>434</v>
      </c>
      <c r="M113">
        <v>999</v>
      </c>
    </row>
    <row r="114" spans="2:16" x14ac:dyDescent="0.2">
      <c r="B114">
        <v>102</v>
      </c>
      <c r="C114">
        <v>23</v>
      </c>
      <c r="D114">
        <v>23</v>
      </c>
      <c r="F114" t="s">
        <v>435</v>
      </c>
      <c r="G114" t="s">
        <v>436</v>
      </c>
      <c r="H114" t="s">
        <v>82</v>
      </c>
      <c r="I114" t="s">
        <v>437</v>
      </c>
      <c r="J114" t="s">
        <v>30</v>
      </c>
      <c r="K114" t="s">
        <v>383</v>
      </c>
      <c r="L114" t="s">
        <v>438</v>
      </c>
      <c r="M114">
        <v>999</v>
      </c>
    </row>
    <row r="115" spans="2:16" x14ac:dyDescent="0.2">
      <c r="B115">
        <v>102</v>
      </c>
      <c r="C115">
        <v>23</v>
      </c>
      <c r="D115">
        <v>24</v>
      </c>
      <c r="F115" t="s">
        <v>439</v>
      </c>
      <c r="G115" t="s">
        <v>440</v>
      </c>
      <c r="H115" t="s">
        <v>82</v>
      </c>
      <c r="I115" t="s">
        <v>441</v>
      </c>
      <c r="J115" t="s">
        <v>30</v>
      </c>
      <c r="K115" t="s">
        <v>383</v>
      </c>
      <c r="L115" t="s">
        <v>442</v>
      </c>
      <c r="M115">
        <v>999</v>
      </c>
    </row>
    <row r="116" spans="2:16" x14ac:dyDescent="0.2">
      <c r="B116">
        <v>102</v>
      </c>
      <c r="C116">
        <v>23</v>
      </c>
      <c r="D116">
        <v>25</v>
      </c>
      <c r="F116" t="s">
        <v>443</v>
      </c>
      <c r="G116" t="s">
        <v>444</v>
      </c>
      <c r="H116" t="s">
        <v>82</v>
      </c>
      <c r="I116" t="s">
        <v>445</v>
      </c>
      <c r="J116" t="s">
        <v>30</v>
      </c>
      <c r="K116" t="s">
        <v>383</v>
      </c>
      <c r="L116" t="s">
        <v>446</v>
      </c>
      <c r="M116">
        <v>999</v>
      </c>
      <c r="N116">
        <v>999</v>
      </c>
    </row>
    <row r="117" spans="2:16" x14ac:dyDescent="0.2">
      <c r="B117">
        <v>102</v>
      </c>
      <c r="C117">
        <v>23</v>
      </c>
      <c r="D117">
        <v>26</v>
      </c>
      <c r="F117" t="s">
        <v>447</v>
      </c>
      <c r="G117" t="s">
        <v>448</v>
      </c>
      <c r="H117" t="s">
        <v>82</v>
      </c>
      <c r="I117" t="s">
        <v>449</v>
      </c>
      <c r="J117" t="s">
        <v>30</v>
      </c>
      <c r="K117" t="s">
        <v>383</v>
      </c>
      <c r="L117" t="s">
        <v>450</v>
      </c>
      <c r="M117">
        <v>999</v>
      </c>
    </row>
    <row r="118" spans="2:16" x14ac:dyDescent="0.2">
      <c r="B118">
        <v>102</v>
      </c>
      <c r="C118">
        <v>23</v>
      </c>
      <c r="D118">
        <v>27</v>
      </c>
      <c r="F118" t="s">
        <v>451</v>
      </c>
      <c r="G118" t="s">
        <v>452</v>
      </c>
      <c r="H118" t="s">
        <v>82</v>
      </c>
      <c r="I118" t="s">
        <v>453</v>
      </c>
      <c r="J118" t="s">
        <v>30</v>
      </c>
      <c r="K118" t="s">
        <v>383</v>
      </c>
      <c r="L118" t="s">
        <v>454</v>
      </c>
      <c r="M118">
        <v>999</v>
      </c>
    </row>
    <row r="119" spans="2:16" x14ac:dyDescent="0.2">
      <c r="B119">
        <v>102</v>
      </c>
      <c r="C119">
        <v>23</v>
      </c>
      <c r="D119">
        <v>28</v>
      </c>
      <c r="F119" t="s">
        <v>455</v>
      </c>
      <c r="G119" t="s">
        <v>456</v>
      </c>
      <c r="H119" t="s">
        <v>82</v>
      </c>
      <c r="I119" t="s">
        <v>457</v>
      </c>
      <c r="J119" t="s">
        <v>30</v>
      </c>
      <c r="K119" t="s">
        <v>383</v>
      </c>
      <c r="L119" t="s">
        <v>458</v>
      </c>
      <c r="M119">
        <v>999</v>
      </c>
    </row>
    <row r="120" spans="2:16" x14ac:dyDescent="0.2">
      <c r="B120">
        <v>102</v>
      </c>
      <c r="C120">
        <v>23</v>
      </c>
      <c r="D120">
        <v>29</v>
      </c>
      <c r="F120" t="s">
        <v>459</v>
      </c>
      <c r="G120" t="s">
        <v>460</v>
      </c>
      <c r="H120" t="s">
        <v>82</v>
      </c>
      <c r="I120" t="s">
        <v>461</v>
      </c>
      <c r="J120" t="s">
        <v>30</v>
      </c>
      <c r="K120" t="s">
        <v>383</v>
      </c>
      <c r="L120" t="s">
        <v>462</v>
      </c>
      <c r="M120">
        <v>999</v>
      </c>
    </row>
    <row r="121" spans="2:16" x14ac:dyDescent="0.2">
      <c r="B121">
        <v>102</v>
      </c>
      <c r="C121">
        <v>23</v>
      </c>
      <c r="D121" t="e">
        <v>#N/A</v>
      </c>
      <c r="F121" t="s">
        <v>463</v>
      </c>
      <c r="G121" t="s">
        <v>464</v>
      </c>
      <c r="H121" t="s">
        <v>82</v>
      </c>
      <c r="I121" t="s">
        <v>465</v>
      </c>
      <c r="J121" t="s">
        <v>30</v>
      </c>
      <c r="K121" t="s">
        <v>383</v>
      </c>
      <c r="L121" t="s">
        <v>466</v>
      </c>
      <c r="M121">
        <v>999</v>
      </c>
    </row>
    <row r="122" spans="2:16" x14ac:dyDescent="0.2">
      <c r="B122">
        <v>102</v>
      </c>
      <c r="C122">
        <v>24</v>
      </c>
      <c r="D122">
        <v>10</v>
      </c>
      <c r="F122" t="s">
        <v>467</v>
      </c>
      <c r="G122" t="s">
        <v>468</v>
      </c>
      <c r="H122" t="s">
        <v>82</v>
      </c>
      <c r="I122" t="s">
        <v>469</v>
      </c>
      <c r="J122" t="s">
        <v>30</v>
      </c>
      <c r="K122" t="s">
        <v>470</v>
      </c>
      <c r="M122">
        <v>999</v>
      </c>
    </row>
    <row r="123" spans="2:16" x14ac:dyDescent="0.2">
      <c r="B123">
        <v>102</v>
      </c>
      <c r="C123">
        <v>25</v>
      </c>
      <c r="D123">
        <v>10</v>
      </c>
      <c r="F123" t="s">
        <v>471</v>
      </c>
      <c r="G123" t="s">
        <v>472</v>
      </c>
      <c r="H123" t="s">
        <v>82</v>
      </c>
      <c r="I123" t="s">
        <v>473</v>
      </c>
      <c r="J123" t="s">
        <v>30</v>
      </c>
      <c r="K123" t="s">
        <v>474</v>
      </c>
      <c r="M123">
        <v>999</v>
      </c>
    </row>
    <row r="124" spans="2:16" x14ac:dyDescent="0.2">
      <c r="B124">
        <v>102</v>
      </c>
      <c r="C124">
        <v>26</v>
      </c>
      <c r="D124">
        <v>10</v>
      </c>
      <c r="F124" t="s">
        <v>475</v>
      </c>
      <c r="G124" t="s">
        <v>476</v>
      </c>
      <c r="H124" t="s">
        <v>82</v>
      </c>
      <c r="I124" t="s">
        <v>477</v>
      </c>
      <c r="J124" t="s">
        <v>30</v>
      </c>
      <c r="K124" t="s">
        <v>478</v>
      </c>
      <c r="M124">
        <v>999</v>
      </c>
    </row>
    <row r="125" spans="2:16" x14ac:dyDescent="0.2">
      <c r="B125">
        <v>102</v>
      </c>
      <c r="C125">
        <v>27</v>
      </c>
      <c r="D125">
        <v>10</v>
      </c>
      <c r="F125" t="s">
        <v>479</v>
      </c>
      <c r="G125" t="s">
        <v>480</v>
      </c>
      <c r="H125" t="s">
        <v>82</v>
      </c>
      <c r="I125" t="s">
        <v>481</v>
      </c>
      <c r="J125" t="s">
        <v>30</v>
      </c>
      <c r="K125" t="s">
        <v>482</v>
      </c>
      <c r="M125">
        <v>999</v>
      </c>
      <c r="N125">
        <v>999</v>
      </c>
    </row>
    <row r="126" spans="2:16" x14ac:dyDescent="0.2">
      <c r="B126">
        <v>102</v>
      </c>
      <c r="C126">
        <v>28</v>
      </c>
      <c r="D126">
        <v>10</v>
      </c>
      <c r="F126" t="s">
        <v>483</v>
      </c>
      <c r="G126" t="s">
        <v>484</v>
      </c>
      <c r="H126" t="s">
        <v>82</v>
      </c>
      <c r="I126" t="s">
        <v>485</v>
      </c>
      <c r="J126" t="s">
        <v>30</v>
      </c>
      <c r="K126" t="s">
        <v>486</v>
      </c>
      <c r="M126">
        <v>999</v>
      </c>
    </row>
    <row r="127" spans="2:16" x14ac:dyDescent="0.2">
      <c r="B127">
        <v>102</v>
      </c>
      <c r="C127">
        <v>28</v>
      </c>
      <c r="D127" t="e">
        <v>#REF!</v>
      </c>
      <c r="F127" t="s">
        <v>487</v>
      </c>
      <c r="G127" t="s">
        <v>488</v>
      </c>
      <c r="H127" t="s">
        <v>82</v>
      </c>
      <c r="I127" t="s">
        <v>489</v>
      </c>
      <c r="J127" t="s">
        <v>30</v>
      </c>
      <c r="K127" t="s">
        <v>486</v>
      </c>
      <c r="L127" t="s">
        <v>490</v>
      </c>
      <c r="M127">
        <v>999</v>
      </c>
    </row>
    <row r="128" spans="2:16" x14ac:dyDescent="0.2">
      <c r="B128">
        <v>102</v>
      </c>
      <c r="C128">
        <v>29</v>
      </c>
      <c r="D128">
        <v>10</v>
      </c>
      <c r="F128" t="s">
        <v>491</v>
      </c>
      <c r="G128" t="s">
        <v>492</v>
      </c>
      <c r="H128" t="s">
        <v>82</v>
      </c>
      <c r="I128" t="s">
        <v>493</v>
      </c>
      <c r="J128" t="s">
        <v>30</v>
      </c>
      <c r="K128" t="s">
        <v>494</v>
      </c>
      <c r="M128">
        <v>999</v>
      </c>
      <c r="N128">
        <v>999</v>
      </c>
      <c r="P128">
        <v>32</v>
      </c>
    </row>
    <row r="129" spans="2:18" x14ac:dyDescent="0.2">
      <c r="B129">
        <v>102</v>
      </c>
      <c r="C129">
        <v>29</v>
      </c>
      <c r="D129" t="e">
        <v>#REF!</v>
      </c>
      <c r="F129" t="s">
        <v>495</v>
      </c>
      <c r="G129" t="s">
        <v>496</v>
      </c>
      <c r="H129" t="s">
        <v>82</v>
      </c>
      <c r="I129" t="s">
        <v>497</v>
      </c>
      <c r="J129" t="s">
        <v>30</v>
      </c>
      <c r="K129" t="s">
        <v>494</v>
      </c>
      <c r="L129" t="s">
        <v>498</v>
      </c>
      <c r="M129">
        <v>999</v>
      </c>
    </row>
    <row r="130" spans="2:18" x14ac:dyDescent="0.2">
      <c r="B130">
        <v>102</v>
      </c>
      <c r="C130">
        <v>30</v>
      </c>
      <c r="D130">
        <v>10</v>
      </c>
      <c r="F130" t="s">
        <v>499</v>
      </c>
      <c r="G130" t="s">
        <v>500</v>
      </c>
      <c r="H130" t="s">
        <v>82</v>
      </c>
      <c r="I130" t="s">
        <v>501</v>
      </c>
      <c r="J130" t="s">
        <v>30</v>
      </c>
      <c r="K130" t="s">
        <v>502</v>
      </c>
      <c r="M130">
        <v>999</v>
      </c>
    </row>
    <row r="131" spans="2:18" x14ac:dyDescent="0.2">
      <c r="B131">
        <v>102</v>
      </c>
      <c r="C131">
        <v>31</v>
      </c>
      <c r="D131">
        <v>10</v>
      </c>
      <c r="F131" t="s">
        <v>503</v>
      </c>
      <c r="G131" t="s">
        <v>504</v>
      </c>
      <c r="H131" t="s">
        <v>82</v>
      </c>
      <c r="I131" t="s">
        <v>505</v>
      </c>
      <c r="J131" t="s">
        <v>30</v>
      </c>
      <c r="K131" t="s">
        <v>506</v>
      </c>
      <c r="M131">
        <v>999</v>
      </c>
    </row>
    <row r="132" spans="2:18" x14ac:dyDescent="0.2">
      <c r="B132">
        <v>102</v>
      </c>
      <c r="C132">
        <v>32</v>
      </c>
      <c r="D132">
        <v>10</v>
      </c>
      <c r="F132" t="s">
        <v>507</v>
      </c>
      <c r="G132" t="s">
        <v>508</v>
      </c>
      <c r="H132" t="s">
        <v>82</v>
      </c>
      <c r="I132" t="s">
        <v>509</v>
      </c>
      <c r="J132" t="s">
        <v>30</v>
      </c>
      <c r="K132" t="s">
        <v>510</v>
      </c>
      <c r="M132">
        <v>999</v>
      </c>
    </row>
    <row r="133" spans="2:18" x14ac:dyDescent="0.2">
      <c r="B133">
        <v>102</v>
      </c>
      <c r="C133">
        <v>33</v>
      </c>
      <c r="D133">
        <v>10</v>
      </c>
      <c r="F133" t="s">
        <v>511</v>
      </c>
      <c r="G133" t="s">
        <v>512</v>
      </c>
      <c r="H133" t="s">
        <v>82</v>
      </c>
      <c r="I133" t="s">
        <v>513</v>
      </c>
      <c r="J133" t="s">
        <v>30</v>
      </c>
      <c r="K133" t="s">
        <v>514</v>
      </c>
      <c r="M133">
        <v>999</v>
      </c>
    </row>
    <row r="134" spans="2:18" x14ac:dyDescent="0.2">
      <c r="B134">
        <v>102</v>
      </c>
      <c r="C134">
        <v>34</v>
      </c>
      <c r="D134">
        <v>10</v>
      </c>
      <c r="F134" t="s">
        <v>515</v>
      </c>
      <c r="G134" t="s">
        <v>516</v>
      </c>
      <c r="H134" t="s">
        <v>82</v>
      </c>
      <c r="I134" t="s">
        <v>517</v>
      </c>
      <c r="J134" t="s">
        <v>30</v>
      </c>
      <c r="K134" t="s">
        <v>518</v>
      </c>
      <c r="M134">
        <v>999</v>
      </c>
    </row>
    <row r="135" spans="2:18" x14ac:dyDescent="0.2">
      <c r="B135">
        <v>102</v>
      </c>
      <c r="C135">
        <v>35</v>
      </c>
      <c r="D135">
        <v>10</v>
      </c>
      <c r="F135" t="s">
        <v>519</v>
      </c>
      <c r="G135" t="s">
        <v>520</v>
      </c>
      <c r="H135" t="s">
        <v>82</v>
      </c>
      <c r="I135" t="s">
        <v>521</v>
      </c>
      <c r="J135" t="s">
        <v>30</v>
      </c>
      <c r="K135" t="s">
        <v>522</v>
      </c>
      <c r="M135">
        <v>999</v>
      </c>
    </row>
    <row r="136" spans="2:18" x14ac:dyDescent="0.2">
      <c r="B136">
        <v>102</v>
      </c>
      <c r="C136">
        <v>36</v>
      </c>
      <c r="D136">
        <v>10</v>
      </c>
      <c r="F136" t="s">
        <v>523</v>
      </c>
      <c r="G136" t="s">
        <v>524</v>
      </c>
      <c r="H136" t="s">
        <v>82</v>
      </c>
      <c r="I136" t="s">
        <v>525</v>
      </c>
      <c r="J136" t="s">
        <v>30</v>
      </c>
      <c r="K136" t="s">
        <v>526</v>
      </c>
      <c r="M136">
        <v>999</v>
      </c>
    </row>
    <row r="137" spans="2:18" x14ac:dyDescent="0.2">
      <c r="B137">
        <v>102</v>
      </c>
      <c r="C137">
        <v>37</v>
      </c>
      <c r="D137">
        <v>10</v>
      </c>
      <c r="F137" t="s">
        <v>527</v>
      </c>
      <c r="G137" t="s">
        <v>528</v>
      </c>
      <c r="H137" t="s">
        <v>82</v>
      </c>
      <c r="I137" t="s">
        <v>529</v>
      </c>
      <c r="J137" t="s">
        <v>30</v>
      </c>
      <c r="K137" t="s">
        <v>530</v>
      </c>
      <c r="M137">
        <v>999</v>
      </c>
    </row>
    <row r="138" spans="2:18" x14ac:dyDescent="0.2">
      <c r="B138">
        <v>102</v>
      </c>
      <c r="C138">
        <v>38</v>
      </c>
      <c r="D138">
        <v>10</v>
      </c>
      <c r="F138" t="s">
        <v>531</v>
      </c>
      <c r="G138" t="s">
        <v>532</v>
      </c>
      <c r="H138" t="s">
        <v>82</v>
      </c>
      <c r="I138" t="s">
        <v>533</v>
      </c>
      <c r="J138" t="s">
        <v>30</v>
      </c>
      <c r="K138" t="s">
        <v>534</v>
      </c>
      <c r="M138">
        <v>999</v>
      </c>
      <c r="P138">
        <v>32</v>
      </c>
    </row>
    <row r="139" spans="2:18" x14ac:dyDescent="0.2">
      <c r="B139">
        <v>102</v>
      </c>
      <c r="C139">
        <v>39</v>
      </c>
      <c r="D139">
        <v>10</v>
      </c>
      <c r="F139" t="s">
        <v>535</v>
      </c>
      <c r="G139" t="s">
        <v>536</v>
      </c>
      <c r="H139" t="s">
        <v>82</v>
      </c>
      <c r="I139" t="s">
        <v>537</v>
      </c>
      <c r="J139" t="s">
        <v>30</v>
      </c>
      <c r="K139" t="s">
        <v>538</v>
      </c>
      <c r="M139">
        <v>999</v>
      </c>
    </row>
    <row r="140" spans="2:18" x14ac:dyDescent="0.2">
      <c r="B140">
        <v>102</v>
      </c>
      <c r="C140">
        <v>40</v>
      </c>
      <c r="D140">
        <v>10</v>
      </c>
      <c r="F140" t="s">
        <v>539</v>
      </c>
      <c r="G140" t="s">
        <v>540</v>
      </c>
      <c r="H140" t="s">
        <v>82</v>
      </c>
      <c r="I140" t="s">
        <v>541</v>
      </c>
      <c r="J140" t="s">
        <v>30</v>
      </c>
      <c r="K140" t="s">
        <v>542</v>
      </c>
      <c r="M140">
        <v>999</v>
      </c>
    </row>
    <row r="141" spans="2:18" x14ac:dyDescent="0.2">
      <c r="B141">
        <v>102</v>
      </c>
      <c r="C141">
        <v>41</v>
      </c>
      <c r="D141">
        <v>10</v>
      </c>
      <c r="F141" t="s">
        <v>543</v>
      </c>
      <c r="G141" t="s">
        <v>544</v>
      </c>
      <c r="H141" t="s">
        <v>82</v>
      </c>
      <c r="I141" t="s">
        <v>545</v>
      </c>
      <c r="J141" t="s">
        <v>30</v>
      </c>
      <c r="K141" t="s">
        <v>546</v>
      </c>
      <c r="M141">
        <v>999</v>
      </c>
      <c r="P141">
        <v>32</v>
      </c>
    </row>
    <row r="142" spans="2:18" x14ac:dyDescent="0.2">
      <c r="B142">
        <v>111</v>
      </c>
      <c r="C142">
        <v>10</v>
      </c>
      <c r="D142">
        <v>10</v>
      </c>
      <c r="F142" t="s">
        <v>547</v>
      </c>
      <c r="G142" t="s">
        <v>548</v>
      </c>
      <c r="H142" t="s">
        <v>82</v>
      </c>
      <c r="I142" t="s">
        <v>549</v>
      </c>
      <c r="J142" t="s">
        <v>31</v>
      </c>
      <c r="M142">
        <v>999</v>
      </c>
      <c r="N142">
        <v>999</v>
      </c>
      <c r="P142">
        <v>64</v>
      </c>
    </row>
    <row r="143" spans="2:18" x14ac:dyDescent="0.2">
      <c r="B143">
        <v>111</v>
      </c>
      <c r="C143">
        <v>11</v>
      </c>
      <c r="D143" t="e">
        <v>#REF!</v>
      </c>
      <c r="F143" t="s">
        <v>550</v>
      </c>
      <c r="G143" t="s">
        <v>551</v>
      </c>
      <c r="H143" t="s">
        <v>82</v>
      </c>
      <c r="I143" t="s">
        <v>552</v>
      </c>
      <c r="J143" t="s">
        <v>31</v>
      </c>
      <c r="K143" t="s">
        <v>553</v>
      </c>
      <c r="L143">
        <v>3</v>
      </c>
      <c r="M143">
        <v>999</v>
      </c>
      <c r="N143">
        <v>999</v>
      </c>
      <c r="P143">
        <v>32</v>
      </c>
    </row>
    <row r="144" spans="2:18" x14ac:dyDescent="0.2">
      <c r="B144">
        <v>111</v>
      </c>
      <c r="C144">
        <v>11</v>
      </c>
      <c r="D144">
        <v>10</v>
      </c>
      <c r="F144" t="s">
        <v>554</v>
      </c>
      <c r="G144" t="s">
        <v>555</v>
      </c>
      <c r="H144" t="s">
        <v>82</v>
      </c>
      <c r="I144" t="s">
        <v>556</v>
      </c>
      <c r="J144" t="s">
        <v>31</v>
      </c>
      <c r="K144" t="s">
        <v>553</v>
      </c>
      <c r="M144">
        <v>999</v>
      </c>
      <c r="P144">
        <v>16</v>
      </c>
      <c r="Q144" t="s">
        <v>557</v>
      </c>
      <c r="R144" t="s">
        <v>558</v>
      </c>
    </row>
    <row r="145" spans="2:18" x14ac:dyDescent="0.2">
      <c r="B145">
        <v>111</v>
      </c>
      <c r="C145">
        <v>11</v>
      </c>
      <c r="D145">
        <v>10</v>
      </c>
      <c r="F145" t="s">
        <v>559</v>
      </c>
      <c r="G145" t="s">
        <v>560</v>
      </c>
      <c r="H145" t="s">
        <v>82</v>
      </c>
      <c r="I145" t="s">
        <v>561</v>
      </c>
      <c r="J145" t="s">
        <v>31</v>
      </c>
      <c r="K145" t="s">
        <v>553</v>
      </c>
      <c r="M145">
        <v>999</v>
      </c>
      <c r="P145">
        <v>16</v>
      </c>
      <c r="Q145" t="s">
        <v>557</v>
      </c>
      <c r="R145" t="s">
        <v>558</v>
      </c>
    </row>
    <row r="146" spans="2:18" x14ac:dyDescent="0.2">
      <c r="B146">
        <v>111</v>
      </c>
      <c r="C146">
        <v>11</v>
      </c>
      <c r="D146">
        <v>10</v>
      </c>
      <c r="F146" t="s">
        <v>562</v>
      </c>
      <c r="G146" t="s">
        <v>563</v>
      </c>
      <c r="H146" t="s">
        <v>82</v>
      </c>
      <c r="I146" t="s">
        <v>564</v>
      </c>
      <c r="J146" t="s">
        <v>31</v>
      </c>
      <c r="K146" t="s">
        <v>553</v>
      </c>
      <c r="M146">
        <v>999</v>
      </c>
      <c r="P146">
        <v>32</v>
      </c>
      <c r="Q146" t="s">
        <v>557</v>
      </c>
      <c r="R146" t="s">
        <v>558</v>
      </c>
    </row>
    <row r="147" spans="2:18" x14ac:dyDescent="0.2">
      <c r="B147">
        <v>111</v>
      </c>
      <c r="C147">
        <v>11</v>
      </c>
      <c r="D147">
        <v>10</v>
      </c>
      <c r="F147" t="s">
        <v>565</v>
      </c>
      <c r="G147" t="s">
        <v>566</v>
      </c>
      <c r="H147" t="s">
        <v>82</v>
      </c>
      <c r="I147" t="s">
        <v>567</v>
      </c>
      <c r="J147" t="s">
        <v>31</v>
      </c>
      <c r="K147" t="s">
        <v>553</v>
      </c>
      <c r="M147">
        <v>999</v>
      </c>
      <c r="N147">
        <v>999</v>
      </c>
      <c r="P147">
        <v>16</v>
      </c>
      <c r="Q147" t="s">
        <v>557</v>
      </c>
      <c r="R147" t="s">
        <v>558</v>
      </c>
    </row>
    <row r="148" spans="2:18" x14ac:dyDescent="0.2">
      <c r="B148">
        <v>111</v>
      </c>
      <c r="C148">
        <v>11</v>
      </c>
      <c r="D148">
        <v>10</v>
      </c>
      <c r="F148" t="s">
        <v>568</v>
      </c>
      <c r="G148" t="s">
        <v>250</v>
      </c>
      <c r="H148" t="s">
        <v>82</v>
      </c>
      <c r="I148" t="s">
        <v>251</v>
      </c>
      <c r="J148" t="s">
        <v>31</v>
      </c>
      <c r="K148" t="s">
        <v>553</v>
      </c>
      <c r="M148">
        <v>999</v>
      </c>
      <c r="N148">
        <v>999</v>
      </c>
      <c r="P148">
        <v>16</v>
      </c>
      <c r="Q148" t="s">
        <v>557</v>
      </c>
      <c r="R148" t="s">
        <v>558</v>
      </c>
    </row>
    <row r="149" spans="2:18" x14ac:dyDescent="0.2">
      <c r="B149">
        <v>111</v>
      </c>
      <c r="C149">
        <v>11</v>
      </c>
      <c r="D149">
        <v>10</v>
      </c>
      <c r="F149" t="s">
        <v>550</v>
      </c>
      <c r="G149" t="s">
        <v>551</v>
      </c>
      <c r="H149" t="s">
        <v>82</v>
      </c>
      <c r="I149" t="s">
        <v>552</v>
      </c>
      <c r="J149" t="s">
        <v>31</v>
      </c>
      <c r="K149" t="s">
        <v>553</v>
      </c>
      <c r="M149">
        <v>999</v>
      </c>
      <c r="N149">
        <v>999</v>
      </c>
      <c r="P149">
        <v>32</v>
      </c>
      <c r="Q149" t="s">
        <v>557</v>
      </c>
      <c r="R149" t="s">
        <v>558</v>
      </c>
    </row>
    <row r="150" spans="2:18" x14ac:dyDescent="0.2">
      <c r="B150">
        <v>111</v>
      </c>
      <c r="C150">
        <v>11</v>
      </c>
      <c r="D150">
        <v>10</v>
      </c>
      <c r="F150" t="s">
        <v>547</v>
      </c>
      <c r="G150" t="s">
        <v>548</v>
      </c>
      <c r="H150" t="s">
        <v>82</v>
      </c>
      <c r="I150" t="s">
        <v>549</v>
      </c>
      <c r="J150" t="s">
        <v>31</v>
      </c>
      <c r="K150" t="s">
        <v>553</v>
      </c>
      <c r="M150">
        <v>999</v>
      </c>
      <c r="N150">
        <v>999</v>
      </c>
      <c r="P150">
        <v>64</v>
      </c>
      <c r="Q150" t="s">
        <v>557</v>
      </c>
      <c r="R150" t="s">
        <v>558</v>
      </c>
    </row>
    <row r="151" spans="2:18" x14ac:dyDescent="0.2">
      <c r="B151">
        <v>111</v>
      </c>
      <c r="C151">
        <v>11</v>
      </c>
      <c r="D151">
        <v>10</v>
      </c>
      <c r="F151" t="s">
        <v>569</v>
      </c>
      <c r="G151" t="s">
        <v>570</v>
      </c>
      <c r="H151" t="s">
        <v>82</v>
      </c>
      <c r="I151" t="s">
        <v>571</v>
      </c>
      <c r="J151" t="s">
        <v>31</v>
      </c>
      <c r="K151" t="s">
        <v>553</v>
      </c>
      <c r="M151">
        <v>999</v>
      </c>
      <c r="P151">
        <v>16</v>
      </c>
      <c r="Q151" t="s">
        <v>557</v>
      </c>
      <c r="R151" t="s">
        <v>558</v>
      </c>
    </row>
    <row r="152" spans="2:18" x14ac:dyDescent="0.2">
      <c r="B152">
        <v>111</v>
      </c>
      <c r="C152">
        <v>11</v>
      </c>
      <c r="D152">
        <v>10</v>
      </c>
      <c r="F152" t="s">
        <v>572</v>
      </c>
      <c r="G152" t="s">
        <v>573</v>
      </c>
      <c r="H152" t="s">
        <v>82</v>
      </c>
      <c r="I152" t="s">
        <v>574</v>
      </c>
      <c r="J152" t="s">
        <v>31</v>
      </c>
      <c r="K152" t="s">
        <v>553</v>
      </c>
      <c r="M152">
        <v>999</v>
      </c>
      <c r="Q152" t="s">
        <v>557</v>
      </c>
      <c r="R152" t="s">
        <v>558</v>
      </c>
    </row>
    <row r="153" spans="2:18" x14ac:dyDescent="0.2">
      <c r="B153">
        <v>111</v>
      </c>
      <c r="C153">
        <v>11</v>
      </c>
      <c r="D153">
        <v>10</v>
      </c>
      <c r="F153" t="s">
        <v>575</v>
      </c>
      <c r="G153" t="s">
        <v>576</v>
      </c>
      <c r="H153" t="s">
        <v>82</v>
      </c>
      <c r="I153" t="s">
        <v>577</v>
      </c>
      <c r="J153" t="s">
        <v>31</v>
      </c>
      <c r="K153" t="s">
        <v>553</v>
      </c>
      <c r="M153">
        <v>999</v>
      </c>
      <c r="P153">
        <v>16</v>
      </c>
      <c r="Q153" t="s">
        <v>557</v>
      </c>
      <c r="R153" t="s">
        <v>558</v>
      </c>
    </row>
    <row r="154" spans="2:18" x14ac:dyDescent="0.2">
      <c r="B154">
        <v>111</v>
      </c>
      <c r="C154">
        <v>11</v>
      </c>
      <c r="D154">
        <v>10</v>
      </c>
      <c r="F154" t="s">
        <v>578</v>
      </c>
      <c r="G154" t="s">
        <v>579</v>
      </c>
      <c r="H154" t="s">
        <v>82</v>
      </c>
      <c r="I154" t="s">
        <v>580</v>
      </c>
      <c r="J154" t="s">
        <v>31</v>
      </c>
      <c r="K154" t="s">
        <v>553</v>
      </c>
      <c r="M154">
        <v>999</v>
      </c>
      <c r="N154">
        <v>999</v>
      </c>
      <c r="P154">
        <v>16</v>
      </c>
      <c r="Q154" t="s">
        <v>557</v>
      </c>
      <c r="R154" t="s">
        <v>558</v>
      </c>
    </row>
    <row r="155" spans="2:18" x14ac:dyDescent="0.2">
      <c r="B155">
        <v>111</v>
      </c>
      <c r="C155">
        <v>11</v>
      </c>
      <c r="D155">
        <v>10</v>
      </c>
      <c r="F155" t="s">
        <v>581</v>
      </c>
      <c r="G155" t="s">
        <v>582</v>
      </c>
      <c r="H155" t="s">
        <v>82</v>
      </c>
      <c r="I155" t="s">
        <v>583</v>
      </c>
      <c r="J155" t="s">
        <v>31</v>
      </c>
      <c r="K155" t="s">
        <v>553</v>
      </c>
      <c r="M155">
        <v>999</v>
      </c>
      <c r="P155">
        <v>32</v>
      </c>
      <c r="Q155" t="s">
        <v>557</v>
      </c>
      <c r="R155" t="s">
        <v>558</v>
      </c>
    </row>
    <row r="156" spans="2:18" x14ac:dyDescent="0.2">
      <c r="B156">
        <v>111</v>
      </c>
      <c r="C156">
        <v>11</v>
      </c>
      <c r="D156">
        <v>10</v>
      </c>
      <c r="F156" t="s">
        <v>584</v>
      </c>
      <c r="G156" t="s">
        <v>585</v>
      </c>
      <c r="H156" t="s">
        <v>82</v>
      </c>
      <c r="I156" t="s">
        <v>586</v>
      </c>
      <c r="J156" t="s">
        <v>31</v>
      </c>
      <c r="K156" t="s">
        <v>553</v>
      </c>
      <c r="M156">
        <v>999</v>
      </c>
      <c r="P156">
        <v>32</v>
      </c>
      <c r="Q156" t="s">
        <v>557</v>
      </c>
      <c r="R156" t="s">
        <v>558</v>
      </c>
    </row>
    <row r="157" spans="2:18" x14ac:dyDescent="0.2">
      <c r="B157">
        <v>111</v>
      </c>
      <c r="C157">
        <v>11</v>
      </c>
      <c r="D157">
        <v>10</v>
      </c>
      <c r="F157" t="s">
        <v>587</v>
      </c>
      <c r="G157" t="s">
        <v>588</v>
      </c>
      <c r="H157" t="s">
        <v>82</v>
      </c>
      <c r="I157" t="s">
        <v>589</v>
      </c>
      <c r="J157" t="s">
        <v>31</v>
      </c>
      <c r="K157" t="s">
        <v>553</v>
      </c>
      <c r="M157">
        <v>999</v>
      </c>
      <c r="P157">
        <v>72</v>
      </c>
      <c r="Q157" t="s">
        <v>557</v>
      </c>
      <c r="R157" t="s">
        <v>558</v>
      </c>
    </row>
    <row r="158" spans="2:18" x14ac:dyDescent="0.2">
      <c r="B158">
        <v>111</v>
      </c>
      <c r="C158">
        <v>11</v>
      </c>
      <c r="D158">
        <v>10</v>
      </c>
      <c r="F158" t="s">
        <v>590</v>
      </c>
      <c r="G158" t="s">
        <v>591</v>
      </c>
      <c r="H158" t="s">
        <v>82</v>
      </c>
      <c r="I158" t="s">
        <v>592</v>
      </c>
      <c r="J158" t="s">
        <v>31</v>
      </c>
      <c r="K158" t="s">
        <v>553</v>
      </c>
      <c r="M158">
        <v>999</v>
      </c>
      <c r="P158">
        <v>16</v>
      </c>
      <c r="Q158" t="s">
        <v>557</v>
      </c>
      <c r="R158" t="s">
        <v>558</v>
      </c>
    </row>
    <row r="159" spans="2:18" x14ac:dyDescent="0.2">
      <c r="B159">
        <v>201</v>
      </c>
      <c r="C159">
        <v>10</v>
      </c>
      <c r="D159">
        <v>10</v>
      </c>
      <c r="F159" t="s">
        <v>593</v>
      </c>
      <c r="G159" t="s">
        <v>594</v>
      </c>
      <c r="H159" t="s">
        <v>82</v>
      </c>
      <c r="I159" t="s">
        <v>595</v>
      </c>
      <c r="J159" t="s">
        <v>32</v>
      </c>
      <c r="M159">
        <v>999</v>
      </c>
      <c r="N159">
        <v>999</v>
      </c>
      <c r="P159">
        <v>64</v>
      </c>
      <c r="Q159" t="s">
        <v>557</v>
      </c>
      <c r="R159" t="s">
        <v>558</v>
      </c>
    </row>
    <row r="160" spans="2:18" x14ac:dyDescent="0.2">
      <c r="B160">
        <v>201</v>
      </c>
      <c r="C160">
        <v>10</v>
      </c>
      <c r="D160">
        <v>10</v>
      </c>
      <c r="F160" t="s">
        <v>596</v>
      </c>
      <c r="G160" t="s">
        <v>597</v>
      </c>
      <c r="H160" t="s">
        <v>82</v>
      </c>
      <c r="I160" t="s">
        <v>598</v>
      </c>
      <c r="J160" t="s">
        <v>32</v>
      </c>
      <c r="M160">
        <v>999</v>
      </c>
      <c r="N160">
        <v>999</v>
      </c>
      <c r="P160">
        <v>32</v>
      </c>
    </row>
    <row r="161" spans="2:18" x14ac:dyDescent="0.2">
      <c r="B161">
        <v>201</v>
      </c>
      <c r="C161">
        <v>10</v>
      </c>
      <c r="D161">
        <v>10</v>
      </c>
      <c r="F161" t="s">
        <v>599</v>
      </c>
      <c r="G161" t="s">
        <v>600</v>
      </c>
      <c r="H161" t="s">
        <v>82</v>
      </c>
      <c r="I161" t="s">
        <v>601</v>
      </c>
      <c r="J161" t="s">
        <v>32</v>
      </c>
      <c r="M161">
        <v>999</v>
      </c>
      <c r="N161">
        <v>999</v>
      </c>
      <c r="P161">
        <v>32</v>
      </c>
      <c r="Q161" t="s">
        <v>557</v>
      </c>
      <c r="R161" t="s">
        <v>558</v>
      </c>
    </row>
    <row r="162" spans="2:18" x14ac:dyDescent="0.2">
      <c r="B162">
        <v>201</v>
      </c>
      <c r="C162">
        <v>11</v>
      </c>
      <c r="D162">
        <v>10</v>
      </c>
      <c r="F162" t="s">
        <v>602</v>
      </c>
      <c r="G162" t="s">
        <v>603</v>
      </c>
      <c r="H162" t="s">
        <v>82</v>
      </c>
      <c r="I162" t="s">
        <v>604</v>
      </c>
      <c r="J162" t="s">
        <v>32</v>
      </c>
      <c r="K162" t="s">
        <v>52</v>
      </c>
      <c r="M162">
        <v>999</v>
      </c>
      <c r="N162">
        <v>999</v>
      </c>
      <c r="P162">
        <v>16</v>
      </c>
    </row>
    <row r="163" spans="2:18" x14ac:dyDescent="0.2">
      <c r="B163">
        <v>201</v>
      </c>
      <c r="C163">
        <v>12</v>
      </c>
      <c r="D163">
        <v>10</v>
      </c>
      <c r="F163" t="s">
        <v>605</v>
      </c>
      <c r="G163" t="s">
        <v>606</v>
      </c>
      <c r="H163" t="s">
        <v>82</v>
      </c>
      <c r="I163" t="s">
        <v>607</v>
      </c>
      <c r="J163" t="s">
        <v>32</v>
      </c>
      <c r="K163" t="s">
        <v>608</v>
      </c>
      <c r="M163">
        <v>999</v>
      </c>
      <c r="N163">
        <v>999</v>
      </c>
      <c r="P163">
        <v>20</v>
      </c>
    </row>
    <row r="164" spans="2:18" x14ac:dyDescent="0.2">
      <c r="B164">
        <v>201</v>
      </c>
      <c r="C164">
        <v>13</v>
      </c>
      <c r="D164">
        <v>10</v>
      </c>
      <c r="F164" t="s">
        <v>609</v>
      </c>
      <c r="G164" t="s">
        <v>610</v>
      </c>
      <c r="H164" t="s">
        <v>82</v>
      </c>
      <c r="I164" t="s">
        <v>611</v>
      </c>
      <c r="J164" t="s">
        <v>32</v>
      </c>
      <c r="K164" t="s">
        <v>612</v>
      </c>
      <c r="M164">
        <v>999</v>
      </c>
      <c r="N164">
        <v>999</v>
      </c>
      <c r="P164">
        <v>32</v>
      </c>
    </row>
    <row r="165" spans="2:18" x14ac:dyDescent="0.2">
      <c r="B165">
        <v>201</v>
      </c>
      <c r="C165">
        <v>14</v>
      </c>
      <c r="D165">
        <v>10</v>
      </c>
      <c r="F165" t="s">
        <v>613</v>
      </c>
      <c r="G165" t="s">
        <v>614</v>
      </c>
      <c r="H165" t="s">
        <v>615</v>
      </c>
      <c r="I165" t="s">
        <v>616</v>
      </c>
      <c r="J165" t="s">
        <v>32</v>
      </c>
      <c r="K165" t="s">
        <v>617</v>
      </c>
      <c r="M165">
        <v>999</v>
      </c>
      <c r="N165">
        <v>999</v>
      </c>
    </row>
    <row r="166" spans="2:18" x14ac:dyDescent="0.2">
      <c r="B166">
        <v>202</v>
      </c>
      <c r="C166">
        <v>10</v>
      </c>
      <c r="D166">
        <v>10</v>
      </c>
      <c r="F166" t="s">
        <v>618</v>
      </c>
      <c r="G166" t="s">
        <v>619</v>
      </c>
      <c r="H166" t="s">
        <v>82</v>
      </c>
      <c r="I166" t="s">
        <v>620</v>
      </c>
      <c r="J166" t="s">
        <v>33</v>
      </c>
      <c r="M166">
        <v>999</v>
      </c>
      <c r="N166">
        <v>999</v>
      </c>
      <c r="P166">
        <v>256</v>
      </c>
    </row>
    <row r="167" spans="2:18" x14ac:dyDescent="0.2">
      <c r="B167">
        <v>202</v>
      </c>
      <c r="C167">
        <v>10</v>
      </c>
      <c r="D167">
        <v>10</v>
      </c>
      <c r="F167" t="s">
        <v>621</v>
      </c>
      <c r="G167" t="s">
        <v>622</v>
      </c>
      <c r="H167" t="s">
        <v>82</v>
      </c>
      <c r="I167" t="s">
        <v>623</v>
      </c>
      <c r="J167" t="s">
        <v>33</v>
      </c>
      <c r="M167">
        <v>999</v>
      </c>
      <c r="N167">
        <v>999</v>
      </c>
      <c r="P167">
        <v>32</v>
      </c>
      <c r="Q167" t="s">
        <v>557</v>
      </c>
      <c r="R167" t="s">
        <v>558</v>
      </c>
    </row>
    <row r="168" spans="2:18" x14ac:dyDescent="0.2">
      <c r="B168">
        <v>202</v>
      </c>
      <c r="C168">
        <v>10</v>
      </c>
      <c r="D168">
        <v>10</v>
      </c>
      <c r="F168" t="s">
        <v>624</v>
      </c>
      <c r="G168" t="s">
        <v>625</v>
      </c>
      <c r="H168" t="s">
        <v>82</v>
      </c>
      <c r="I168" t="s">
        <v>626</v>
      </c>
      <c r="J168" t="s">
        <v>33</v>
      </c>
      <c r="M168">
        <v>999</v>
      </c>
      <c r="P168">
        <v>16</v>
      </c>
      <c r="Q168" t="s">
        <v>557</v>
      </c>
      <c r="R168" t="s">
        <v>558</v>
      </c>
    </row>
    <row r="169" spans="2:18" x14ac:dyDescent="0.2">
      <c r="B169">
        <v>202</v>
      </c>
      <c r="C169">
        <v>10</v>
      </c>
      <c r="D169">
        <v>10</v>
      </c>
      <c r="F169" t="s">
        <v>627</v>
      </c>
      <c r="G169" t="s">
        <v>628</v>
      </c>
      <c r="H169" t="s">
        <v>82</v>
      </c>
      <c r="I169" t="s">
        <v>629</v>
      </c>
      <c r="J169" t="s">
        <v>33</v>
      </c>
      <c r="M169">
        <v>999</v>
      </c>
      <c r="N169">
        <v>999</v>
      </c>
      <c r="P169">
        <v>16</v>
      </c>
      <c r="Q169" t="s">
        <v>557</v>
      </c>
      <c r="R169" t="s">
        <v>558</v>
      </c>
    </row>
    <row r="170" spans="2:18" x14ac:dyDescent="0.2">
      <c r="B170">
        <v>202</v>
      </c>
      <c r="C170">
        <v>10</v>
      </c>
      <c r="D170">
        <v>10</v>
      </c>
      <c r="F170" t="s">
        <v>630</v>
      </c>
      <c r="G170" t="s">
        <v>631</v>
      </c>
      <c r="H170" t="s">
        <v>82</v>
      </c>
      <c r="I170" t="s">
        <v>632</v>
      </c>
      <c r="J170" t="s">
        <v>33</v>
      </c>
      <c r="M170">
        <v>999</v>
      </c>
      <c r="N170">
        <v>999</v>
      </c>
      <c r="P170">
        <v>16</v>
      </c>
      <c r="Q170" t="s">
        <v>557</v>
      </c>
      <c r="R170" t="s">
        <v>558</v>
      </c>
    </row>
    <row r="171" spans="2:18" x14ac:dyDescent="0.2">
      <c r="B171">
        <v>202</v>
      </c>
      <c r="C171">
        <v>10</v>
      </c>
      <c r="D171">
        <v>10</v>
      </c>
      <c r="F171" t="s">
        <v>633</v>
      </c>
      <c r="G171" t="s">
        <v>634</v>
      </c>
      <c r="H171" t="s">
        <v>82</v>
      </c>
      <c r="I171" t="s">
        <v>635</v>
      </c>
      <c r="J171" t="s">
        <v>33</v>
      </c>
      <c r="M171">
        <v>999</v>
      </c>
      <c r="N171">
        <v>999</v>
      </c>
      <c r="P171">
        <v>16</v>
      </c>
      <c r="Q171" t="s">
        <v>557</v>
      </c>
      <c r="R171" t="s">
        <v>558</v>
      </c>
    </row>
    <row r="172" spans="2:18" x14ac:dyDescent="0.2">
      <c r="B172">
        <v>202</v>
      </c>
      <c r="C172">
        <v>10</v>
      </c>
      <c r="D172">
        <v>10</v>
      </c>
      <c r="F172" t="s">
        <v>636</v>
      </c>
      <c r="G172" t="s">
        <v>637</v>
      </c>
      <c r="H172" t="s">
        <v>82</v>
      </c>
      <c r="J172" t="s">
        <v>33</v>
      </c>
      <c r="M172">
        <v>999</v>
      </c>
      <c r="Q172" t="s">
        <v>557</v>
      </c>
    </row>
    <row r="173" spans="2:18" x14ac:dyDescent="0.2">
      <c r="B173">
        <v>900</v>
      </c>
      <c r="C173">
        <v>10</v>
      </c>
      <c r="D173">
        <v>10</v>
      </c>
      <c r="F173" t="s">
        <v>638</v>
      </c>
      <c r="G173" t="s">
        <v>639</v>
      </c>
      <c r="H173" t="s">
        <v>82</v>
      </c>
      <c r="I173" t="s">
        <v>640</v>
      </c>
      <c r="J173" t="s">
        <v>50</v>
      </c>
      <c r="M173">
        <v>999</v>
      </c>
      <c r="N173">
        <v>999</v>
      </c>
      <c r="P173" t="s">
        <v>641</v>
      </c>
    </row>
    <row r="174" spans="2:18" x14ac:dyDescent="0.2">
      <c r="B174">
        <v>900</v>
      </c>
      <c r="C174">
        <v>10</v>
      </c>
      <c r="D174">
        <v>10</v>
      </c>
      <c r="F174" t="s">
        <v>642</v>
      </c>
      <c r="G174" t="s">
        <v>643</v>
      </c>
      <c r="H174" t="s">
        <v>82</v>
      </c>
      <c r="I174" t="s">
        <v>644</v>
      </c>
      <c r="J174" t="s">
        <v>50</v>
      </c>
      <c r="M174">
        <v>999</v>
      </c>
      <c r="N174">
        <v>999</v>
      </c>
      <c r="P174">
        <v>16</v>
      </c>
      <c r="Q174" t="s">
        <v>557</v>
      </c>
      <c r="R174" t="s">
        <v>558</v>
      </c>
    </row>
    <row r="175" spans="2:18" x14ac:dyDescent="0.2">
      <c r="B175">
        <v>900</v>
      </c>
      <c r="C175">
        <v>10</v>
      </c>
      <c r="D175">
        <v>10</v>
      </c>
      <c r="F175" t="s">
        <v>645</v>
      </c>
      <c r="G175" t="s">
        <v>646</v>
      </c>
      <c r="H175" t="s">
        <v>82</v>
      </c>
      <c r="I175" t="s">
        <v>647</v>
      </c>
      <c r="J175" t="s">
        <v>50</v>
      </c>
      <c r="M175">
        <v>999</v>
      </c>
      <c r="N175">
        <v>999</v>
      </c>
      <c r="P175">
        <v>48</v>
      </c>
      <c r="Q175" t="s">
        <v>557</v>
      </c>
      <c r="R175" t="s">
        <v>558</v>
      </c>
    </row>
    <row r="176" spans="2:18" x14ac:dyDescent="0.2">
      <c r="B176">
        <v>900</v>
      </c>
      <c r="C176">
        <v>10</v>
      </c>
      <c r="D176">
        <v>10</v>
      </c>
      <c r="F176" t="s">
        <v>648</v>
      </c>
      <c r="G176" t="s">
        <v>649</v>
      </c>
      <c r="H176" t="s">
        <v>82</v>
      </c>
      <c r="I176" t="s">
        <v>650</v>
      </c>
      <c r="J176" t="s">
        <v>50</v>
      </c>
      <c r="M176">
        <v>999</v>
      </c>
      <c r="N176">
        <v>999</v>
      </c>
      <c r="P176">
        <v>16</v>
      </c>
      <c r="Q176" t="s">
        <v>557</v>
      </c>
      <c r="R176" t="s">
        <v>558</v>
      </c>
    </row>
    <row r="177" spans="2:18" x14ac:dyDescent="0.2">
      <c r="B177">
        <v>900</v>
      </c>
      <c r="C177">
        <v>10</v>
      </c>
      <c r="D177">
        <v>10</v>
      </c>
      <c r="F177" t="s">
        <v>651</v>
      </c>
      <c r="G177" t="s">
        <v>652</v>
      </c>
      <c r="H177" t="s">
        <v>82</v>
      </c>
      <c r="I177" t="s">
        <v>653</v>
      </c>
      <c r="J177" t="s">
        <v>50</v>
      </c>
      <c r="M177">
        <v>999</v>
      </c>
      <c r="N177">
        <v>999</v>
      </c>
      <c r="P177">
        <v>48</v>
      </c>
      <c r="Q177" t="s">
        <v>557</v>
      </c>
      <c r="R177" t="s">
        <v>558</v>
      </c>
    </row>
    <row r="178" spans="2:18" x14ac:dyDescent="0.2">
      <c r="B178">
        <v>900</v>
      </c>
      <c r="C178">
        <v>10</v>
      </c>
      <c r="D178">
        <v>10</v>
      </c>
      <c r="F178" t="s">
        <v>654</v>
      </c>
      <c r="G178" t="s">
        <v>655</v>
      </c>
      <c r="I178" t="s">
        <v>656</v>
      </c>
      <c r="J178" t="s">
        <v>50</v>
      </c>
      <c r="M178">
        <v>999</v>
      </c>
      <c r="N178">
        <v>999</v>
      </c>
      <c r="P178">
        <v>16</v>
      </c>
      <c r="Q178" t="s">
        <v>557</v>
      </c>
      <c r="R178" t="s">
        <v>558</v>
      </c>
    </row>
    <row r="179" spans="2:18" x14ac:dyDescent="0.2">
      <c r="B179">
        <v>900</v>
      </c>
      <c r="C179">
        <v>10</v>
      </c>
      <c r="D179">
        <v>10</v>
      </c>
      <c r="F179">
        <v>1688</v>
      </c>
      <c r="G179" t="s">
        <v>657</v>
      </c>
      <c r="I179" t="s">
        <v>658</v>
      </c>
      <c r="J179" t="s">
        <v>50</v>
      </c>
      <c r="M179">
        <v>999</v>
      </c>
      <c r="N179">
        <v>999</v>
      </c>
      <c r="P179">
        <v>16</v>
      </c>
      <c r="Q179" t="s">
        <v>557</v>
      </c>
      <c r="R179" t="s">
        <v>558</v>
      </c>
    </row>
    <row r="180" spans="2:18" x14ac:dyDescent="0.2">
      <c r="B180">
        <v>900</v>
      </c>
      <c r="C180">
        <v>10</v>
      </c>
      <c r="D180">
        <v>10</v>
      </c>
      <c r="F180" t="s">
        <v>659</v>
      </c>
      <c r="G180" t="s">
        <v>660</v>
      </c>
      <c r="I180" t="s">
        <v>661</v>
      </c>
      <c r="J180" t="s">
        <v>50</v>
      </c>
      <c r="M180">
        <v>999</v>
      </c>
      <c r="N180">
        <v>999</v>
      </c>
      <c r="P180">
        <v>16</v>
      </c>
      <c r="Q180" t="s">
        <v>557</v>
      </c>
      <c r="R180" t="s">
        <v>558</v>
      </c>
    </row>
    <row r="181" spans="2:18" x14ac:dyDescent="0.2">
      <c r="B181">
        <v>900</v>
      </c>
      <c r="C181">
        <v>10</v>
      </c>
      <c r="D181">
        <v>10</v>
      </c>
      <c r="F181" t="s">
        <v>662</v>
      </c>
      <c r="G181" t="s">
        <v>663</v>
      </c>
      <c r="I181" t="s">
        <v>664</v>
      </c>
      <c r="J181" t="s">
        <v>50</v>
      </c>
      <c r="M181">
        <v>999</v>
      </c>
      <c r="N181">
        <v>999</v>
      </c>
      <c r="P181">
        <v>16</v>
      </c>
      <c r="Q181" t="s">
        <v>557</v>
      </c>
      <c r="R181" t="s">
        <v>558</v>
      </c>
    </row>
    <row r="182" spans="2:18" x14ac:dyDescent="0.2">
      <c r="B182">
        <v>900</v>
      </c>
      <c r="C182">
        <v>10</v>
      </c>
      <c r="D182">
        <v>10</v>
      </c>
      <c r="F182" t="s">
        <v>665</v>
      </c>
      <c r="G182" t="s">
        <v>666</v>
      </c>
      <c r="I182" t="s">
        <v>667</v>
      </c>
      <c r="J182" t="s">
        <v>50</v>
      </c>
      <c r="M182">
        <v>999</v>
      </c>
      <c r="N182">
        <v>999</v>
      </c>
      <c r="P182">
        <v>16</v>
      </c>
      <c r="Q182" t="s">
        <v>557</v>
      </c>
      <c r="R182" t="s">
        <v>558</v>
      </c>
    </row>
    <row r="183" spans="2:18" x14ac:dyDescent="0.2">
      <c r="B183">
        <v>900</v>
      </c>
      <c r="C183">
        <v>10</v>
      </c>
      <c r="D183">
        <v>10</v>
      </c>
      <c r="F183" t="s">
        <v>668</v>
      </c>
      <c r="G183" t="s">
        <v>669</v>
      </c>
      <c r="I183" t="s">
        <v>670</v>
      </c>
      <c r="J183" t="s">
        <v>50</v>
      </c>
      <c r="M183">
        <v>999</v>
      </c>
      <c r="N183">
        <v>999</v>
      </c>
      <c r="P183">
        <v>48</v>
      </c>
      <c r="Q183" t="s">
        <v>557</v>
      </c>
      <c r="R183" t="s">
        <v>558</v>
      </c>
    </row>
    <row r="184" spans="2:18" x14ac:dyDescent="0.2">
      <c r="B184">
        <v>301</v>
      </c>
      <c r="C184">
        <v>10</v>
      </c>
      <c r="D184">
        <v>10</v>
      </c>
      <c r="F184" t="s">
        <v>671</v>
      </c>
      <c r="G184" t="s">
        <v>672</v>
      </c>
      <c r="H184" t="s">
        <v>82</v>
      </c>
      <c r="I184" t="s">
        <v>673</v>
      </c>
      <c r="J184" t="s">
        <v>39</v>
      </c>
      <c r="M184">
        <v>999</v>
      </c>
      <c r="N184">
        <v>999</v>
      </c>
    </row>
    <row r="185" spans="2:18" x14ac:dyDescent="0.2">
      <c r="B185">
        <v>301</v>
      </c>
      <c r="C185">
        <v>11</v>
      </c>
      <c r="D185">
        <v>10</v>
      </c>
      <c r="F185" t="s">
        <v>161</v>
      </c>
      <c r="G185" t="s">
        <v>162</v>
      </c>
      <c r="H185" t="s">
        <v>82</v>
      </c>
      <c r="I185" t="s">
        <v>163</v>
      </c>
      <c r="J185" t="s">
        <v>39</v>
      </c>
      <c r="K185" t="s">
        <v>674</v>
      </c>
      <c r="M185">
        <v>999</v>
      </c>
      <c r="P185">
        <v>16</v>
      </c>
      <c r="Q185" t="s">
        <v>557</v>
      </c>
    </row>
    <row r="186" spans="2:18" x14ac:dyDescent="0.2">
      <c r="B186">
        <v>301</v>
      </c>
      <c r="C186">
        <v>12</v>
      </c>
      <c r="D186">
        <v>10</v>
      </c>
      <c r="F186" t="s">
        <v>675</v>
      </c>
      <c r="G186" t="s">
        <v>676</v>
      </c>
      <c r="H186" t="s">
        <v>82</v>
      </c>
      <c r="I186" t="s">
        <v>677</v>
      </c>
      <c r="J186" t="s">
        <v>39</v>
      </c>
      <c r="K186" t="s">
        <v>678</v>
      </c>
      <c r="M186">
        <v>999</v>
      </c>
      <c r="P186">
        <v>64</v>
      </c>
      <c r="Q186" t="s">
        <v>557</v>
      </c>
    </row>
    <row r="187" spans="2:18" x14ac:dyDescent="0.2">
      <c r="B187">
        <v>301</v>
      </c>
      <c r="C187">
        <v>12</v>
      </c>
      <c r="D187">
        <v>10</v>
      </c>
      <c r="F187" t="s">
        <v>679</v>
      </c>
      <c r="G187" t="s">
        <v>680</v>
      </c>
      <c r="H187" t="s">
        <v>82</v>
      </c>
      <c r="J187" t="s">
        <v>39</v>
      </c>
      <c r="K187" t="s">
        <v>678</v>
      </c>
      <c r="M187">
        <v>999</v>
      </c>
      <c r="Q187" t="s">
        <v>557</v>
      </c>
    </row>
    <row r="188" spans="2:18" x14ac:dyDescent="0.2">
      <c r="B188">
        <v>301</v>
      </c>
      <c r="C188">
        <v>12</v>
      </c>
      <c r="D188">
        <v>10</v>
      </c>
      <c r="F188" t="s">
        <v>681</v>
      </c>
      <c r="G188" t="s">
        <v>682</v>
      </c>
      <c r="H188" t="s">
        <v>82</v>
      </c>
      <c r="J188" t="s">
        <v>39</v>
      </c>
      <c r="K188" t="s">
        <v>678</v>
      </c>
      <c r="M188">
        <v>999</v>
      </c>
      <c r="Q188" t="s">
        <v>557</v>
      </c>
    </row>
    <row r="189" spans="2:18" x14ac:dyDescent="0.2">
      <c r="B189">
        <v>301</v>
      </c>
      <c r="C189">
        <v>14</v>
      </c>
      <c r="D189">
        <v>10</v>
      </c>
      <c r="F189" t="s">
        <v>683</v>
      </c>
      <c r="G189" t="s">
        <v>684</v>
      </c>
      <c r="H189" t="s">
        <v>82</v>
      </c>
      <c r="I189" t="s">
        <v>685</v>
      </c>
      <c r="J189" t="s">
        <v>39</v>
      </c>
      <c r="K189" t="s">
        <v>686</v>
      </c>
      <c r="M189">
        <v>999</v>
      </c>
      <c r="N189">
        <v>999</v>
      </c>
      <c r="P189">
        <v>16</v>
      </c>
      <c r="Q189" t="s">
        <v>557</v>
      </c>
    </row>
    <row r="190" spans="2:18" x14ac:dyDescent="0.2">
      <c r="B190">
        <v>301</v>
      </c>
      <c r="C190">
        <v>14</v>
      </c>
      <c r="D190">
        <v>10</v>
      </c>
      <c r="F190" t="s">
        <v>687</v>
      </c>
      <c r="G190" t="s">
        <v>688</v>
      </c>
      <c r="H190" t="s">
        <v>82</v>
      </c>
      <c r="I190" t="s">
        <v>689</v>
      </c>
      <c r="J190" t="s">
        <v>39</v>
      </c>
      <c r="K190" t="s">
        <v>686</v>
      </c>
      <c r="M190">
        <v>999</v>
      </c>
      <c r="Q190" t="s">
        <v>557</v>
      </c>
    </row>
    <row r="191" spans="2:18" x14ac:dyDescent="0.2">
      <c r="B191">
        <v>301</v>
      </c>
      <c r="C191">
        <v>14</v>
      </c>
      <c r="D191">
        <v>10</v>
      </c>
      <c r="F191" t="s">
        <v>690</v>
      </c>
      <c r="G191" t="s">
        <v>691</v>
      </c>
      <c r="H191" t="s">
        <v>82</v>
      </c>
      <c r="I191" t="s">
        <v>692</v>
      </c>
      <c r="J191" t="s">
        <v>39</v>
      </c>
      <c r="K191" t="s">
        <v>686</v>
      </c>
      <c r="M191">
        <v>999</v>
      </c>
      <c r="P191">
        <v>16</v>
      </c>
      <c r="Q191" t="s">
        <v>557</v>
      </c>
    </row>
    <row r="192" spans="2:18" x14ac:dyDescent="0.2">
      <c r="B192">
        <v>301</v>
      </c>
      <c r="C192">
        <v>14</v>
      </c>
      <c r="D192">
        <v>10</v>
      </c>
      <c r="F192" t="s">
        <v>693</v>
      </c>
      <c r="G192" t="s">
        <v>694</v>
      </c>
      <c r="H192" t="s">
        <v>82</v>
      </c>
      <c r="I192" t="s">
        <v>695</v>
      </c>
      <c r="J192" t="s">
        <v>39</v>
      </c>
      <c r="K192" t="s">
        <v>686</v>
      </c>
      <c r="M192">
        <v>999</v>
      </c>
      <c r="P192">
        <v>16</v>
      </c>
      <c r="Q192" t="s">
        <v>557</v>
      </c>
    </row>
    <row r="193" spans="2:17" x14ac:dyDescent="0.2">
      <c r="B193">
        <v>301</v>
      </c>
      <c r="C193">
        <v>14</v>
      </c>
      <c r="D193">
        <v>10</v>
      </c>
      <c r="F193" t="s">
        <v>696</v>
      </c>
      <c r="G193" t="s">
        <v>697</v>
      </c>
      <c r="H193" t="s">
        <v>82</v>
      </c>
      <c r="I193" t="s">
        <v>698</v>
      </c>
      <c r="J193" t="s">
        <v>39</v>
      </c>
      <c r="K193" t="s">
        <v>686</v>
      </c>
      <c r="M193">
        <v>999</v>
      </c>
      <c r="N193">
        <v>999</v>
      </c>
      <c r="P193">
        <v>16</v>
      </c>
      <c r="Q193" t="s">
        <v>557</v>
      </c>
    </row>
    <row r="194" spans="2:17" x14ac:dyDescent="0.2">
      <c r="B194">
        <v>301</v>
      </c>
      <c r="C194">
        <v>13</v>
      </c>
      <c r="D194">
        <v>10</v>
      </c>
      <c r="F194" t="s">
        <v>699</v>
      </c>
      <c r="G194" t="s">
        <v>700</v>
      </c>
      <c r="H194" t="s">
        <v>82</v>
      </c>
      <c r="I194" t="s">
        <v>701</v>
      </c>
      <c r="J194" t="s">
        <v>39</v>
      </c>
      <c r="K194" t="s">
        <v>702</v>
      </c>
      <c r="M194">
        <v>999</v>
      </c>
      <c r="Q194" t="s">
        <v>557</v>
      </c>
    </row>
    <row r="195" spans="2:17" x14ac:dyDescent="0.2">
      <c r="B195">
        <v>301</v>
      </c>
      <c r="C195">
        <v>15</v>
      </c>
      <c r="D195">
        <v>10</v>
      </c>
      <c r="F195" t="s">
        <v>671</v>
      </c>
      <c r="G195" t="s">
        <v>672</v>
      </c>
      <c r="H195" t="s">
        <v>82</v>
      </c>
      <c r="I195" t="s">
        <v>673</v>
      </c>
      <c r="J195" t="s">
        <v>39</v>
      </c>
      <c r="K195" t="s">
        <v>703</v>
      </c>
      <c r="M195">
        <v>999</v>
      </c>
      <c r="N195">
        <v>999</v>
      </c>
      <c r="P195">
        <v>48</v>
      </c>
      <c r="Q195" t="s">
        <v>557</v>
      </c>
    </row>
    <row r="196" spans="2:17" x14ac:dyDescent="0.2">
      <c r="B196">
        <v>301</v>
      </c>
      <c r="C196">
        <v>15</v>
      </c>
      <c r="D196">
        <v>10</v>
      </c>
      <c r="F196" t="s">
        <v>704</v>
      </c>
      <c r="G196" t="s">
        <v>705</v>
      </c>
      <c r="H196" t="s">
        <v>82</v>
      </c>
      <c r="I196" t="s">
        <v>706</v>
      </c>
      <c r="J196" t="s">
        <v>39</v>
      </c>
      <c r="K196" t="s">
        <v>703</v>
      </c>
      <c r="M196">
        <v>999</v>
      </c>
      <c r="N196">
        <v>999</v>
      </c>
      <c r="P196">
        <v>16</v>
      </c>
      <c r="Q196" t="s">
        <v>557</v>
      </c>
    </row>
    <row r="197" spans="2:17" x14ac:dyDescent="0.2">
      <c r="B197">
        <v>301</v>
      </c>
      <c r="C197">
        <v>15</v>
      </c>
      <c r="D197">
        <v>10</v>
      </c>
      <c r="F197" t="s">
        <v>707</v>
      </c>
      <c r="G197" t="s">
        <v>708</v>
      </c>
      <c r="H197" t="s">
        <v>82</v>
      </c>
      <c r="I197" t="s">
        <v>709</v>
      </c>
      <c r="J197" t="s">
        <v>39</v>
      </c>
      <c r="K197" t="s">
        <v>703</v>
      </c>
      <c r="M197">
        <v>999</v>
      </c>
      <c r="N197">
        <v>999</v>
      </c>
      <c r="P197">
        <v>16</v>
      </c>
      <c r="Q197" t="s">
        <v>557</v>
      </c>
    </row>
    <row r="198" spans="2:17" x14ac:dyDescent="0.2">
      <c r="B198">
        <v>301</v>
      </c>
      <c r="C198">
        <v>15</v>
      </c>
      <c r="D198">
        <v>10</v>
      </c>
      <c r="F198" t="s">
        <v>710</v>
      </c>
      <c r="G198" t="s">
        <v>711</v>
      </c>
      <c r="H198" t="s">
        <v>82</v>
      </c>
      <c r="I198" t="s">
        <v>712</v>
      </c>
      <c r="J198" t="s">
        <v>39</v>
      </c>
      <c r="K198" t="s">
        <v>703</v>
      </c>
      <c r="M198">
        <v>999</v>
      </c>
      <c r="N198">
        <v>999</v>
      </c>
      <c r="P198">
        <v>16</v>
      </c>
      <c r="Q198" t="s">
        <v>557</v>
      </c>
    </row>
    <row r="199" spans="2:17" x14ac:dyDescent="0.2">
      <c r="B199">
        <v>301</v>
      </c>
      <c r="C199">
        <v>15</v>
      </c>
      <c r="D199">
        <v>10</v>
      </c>
      <c r="F199" t="s">
        <v>713</v>
      </c>
      <c r="G199" t="s">
        <v>714</v>
      </c>
      <c r="H199" t="s">
        <v>82</v>
      </c>
      <c r="I199" t="s">
        <v>715</v>
      </c>
      <c r="J199" t="s">
        <v>39</v>
      </c>
      <c r="K199" t="s">
        <v>703</v>
      </c>
      <c r="M199">
        <v>999</v>
      </c>
      <c r="N199">
        <v>999</v>
      </c>
      <c r="P199">
        <v>48</v>
      </c>
      <c r="Q199" t="s">
        <v>557</v>
      </c>
    </row>
    <row r="200" spans="2:17" x14ac:dyDescent="0.2">
      <c r="B200">
        <v>301</v>
      </c>
      <c r="C200">
        <v>15</v>
      </c>
      <c r="D200">
        <v>10</v>
      </c>
      <c r="F200" t="s">
        <v>716</v>
      </c>
      <c r="G200" t="s">
        <v>717</v>
      </c>
      <c r="H200" t="s">
        <v>82</v>
      </c>
      <c r="I200" t="s">
        <v>718</v>
      </c>
      <c r="J200" t="s">
        <v>39</v>
      </c>
      <c r="K200" t="s">
        <v>703</v>
      </c>
      <c r="M200">
        <v>999</v>
      </c>
      <c r="P200">
        <v>16</v>
      </c>
      <c r="Q200" t="s">
        <v>557</v>
      </c>
    </row>
    <row r="201" spans="2:17" x14ac:dyDescent="0.2">
      <c r="B201">
        <v>301</v>
      </c>
      <c r="C201">
        <v>15</v>
      </c>
      <c r="D201">
        <v>10</v>
      </c>
      <c r="F201" t="s">
        <v>719</v>
      </c>
      <c r="G201" t="s">
        <v>720</v>
      </c>
      <c r="H201" t="s">
        <v>82</v>
      </c>
      <c r="I201" t="s">
        <v>721</v>
      </c>
      <c r="J201" t="s">
        <v>39</v>
      </c>
      <c r="K201" t="s">
        <v>703</v>
      </c>
      <c r="M201">
        <v>999</v>
      </c>
      <c r="N201">
        <v>999</v>
      </c>
      <c r="P201">
        <v>16</v>
      </c>
      <c r="Q201" t="s">
        <v>557</v>
      </c>
    </row>
    <row r="202" spans="2:17" x14ac:dyDescent="0.2">
      <c r="B202">
        <v>301</v>
      </c>
      <c r="C202">
        <v>15</v>
      </c>
      <c r="D202">
        <v>10</v>
      </c>
      <c r="F202" t="s">
        <v>722</v>
      </c>
      <c r="G202" t="s">
        <v>723</v>
      </c>
      <c r="H202" t="s">
        <v>82</v>
      </c>
      <c r="I202" t="s">
        <v>724</v>
      </c>
      <c r="J202" t="s">
        <v>39</v>
      </c>
      <c r="K202" t="s">
        <v>703</v>
      </c>
      <c r="M202">
        <v>999</v>
      </c>
      <c r="Q202" t="s">
        <v>557</v>
      </c>
    </row>
    <row r="203" spans="2:17" x14ac:dyDescent="0.2">
      <c r="B203">
        <v>301</v>
      </c>
      <c r="C203">
        <v>15</v>
      </c>
      <c r="D203">
        <v>10</v>
      </c>
      <c r="F203" t="s">
        <v>725</v>
      </c>
      <c r="G203" t="s">
        <v>726</v>
      </c>
      <c r="H203" t="s">
        <v>82</v>
      </c>
      <c r="I203" t="s">
        <v>727</v>
      </c>
      <c r="J203" t="s">
        <v>39</v>
      </c>
      <c r="K203" t="s">
        <v>703</v>
      </c>
      <c r="M203">
        <v>999</v>
      </c>
      <c r="Q203" t="s">
        <v>557</v>
      </c>
    </row>
    <row r="204" spans="2:17" x14ac:dyDescent="0.2">
      <c r="B204">
        <v>301</v>
      </c>
      <c r="C204">
        <v>15</v>
      </c>
      <c r="D204">
        <v>10</v>
      </c>
      <c r="F204" t="s">
        <v>728</v>
      </c>
      <c r="G204" t="s">
        <v>729</v>
      </c>
      <c r="H204" t="s">
        <v>82</v>
      </c>
      <c r="I204" t="s">
        <v>730</v>
      </c>
      <c r="J204" t="s">
        <v>39</v>
      </c>
      <c r="K204" t="s">
        <v>703</v>
      </c>
      <c r="M204">
        <v>999</v>
      </c>
      <c r="P204">
        <v>48</v>
      </c>
      <c r="Q204" t="s">
        <v>557</v>
      </c>
    </row>
    <row r="205" spans="2:17" x14ac:dyDescent="0.2">
      <c r="B205">
        <v>301</v>
      </c>
      <c r="C205">
        <v>15</v>
      </c>
      <c r="D205">
        <v>10</v>
      </c>
      <c r="F205" t="s">
        <v>731</v>
      </c>
      <c r="G205" t="s">
        <v>732</v>
      </c>
      <c r="H205" t="s">
        <v>82</v>
      </c>
      <c r="I205" t="s">
        <v>733</v>
      </c>
      <c r="J205" t="s">
        <v>39</v>
      </c>
      <c r="K205" t="s">
        <v>703</v>
      </c>
      <c r="M205">
        <v>999</v>
      </c>
      <c r="Q205" t="s">
        <v>557</v>
      </c>
    </row>
    <row r="206" spans="2:17" x14ac:dyDescent="0.2">
      <c r="B206">
        <v>301</v>
      </c>
      <c r="C206">
        <v>15</v>
      </c>
      <c r="D206">
        <v>10</v>
      </c>
      <c r="F206" t="s">
        <v>734</v>
      </c>
      <c r="G206" t="s">
        <v>735</v>
      </c>
      <c r="H206" t="s">
        <v>82</v>
      </c>
      <c r="I206" t="s">
        <v>736</v>
      </c>
      <c r="J206" t="s">
        <v>39</v>
      </c>
      <c r="K206" t="s">
        <v>703</v>
      </c>
      <c r="M206">
        <v>999</v>
      </c>
      <c r="P206">
        <v>32</v>
      </c>
      <c r="Q206" t="s">
        <v>557</v>
      </c>
    </row>
    <row r="207" spans="2:17" x14ac:dyDescent="0.2">
      <c r="B207">
        <v>301</v>
      </c>
      <c r="C207">
        <v>15</v>
      </c>
      <c r="D207">
        <v>10</v>
      </c>
      <c r="F207" t="s">
        <v>737</v>
      </c>
      <c r="G207" t="s">
        <v>738</v>
      </c>
      <c r="H207" t="s">
        <v>82</v>
      </c>
      <c r="I207" t="s">
        <v>739</v>
      </c>
      <c r="J207" t="s">
        <v>39</v>
      </c>
      <c r="K207" t="s">
        <v>703</v>
      </c>
      <c r="M207">
        <v>999</v>
      </c>
      <c r="P207">
        <v>126</v>
      </c>
      <c r="Q207" t="s">
        <v>557</v>
      </c>
    </row>
    <row r="208" spans="2:17" x14ac:dyDescent="0.2">
      <c r="B208">
        <v>301</v>
      </c>
      <c r="C208">
        <v>15</v>
      </c>
      <c r="D208">
        <v>10</v>
      </c>
      <c r="F208" t="s">
        <v>740</v>
      </c>
      <c r="G208" t="s">
        <v>741</v>
      </c>
      <c r="H208" t="s">
        <v>82</v>
      </c>
      <c r="I208" t="s">
        <v>742</v>
      </c>
      <c r="J208" t="s">
        <v>39</v>
      </c>
      <c r="K208" t="s">
        <v>703</v>
      </c>
      <c r="M208">
        <v>999</v>
      </c>
      <c r="N208">
        <v>999</v>
      </c>
      <c r="P208">
        <v>16</v>
      </c>
      <c r="Q208" t="s">
        <v>557</v>
      </c>
    </row>
    <row r="209" spans="2:17" x14ac:dyDescent="0.2">
      <c r="B209">
        <v>301</v>
      </c>
      <c r="C209">
        <v>15</v>
      </c>
      <c r="D209">
        <v>10</v>
      </c>
      <c r="F209" t="s">
        <v>743</v>
      </c>
      <c r="G209" t="s">
        <v>744</v>
      </c>
      <c r="H209" t="s">
        <v>82</v>
      </c>
      <c r="I209" t="s">
        <v>745</v>
      </c>
      <c r="J209" t="s">
        <v>39</v>
      </c>
      <c r="K209" t="s">
        <v>703</v>
      </c>
      <c r="M209">
        <v>999</v>
      </c>
      <c r="P209">
        <v>32</v>
      </c>
      <c r="Q209" t="s">
        <v>557</v>
      </c>
    </row>
    <row r="210" spans="2:17" x14ac:dyDescent="0.2">
      <c r="B210">
        <v>301</v>
      </c>
      <c r="C210">
        <v>15</v>
      </c>
      <c r="D210">
        <v>10</v>
      </c>
      <c r="F210" t="s">
        <v>746</v>
      </c>
      <c r="G210" t="s">
        <v>747</v>
      </c>
      <c r="H210" t="s">
        <v>82</v>
      </c>
      <c r="I210" t="s">
        <v>748</v>
      </c>
      <c r="J210" t="s">
        <v>39</v>
      </c>
      <c r="K210" t="s">
        <v>703</v>
      </c>
      <c r="M210">
        <v>999</v>
      </c>
      <c r="N210">
        <v>999</v>
      </c>
      <c r="P210">
        <v>16</v>
      </c>
      <c r="Q210" t="s">
        <v>557</v>
      </c>
    </row>
    <row r="211" spans="2:17" x14ac:dyDescent="0.2">
      <c r="B211">
        <v>301</v>
      </c>
      <c r="C211">
        <v>15</v>
      </c>
      <c r="D211">
        <v>10</v>
      </c>
      <c r="F211" t="s">
        <v>749</v>
      </c>
      <c r="G211" t="s">
        <v>750</v>
      </c>
      <c r="H211" t="s">
        <v>82</v>
      </c>
      <c r="I211" t="s">
        <v>751</v>
      </c>
      <c r="J211" t="s">
        <v>39</v>
      </c>
      <c r="K211" t="s">
        <v>703</v>
      </c>
      <c r="M211">
        <v>999</v>
      </c>
      <c r="Q211" t="s">
        <v>557</v>
      </c>
    </row>
    <row r="212" spans="2:17" x14ac:dyDescent="0.2">
      <c r="B212">
        <v>301</v>
      </c>
      <c r="C212">
        <v>15</v>
      </c>
      <c r="D212">
        <v>10</v>
      </c>
      <c r="F212" t="s">
        <v>752</v>
      </c>
      <c r="G212" t="s">
        <v>753</v>
      </c>
      <c r="H212" t="s">
        <v>82</v>
      </c>
      <c r="I212" t="s">
        <v>754</v>
      </c>
      <c r="J212" t="s">
        <v>39</v>
      </c>
      <c r="K212" t="s">
        <v>703</v>
      </c>
      <c r="M212">
        <v>999</v>
      </c>
      <c r="P212">
        <v>31</v>
      </c>
      <c r="Q212" t="s">
        <v>557</v>
      </c>
    </row>
    <row r="213" spans="2:17" x14ac:dyDescent="0.2">
      <c r="B213">
        <v>301</v>
      </c>
      <c r="C213">
        <v>15</v>
      </c>
      <c r="D213">
        <v>10</v>
      </c>
      <c r="F213" t="s">
        <v>755</v>
      </c>
      <c r="G213" t="s">
        <v>756</v>
      </c>
      <c r="H213" t="s">
        <v>82</v>
      </c>
      <c r="I213" t="s">
        <v>757</v>
      </c>
      <c r="J213" t="s">
        <v>39</v>
      </c>
      <c r="K213" t="s">
        <v>703</v>
      </c>
      <c r="M213">
        <v>999</v>
      </c>
      <c r="P213">
        <v>16</v>
      </c>
      <c r="Q213" t="s">
        <v>557</v>
      </c>
    </row>
    <row r="214" spans="2:17" x14ac:dyDescent="0.2">
      <c r="B214">
        <v>301</v>
      </c>
      <c r="C214">
        <v>15</v>
      </c>
      <c r="D214">
        <v>10</v>
      </c>
      <c r="F214" t="s">
        <v>758</v>
      </c>
      <c r="G214" t="s">
        <v>759</v>
      </c>
      <c r="H214" t="s">
        <v>82</v>
      </c>
      <c r="I214" t="s">
        <v>760</v>
      </c>
      <c r="J214" t="s">
        <v>39</v>
      </c>
      <c r="K214" t="s">
        <v>703</v>
      </c>
      <c r="M214">
        <v>999</v>
      </c>
      <c r="Q214" t="s">
        <v>557</v>
      </c>
    </row>
    <row r="215" spans="2:17" x14ac:dyDescent="0.2">
      <c r="B215">
        <v>301</v>
      </c>
      <c r="C215">
        <v>15</v>
      </c>
      <c r="D215">
        <v>10</v>
      </c>
      <c r="F215" t="s">
        <v>761</v>
      </c>
      <c r="G215" t="s">
        <v>762</v>
      </c>
      <c r="H215" t="s">
        <v>82</v>
      </c>
      <c r="I215" t="s">
        <v>763</v>
      </c>
      <c r="J215" t="s">
        <v>39</v>
      </c>
      <c r="K215" t="s">
        <v>703</v>
      </c>
      <c r="M215">
        <v>999</v>
      </c>
      <c r="N215">
        <v>999</v>
      </c>
      <c r="Q215" t="s">
        <v>557</v>
      </c>
    </row>
    <row r="216" spans="2:17" x14ac:dyDescent="0.2">
      <c r="B216">
        <v>301</v>
      </c>
      <c r="C216">
        <v>15</v>
      </c>
      <c r="D216">
        <v>10</v>
      </c>
      <c r="F216" t="s">
        <v>764</v>
      </c>
      <c r="G216" t="s">
        <v>765</v>
      </c>
      <c r="H216" t="s">
        <v>82</v>
      </c>
      <c r="I216" t="s">
        <v>766</v>
      </c>
      <c r="J216" t="s">
        <v>39</v>
      </c>
      <c r="K216" t="s">
        <v>703</v>
      </c>
      <c r="M216">
        <v>999</v>
      </c>
      <c r="Q216" t="s">
        <v>557</v>
      </c>
    </row>
    <row r="217" spans="2:17" x14ac:dyDescent="0.2">
      <c r="B217">
        <v>301</v>
      </c>
      <c r="C217">
        <v>15</v>
      </c>
      <c r="D217">
        <v>10</v>
      </c>
      <c r="F217" t="s">
        <v>767</v>
      </c>
      <c r="G217" t="s">
        <v>768</v>
      </c>
      <c r="H217" t="s">
        <v>82</v>
      </c>
      <c r="I217" t="s">
        <v>769</v>
      </c>
      <c r="J217" t="s">
        <v>39</v>
      </c>
      <c r="K217" t="s">
        <v>703</v>
      </c>
      <c r="M217">
        <v>999</v>
      </c>
      <c r="Q217" t="s">
        <v>557</v>
      </c>
    </row>
    <row r="218" spans="2:17" x14ac:dyDescent="0.2">
      <c r="B218">
        <v>301</v>
      </c>
      <c r="C218">
        <v>15</v>
      </c>
      <c r="D218">
        <v>10</v>
      </c>
      <c r="F218" t="s">
        <v>770</v>
      </c>
      <c r="G218" t="s">
        <v>771</v>
      </c>
      <c r="H218" t="s">
        <v>82</v>
      </c>
      <c r="I218" t="s">
        <v>772</v>
      </c>
      <c r="J218" t="s">
        <v>39</v>
      </c>
      <c r="K218" t="s">
        <v>703</v>
      </c>
      <c r="M218">
        <v>999</v>
      </c>
      <c r="P218">
        <v>64</v>
      </c>
      <c r="Q218" t="s">
        <v>557</v>
      </c>
    </row>
    <row r="219" spans="2:17" x14ac:dyDescent="0.2">
      <c r="B219">
        <v>301</v>
      </c>
      <c r="C219">
        <v>15</v>
      </c>
      <c r="D219">
        <v>10</v>
      </c>
      <c r="F219" t="s">
        <v>773</v>
      </c>
      <c r="G219" t="s">
        <v>774</v>
      </c>
      <c r="H219" t="s">
        <v>82</v>
      </c>
      <c r="I219" t="s">
        <v>775</v>
      </c>
      <c r="J219" t="s">
        <v>39</v>
      </c>
      <c r="K219" t="s">
        <v>703</v>
      </c>
      <c r="M219">
        <v>999</v>
      </c>
      <c r="Q219" t="s">
        <v>557</v>
      </c>
    </row>
    <row r="220" spans="2:17" x14ac:dyDescent="0.2">
      <c r="B220">
        <v>301</v>
      </c>
      <c r="C220">
        <v>15</v>
      </c>
      <c r="D220">
        <v>10</v>
      </c>
      <c r="F220" t="s">
        <v>776</v>
      </c>
      <c r="G220" t="s">
        <v>777</v>
      </c>
      <c r="H220" t="s">
        <v>82</v>
      </c>
      <c r="I220" t="s">
        <v>778</v>
      </c>
      <c r="J220" t="s">
        <v>39</v>
      </c>
      <c r="K220" t="s">
        <v>703</v>
      </c>
      <c r="M220">
        <v>999</v>
      </c>
      <c r="P220">
        <v>32</v>
      </c>
      <c r="Q220" t="s">
        <v>557</v>
      </c>
    </row>
    <row r="221" spans="2:17" x14ac:dyDescent="0.2">
      <c r="B221">
        <v>301</v>
      </c>
      <c r="C221">
        <v>15</v>
      </c>
      <c r="D221">
        <v>10</v>
      </c>
      <c r="F221" t="s">
        <v>779</v>
      </c>
      <c r="G221" t="s">
        <v>780</v>
      </c>
      <c r="H221" t="s">
        <v>82</v>
      </c>
      <c r="I221" t="s">
        <v>781</v>
      </c>
      <c r="J221" t="s">
        <v>39</v>
      </c>
      <c r="K221" t="s">
        <v>703</v>
      </c>
      <c r="M221">
        <v>999</v>
      </c>
      <c r="N221">
        <v>999</v>
      </c>
      <c r="P221">
        <v>32</v>
      </c>
      <c r="Q221" t="s">
        <v>557</v>
      </c>
    </row>
    <row r="222" spans="2:17" x14ac:dyDescent="0.2">
      <c r="B222">
        <v>301</v>
      </c>
      <c r="C222">
        <v>15</v>
      </c>
      <c r="D222">
        <v>10</v>
      </c>
      <c r="F222" t="s">
        <v>782</v>
      </c>
      <c r="G222" t="s">
        <v>783</v>
      </c>
      <c r="H222" t="s">
        <v>82</v>
      </c>
      <c r="I222" t="s">
        <v>784</v>
      </c>
      <c r="J222" t="s">
        <v>39</v>
      </c>
      <c r="K222" t="s">
        <v>703</v>
      </c>
      <c r="M222">
        <v>999</v>
      </c>
      <c r="Q222" t="s">
        <v>557</v>
      </c>
    </row>
    <row r="223" spans="2:17" x14ac:dyDescent="0.2">
      <c r="B223">
        <v>301</v>
      </c>
      <c r="C223">
        <v>15</v>
      </c>
      <c r="D223">
        <v>10</v>
      </c>
      <c r="F223" t="s">
        <v>785</v>
      </c>
      <c r="G223" t="s">
        <v>786</v>
      </c>
      <c r="H223" t="s">
        <v>82</v>
      </c>
      <c r="I223" t="s">
        <v>787</v>
      </c>
      <c r="J223" t="s">
        <v>39</v>
      </c>
      <c r="K223" t="s">
        <v>703</v>
      </c>
      <c r="M223">
        <v>999</v>
      </c>
      <c r="Q223" t="s">
        <v>557</v>
      </c>
    </row>
    <row r="224" spans="2:17" x14ac:dyDescent="0.2">
      <c r="B224">
        <v>301</v>
      </c>
      <c r="C224">
        <v>15</v>
      </c>
      <c r="D224">
        <v>10</v>
      </c>
      <c r="F224" t="s">
        <v>788</v>
      </c>
      <c r="G224" t="s">
        <v>789</v>
      </c>
      <c r="H224" t="s">
        <v>82</v>
      </c>
      <c r="I224" t="s">
        <v>790</v>
      </c>
      <c r="J224" t="s">
        <v>39</v>
      </c>
      <c r="K224" t="s">
        <v>703</v>
      </c>
      <c r="M224">
        <v>999</v>
      </c>
      <c r="P224">
        <v>48</v>
      </c>
      <c r="Q224" t="s">
        <v>557</v>
      </c>
    </row>
    <row r="225" spans="2:17" x14ac:dyDescent="0.2">
      <c r="B225">
        <v>301</v>
      </c>
      <c r="C225">
        <v>15</v>
      </c>
      <c r="D225">
        <v>10</v>
      </c>
      <c r="F225" t="s">
        <v>791</v>
      </c>
      <c r="G225" t="s">
        <v>792</v>
      </c>
      <c r="H225" t="s">
        <v>82</v>
      </c>
      <c r="I225" t="s">
        <v>793</v>
      </c>
      <c r="J225" t="s">
        <v>39</v>
      </c>
      <c r="K225" t="s">
        <v>703</v>
      </c>
      <c r="M225">
        <v>999</v>
      </c>
      <c r="Q225" t="s">
        <v>557</v>
      </c>
    </row>
    <row r="226" spans="2:17" x14ac:dyDescent="0.2">
      <c r="B226">
        <v>301</v>
      </c>
      <c r="C226">
        <v>15</v>
      </c>
      <c r="D226">
        <v>10</v>
      </c>
      <c r="F226" t="s">
        <v>794</v>
      </c>
      <c r="G226" t="s">
        <v>795</v>
      </c>
      <c r="H226" t="s">
        <v>82</v>
      </c>
      <c r="I226" t="s">
        <v>796</v>
      </c>
      <c r="J226" t="s">
        <v>39</v>
      </c>
      <c r="K226" t="s">
        <v>703</v>
      </c>
      <c r="M226">
        <v>999</v>
      </c>
      <c r="P226">
        <v>16</v>
      </c>
      <c r="Q226" t="s">
        <v>557</v>
      </c>
    </row>
    <row r="227" spans="2:17" x14ac:dyDescent="0.2">
      <c r="B227">
        <v>302</v>
      </c>
      <c r="C227">
        <v>10</v>
      </c>
      <c r="D227">
        <v>10</v>
      </c>
      <c r="F227" t="s">
        <v>797</v>
      </c>
      <c r="G227" t="s">
        <v>798</v>
      </c>
      <c r="H227" t="s">
        <v>82</v>
      </c>
      <c r="I227" t="s">
        <v>799</v>
      </c>
      <c r="J227" t="s">
        <v>40</v>
      </c>
      <c r="M227">
        <v>999</v>
      </c>
      <c r="N227">
        <v>999</v>
      </c>
      <c r="P227">
        <v>32</v>
      </c>
      <c r="Q227" t="s">
        <v>557</v>
      </c>
    </row>
    <row r="228" spans="2:17" x14ac:dyDescent="0.2">
      <c r="B228">
        <v>302</v>
      </c>
      <c r="C228">
        <v>10</v>
      </c>
      <c r="D228">
        <v>10</v>
      </c>
      <c r="F228" t="s">
        <v>800</v>
      </c>
      <c r="G228" t="s">
        <v>801</v>
      </c>
      <c r="H228" t="s">
        <v>82</v>
      </c>
      <c r="I228" t="s">
        <v>802</v>
      </c>
      <c r="J228" t="s">
        <v>40</v>
      </c>
      <c r="M228">
        <v>999</v>
      </c>
      <c r="Q228" t="s">
        <v>557</v>
      </c>
    </row>
    <row r="229" spans="2:17" x14ac:dyDescent="0.2">
      <c r="B229">
        <v>302</v>
      </c>
      <c r="C229">
        <v>10</v>
      </c>
      <c r="D229">
        <v>10</v>
      </c>
      <c r="F229" t="s">
        <v>803</v>
      </c>
      <c r="G229" t="s">
        <v>804</v>
      </c>
      <c r="H229" t="s">
        <v>82</v>
      </c>
      <c r="I229" t="s">
        <v>805</v>
      </c>
      <c r="J229" t="s">
        <v>40</v>
      </c>
      <c r="M229">
        <v>999</v>
      </c>
      <c r="N229">
        <v>999</v>
      </c>
      <c r="P229">
        <v>16</v>
      </c>
      <c r="Q229" t="s">
        <v>557</v>
      </c>
    </row>
    <row r="230" spans="2:17" x14ac:dyDescent="0.2">
      <c r="B230">
        <v>302</v>
      </c>
      <c r="C230">
        <v>10</v>
      </c>
      <c r="D230">
        <v>10</v>
      </c>
      <c r="F230" t="s">
        <v>806</v>
      </c>
      <c r="G230" t="s">
        <v>807</v>
      </c>
      <c r="H230" t="s">
        <v>82</v>
      </c>
      <c r="I230" t="s">
        <v>808</v>
      </c>
      <c r="J230" t="s">
        <v>40</v>
      </c>
      <c r="M230">
        <v>999</v>
      </c>
      <c r="N230">
        <v>999</v>
      </c>
      <c r="Q230" t="s">
        <v>557</v>
      </c>
    </row>
    <row r="231" spans="2:17" x14ac:dyDescent="0.2">
      <c r="B231">
        <v>302</v>
      </c>
      <c r="C231">
        <v>10</v>
      </c>
      <c r="D231">
        <v>10</v>
      </c>
      <c r="F231" t="s">
        <v>809</v>
      </c>
      <c r="G231" t="s">
        <v>810</v>
      </c>
      <c r="H231" t="s">
        <v>82</v>
      </c>
      <c r="I231" t="s">
        <v>811</v>
      </c>
      <c r="J231" t="s">
        <v>40</v>
      </c>
      <c r="M231">
        <v>999</v>
      </c>
      <c r="N231">
        <v>999</v>
      </c>
      <c r="P231">
        <v>16</v>
      </c>
      <c r="Q231" t="s">
        <v>557</v>
      </c>
    </row>
    <row r="232" spans="2:17" x14ac:dyDescent="0.2">
      <c r="B232">
        <v>302</v>
      </c>
      <c r="C232">
        <v>10</v>
      </c>
      <c r="D232">
        <v>10</v>
      </c>
      <c r="F232" t="s">
        <v>812</v>
      </c>
      <c r="G232" t="s">
        <v>813</v>
      </c>
      <c r="H232" t="s">
        <v>82</v>
      </c>
      <c r="I232" t="s">
        <v>814</v>
      </c>
      <c r="J232" t="s">
        <v>40</v>
      </c>
      <c r="M232">
        <v>999</v>
      </c>
      <c r="N232">
        <v>999</v>
      </c>
      <c r="P232">
        <v>37</v>
      </c>
      <c r="Q232" t="s">
        <v>557</v>
      </c>
    </row>
    <row r="233" spans="2:17" x14ac:dyDescent="0.2">
      <c r="B233">
        <v>302</v>
      </c>
      <c r="C233">
        <v>10</v>
      </c>
      <c r="D233">
        <v>10</v>
      </c>
      <c r="F233" t="s">
        <v>815</v>
      </c>
      <c r="G233" t="s">
        <v>816</v>
      </c>
      <c r="H233" t="s">
        <v>82</v>
      </c>
      <c r="I233" t="s">
        <v>817</v>
      </c>
      <c r="J233" t="s">
        <v>40</v>
      </c>
      <c r="M233">
        <v>999</v>
      </c>
      <c r="N233">
        <v>999</v>
      </c>
      <c r="P233">
        <v>16</v>
      </c>
      <c r="Q233" t="s">
        <v>557</v>
      </c>
    </row>
    <row r="234" spans="2:17" x14ac:dyDescent="0.2">
      <c r="B234">
        <v>303</v>
      </c>
      <c r="C234">
        <v>10</v>
      </c>
      <c r="D234">
        <v>10</v>
      </c>
      <c r="F234" t="s">
        <v>818</v>
      </c>
      <c r="G234" t="s">
        <v>819</v>
      </c>
      <c r="H234" t="s">
        <v>82</v>
      </c>
      <c r="I234" t="s">
        <v>820</v>
      </c>
      <c r="J234" t="s">
        <v>41</v>
      </c>
      <c r="M234">
        <v>999</v>
      </c>
      <c r="N234">
        <v>999</v>
      </c>
      <c r="P234">
        <v>64</v>
      </c>
      <c r="Q234" t="s">
        <v>557</v>
      </c>
    </row>
    <row r="235" spans="2:17" x14ac:dyDescent="0.2">
      <c r="B235">
        <v>303</v>
      </c>
      <c r="C235">
        <v>10</v>
      </c>
      <c r="D235">
        <v>10</v>
      </c>
      <c r="F235" t="s">
        <v>821</v>
      </c>
      <c r="G235" t="s">
        <v>822</v>
      </c>
      <c r="H235" t="s">
        <v>82</v>
      </c>
      <c r="I235" t="s">
        <v>823</v>
      </c>
      <c r="J235" t="s">
        <v>41</v>
      </c>
      <c r="M235">
        <v>999</v>
      </c>
      <c r="Q235" t="s">
        <v>557</v>
      </c>
    </row>
    <row r="236" spans="2:17" x14ac:dyDescent="0.2">
      <c r="B236">
        <v>303</v>
      </c>
      <c r="C236">
        <v>10</v>
      </c>
      <c r="D236">
        <v>10</v>
      </c>
      <c r="F236" t="s">
        <v>824</v>
      </c>
      <c r="G236" t="s">
        <v>825</v>
      </c>
      <c r="H236" t="s">
        <v>82</v>
      </c>
      <c r="I236" t="s">
        <v>826</v>
      </c>
      <c r="J236" t="s">
        <v>41</v>
      </c>
      <c r="M236">
        <v>999</v>
      </c>
      <c r="P236">
        <v>32</v>
      </c>
      <c r="Q236" t="s">
        <v>557</v>
      </c>
    </row>
    <row r="237" spans="2:17" x14ac:dyDescent="0.2">
      <c r="B237">
        <v>303</v>
      </c>
      <c r="C237">
        <v>10</v>
      </c>
      <c r="D237">
        <v>10</v>
      </c>
      <c r="F237" t="s">
        <v>827</v>
      </c>
      <c r="G237" t="s">
        <v>828</v>
      </c>
      <c r="H237" t="s">
        <v>82</v>
      </c>
      <c r="I237" t="s">
        <v>829</v>
      </c>
      <c r="J237" t="s">
        <v>41</v>
      </c>
      <c r="M237">
        <v>999</v>
      </c>
      <c r="N237">
        <v>999</v>
      </c>
      <c r="Q237" t="s">
        <v>557</v>
      </c>
    </row>
    <row r="238" spans="2:17" x14ac:dyDescent="0.2">
      <c r="B238">
        <v>303</v>
      </c>
      <c r="C238">
        <v>10</v>
      </c>
      <c r="D238">
        <v>10</v>
      </c>
      <c r="F238" t="s">
        <v>830</v>
      </c>
      <c r="G238" t="s">
        <v>831</v>
      </c>
      <c r="H238" t="s">
        <v>82</v>
      </c>
      <c r="I238" t="s">
        <v>832</v>
      </c>
      <c r="J238" t="s">
        <v>41</v>
      </c>
      <c r="M238">
        <v>999</v>
      </c>
      <c r="N238">
        <v>999</v>
      </c>
      <c r="P238">
        <v>16</v>
      </c>
      <c r="Q238" t="s">
        <v>557</v>
      </c>
    </row>
    <row r="239" spans="2:17" x14ac:dyDescent="0.2">
      <c r="B239">
        <v>303</v>
      </c>
      <c r="C239">
        <v>10</v>
      </c>
      <c r="D239">
        <v>10</v>
      </c>
      <c r="F239" t="s">
        <v>833</v>
      </c>
      <c r="G239" t="s">
        <v>834</v>
      </c>
      <c r="H239" t="s">
        <v>82</v>
      </c>
      <c r="I239" t="s">
        <v>835</v>
      </c>
      <c r="J239" t="s">
        <v>41</v>
      </c>
      <c r="M239">
        <v>999</v>
      </c>
      <c r="P239">
        <v>16</v>
      </c>
      <c r="Q239" t="s">
        <v>557</v>
      </c>
    </row>
    <row r="240" spans="2:17" x14ac:dyDescent="0.2">
      <c r="B240">
        <v>303</v>
      </c>
      <c r="C240">
        <v>10</v>
      </c>
      <c r="D240">
        <v>10</v>
      </c>
      <c r="F240" t="s">
        <v>836</v>
      </c>
      <c r="G240" t="s">
        <v>837</v>
      </c>
      <c r="H240" t="s">
        <v>82</v>
      </c>
      <c r="I240" t="s">
        <v>838</v>
      </c>
      <c r="J240" t="s">
        <v>41</v>
      </c>
      <c r="M240">
        <v>999</v>
      </c>
      <c r="N240">
        <v>999</v>
      </c>
      <c r="P240">
        <v>16</v>
      </c>
      <c r="Q240" t="s">
        <v>557</v>
      </c>
    </row>
    <row r="241" spans="2:17" x14ac:dyDescent="0.2">
      <c r="B241">
        <v>303</v>
      </c>
      <c r="C241">
        <v>10</v>
      </c>
      <c r="D241">
        <v>10</v>
      </c>
      <c r="F241" t="s">
        <v>839</v>
      </c>
      <c r="G241" t="s">
        <v>840</v>
      </c>
      <c r="H241" t="s">
        <v>82</v>
      </c>
      <c r="I241" t="s">
        <v>841</v>
      </c>
      <c r="J241" t="s">
        <v>41</v>
      </c>
      <c r="M241">
        <v>999</v>
      </c>
      <c r="N241">
        <v>999</v>
      </c>
      <c r="P241">
        <v>16</v>
      </c>
      <c r="Q241" t="s">
        <v>557</v>
      </c>
    </row>
    <row r="242" spans="2:17" x14ac:dyDescent="0.2">
      <c r="B242">
        <v>303</v>
      </c>
      <c r="C242">
        <v>10</v>
      </c>
      <c r="D242">
        <v>10</v>
      </c>
      <c r="F242" t="s">
        <v>842</v>
      </c>
      <c r="G242" t="s">
        <v>843</v>
      </c>
      <c r="H242" t="s">
        <v>82</v>
      </c>
      <c r="I242" t="s">
        <v>844</v>
      </c>
      <c r="J242" t="s">
        <v>41</v>
      </c>
      <c r="M242">
        <v>999</v>
      </c>
      <c r="N242">
        <v>999</v>
      </c>
      <c r="P242">
        <v>32</v>
      </c>
      <c r="Q242" t="s">
        <v>557</v>
      </c>
    </row>
    <row r="243" spans="2:17" x14ac:dyDescent="0.2">
      <c r="B243">
        <v>303</v>
      </c>
      <c r="C243">
        <v>10</v>
      </c>
      <c r="D243">
        <v>10</v>
      </c>
      <c r="F243" t="s">
        <v>845</v>
      </c>
      <c r="G243" t="s">
        <v>846</v>
      </c>
      <c r="H243" t="s">
        <v>82</v>
      </c>
      <c r="I243" t="s">
        <v>847</v>
      </c>
      <c r="J243" t="s">
        <v>41</v>
      </c>
      <c r="M243">
        <v>999</v>
      </c>
      <c r="P243">
        <v>16</v>
      </c>
      <c r="Q243" t="s">
        <v>557</v>
      </c>
    </row>
    <row r="244" spans="2:17" x14ac:dyDescent="0.2">
      <c r="B244">
        <v>303</v>
      </c>
      <c r="C244">
        <v>10</v>
      </c>
      <c r="D244">
        <v>10</v>
      </c>
      <c r="F244" t="s">
        <v>848</v>
      </c>
      <c r="G244" t="s">
        <v>849</v>
      </c>
      <c r="H244" t="s">
        <v>82</v>
      </c>
      <c r="I244" t="s">
        <v>850</v>
      </c>
      <c r="J244" t="s">
        <v>41</v>
      </c>
      <c r="M244">
        <v>999</v>
      </c>
      <c r="N244">
        <v>999</v>
      </c>
      <c r="Q244" t="s">
        <v>557</v>
      </c>
    </row>
    <row r="245" spans="2:17" x14ac:dyDescent="0.2">
      <c r="B245">
        <v>901</v>
      </c>
      <c r="C245">
        <v>10</v>
      </c>
      <c r="D245">
        <v>10</v>
      </c>
      <c r="F245" t="s">
        <v>851</v>
      </c>
      <c r="G245" t="s">
        <v>852</v>
      </c>
      <c r="H245" t="s">
        <v>82</v>
      </c>
      <c r="I245" t="s">
        <v>853</v>
      </c>
      <c r="J245" t="s">
        <v>51</v>
      </c>
      <c r="M245">
        <v>999</v>
      </c>
      <c r="N245">
        <v>999</v>
      </c>
      <c r="P245">
        <v>32</v>
      </c>
      <c r="Q245" t="s">
        <v>557</v>
      </c>
    </row>
    <row r="246" spans="2:17" x14ac:dyDescent="0.2">
      <c r="B246">
        <v>901</v>
      </c>
      <c r="C246">
        <v>10</v>
      </c>
      <c r="D246">
        <v>10</v>
      </c>
      <c r="F246" t="s">
        <v>854</v>
      </c>
      <c r="G246" t="s">
        <v>855</v>
      </c>
      <c r="H246" t="s">
        <v>82</v>
      </c>
      <c r="I246" t="s">
        <v>856</v>
      </c>
      <c r="J246" t="s">
        <v>51</v>
      </c>
      <c r="M246">
        <v>999</v>
      </c>
      <c r="N246">
        <v>999</v>
      </c>
      <c r="P246">
        <v>32</v>
      </c>
      <c r="Q246" t="s">
        <v>557</v>
      </c>
    </row>
    <row r="247" spans="2:17" x14ac:dyDescent="0.2">
      <c r="B247">
        <v>901</v>
      </c>
      <c r="C247">
        <v>10</v>
      </c>
      <c r="D247">
        <v>10</v>
      </c>
      <c r="F247" t="s">
        <v>857</v>
      </c>
      <c r="G247" t="s">
        <v>858</v>
      </c>
      <c r="H247" t="s">
        <v>82</v>
      </c>
      <c r="I247" t="s">
        <v>859</v>
      </c>
      <c r="J247" t="s">
        <v>51</v>
      </c>
      <c r="M247">
        <v>999</v>
      </c>
      <c r="N247">
        <v>999</v>
      </c>
      <c r="P247">
        <v>256</v>
      </c>
    </row>
    <row r="248" spans="2:17" x14ac:dyDescent="0.2">
      <c r="B248">
        <v>901</v>
      </c>
      <c r="C248">
        <v>10</v>
      </c>
      <c r="D248">
        <v>10</v>
      </c>
      <c r="F248" t="s">
        <v>860</v>
      </c>
      <c r="G248" t="s">
        <v>861</v>
      </c>
      <c r="H248" t="s">
        <v>82</v>
      </c>
      <c r="I248" t="s">
        <v>862</v>
      </c>
      <c r="J248" t="s">
        <v>51</v>
      </c>
      <c r="M248">
        <v>999</v>
      </c>
      <c r="N248">
        <v>999</v>
      </c>
      <c r="P248">
        <v>32</v>
      </c>
      <c r="Q248" t="s">
        <v>557</v>
      </c>
    </row>
    <row r="249" spans="2:17" x14ac:dyDescent="0.2">
      <c r="B249">
        <v>901</v>
      </c>
      <c r="C249">
        <v>10</v>
      </c>
      <c r="D249">
        <v>10</v>
      </c>
      <c r="F249" t="s">
        <v>863</v>
      </c>
      <c r="G249" t="s">
        <v>864</v>
      </c>
      <c r="H249" t="s">
        <v>82</v>
      </c>
      <c r="I249" t="s">
        <v>865</v>
      </c>
      <c r="J249" t="s">
        <v>51</v>
      </c>
      <c r="M249">
        <v>999</v>
      </c>
      <c r="N249">
        <v>999</v>
      </c>
      <c r="P249">
        <v>32</v>
      </c>
    </row>
    <row r="250" spans="2:17" x14ac:dyDescent="0.2">
      <c r="B250">
        <v>901</v>
      </c>
      <c r="C250">
        <v>10</v>
      </c>
      <c r="D250">
        <v>10</v>
      </c>
      <c r="F250" t="s">
        <v>866</v>
      </c>
      <c r="G250" t="s">
        <v>867</v>
      </c>
      <c r="H250" t="s">
        <v>82</v>
      </c>
      <c r="I250" t="s">
        <v>868</v>
      </c>
      <c r="J250" t="s">
        <v>51</v>
      </c>
      <c r="M250">
        <v>999</v>
      </c>
      <c r="N250">
        <v>999</v>
      </c>
      <c r="P250">
        <v>16</v>
      </c>
      <c r="Q250" t="s">
        <v>557</v>
      </c>
    </row>
    <row r="251" spans="2:17" x14ac:dyDescent="0.2">
      <c r="B251">
        <v>901</v>
      </c>
      <c r="C251">
        <v>10</v>
      </c>
      <c r="D251">
        <v>10</v>
      </c>
      <c r="F251" t="s">
        <v>869</v>
      </c>
      <c r="G251" t="s">
        <v>870</v>
      </c>
      <c r="H251" t="s">
        <v>82</v>
      </c>
      <c r="J251" t="s">
        <v>51</v>
      </c>
      <c r="M251">
        <v>999</v>
      </c>
      <c r="Q251" t="s">
        <v>557</v>
      </c>
    </row>
    <row r="252" spans="2:17" x14ac:dyDescent="0.2">
      <c r="B252">
        <v>901</v>
      </c>
      <c r="C252">
        <v>10</v>
      </c>
      <c r="D252">
        <v>10</v>
      </c>
      <c r="F252" t="s">
        <v>871</v>
      </c>
      <c r="G252" t="s">
        <v>872</v>
      </c>
      <c r="H252" t="s">
        <v>82</v>
      </c>
      <c r="I252" t="s">
        <v>873</v>
      </c>
      <c r="J252" t="s">
        <v>51</v>
      </c>
      <c r="M252">
        <v>999</v>
      </c>
      <c r="Q252" t="s">
        <v>557</v>
      </c>
    </row>
    <row r="253" spans="2:17" x14ac:dyDescent="0.2">
      <c r="B253">
        <v>901</v>
      </c>
      <c r="C253">
        <v>10</v>
      </c>
      <c r="D253">
        <v>10</v>
      </c>
      <c r="F253" t="s">
        <v>874</v>
      </c>
      <c r="G253" t="s">
        <v>875</v>
      </c>
      <c r="H253" t="s">
        <v>82</v>
      </c>
      <c r="I253" t="s">
        <v>876</v>
      </c>
      <c r="J253" t="s">
        <v>51</v>
      </c>
      <c r="M253">
        <v>999</v>
      </c>
      <c r="Q253" t="s">
        <v>557</v>
      </c>
    </row>
    <row r="254" spans="2:17" x14ac:dyDescent="0.2">
      <c r="B254">
        <v>902</v>
      </c>
      <c r="C254">
        <v>10</v>
      </c>
      <c r="D254">
        <v>10</v>
      </c>
      <c r="F254" t="s">
        <v>877</v>
      </c>
      <c r="G254" t="s">
        <v>878</v>
      </c>
      <c r="H254" t="s">
        <v>82</v>
      </c>
      <c r="I254" t="s">
        <v>879</v>
      </c>
      <c r="J254" t="s">
        <v>52</v>
      </c>
      <c r="M254">
        <v>999</v>
      </c>
      <c r="N254">
        <v>999</v>
      </c>
      <c r="P254">
        <v>32</v>
      </c>
      <c r="Q254" t="s">
        <v>557</v>
      </c>
    </row>
    <row r="255" spans="2:17" x14ac:dyDescent="0.2">
      <c r="B255">
        <v>902</v>
      </c>
      <c r="C255">
        <v>11</v>
      </c>
      <c r="D255">
        <v>10</v>
      </c>
      <c r="F255" t="s">
        <v>880</v>
      </c>
      <c r="G255" t="s">
        <v>881</v>
      </c>
      <c r="H255" t="s">
        <v>82</v>
      </c>
      <c r="I255" t="s">
        <v>882</v>
      </c>
      <c r="J255" t="s">
        <v>52</v>
      </c>
      <c r="K255" t="s">
        <v>883</v>
      </c>
      <c r="M255">
        <v>999</v>
      </c>
      <c r="N255">
        <v>999</v>
      </c>
      <c r="P255">
        <v>32</v>
      </c>
      <c r="Q255" t="s">
        <v>557</v>
      </c>
    </row>
    <row r="256" spans="2:17" x14ac:dyDescent="0.2">
      <c r="B256">
        <v>902</v>
      </c>
      <c r="C256">
        <v>11</v>
      </c>
      <c r="D256">
        <v>10</v>
      </c>
      <c r="F256" t="s">
        <v>884</v>
      </c>
      <c r="G256" t="s">
        <v>885</v>
      </c>
      <c r="H256" t="s">
        <v>886</v>
      </c>
      <c r="I256" t="s">
        <v>887</v>
      </c>
      <c r="J256" t="s">
        <v>52</v>
      </c>
      <c r="K256" t="s">
        <v>883</v>
      </c>
      <c r="M256">
        <v>999</v>
      </c>
      <c r="N256">
        <v>999</v>
      </c>
      <c r="P256">
        <v>32</v>
      </c>
    </row>
    <row r="257" spans="2:18" x14ac:dyDescent="0.2">
      <c r="B257">
        <v>902</v>
      </c>
      <c r="C257">
        <v>11</v>
      </c>
      <c r="D257">
        <v>10</v>
      </c>
      <c r="F257" t="s">
        <v>888</v>
      </c>
      <c r="G257" t="s">
        <v>889</v>
      </c>
      <c r="H257" t="s">
        <v>82</v>
      </c>
      <c r="I257" t="s">
        <v>890</v>
      </c>
      <c r="J257" t="s">
        <v>52</v>
      </c>
      <c r="K257" t="s">
        <v>883</v>
      </c>
      <c r="M257">
        <v>999</v>
      </c>
      <c r="N257">
        <v>999</v>
      </c>
      <c r="P257">
        <v>16</v>
      </c>
      <c r="Q257" t="s">
        <v>557</v>
      </c>
    </row>
    <row r="258" spans="2:18" x14ac:dyDescent="0.2">
      <c r="B258">
        <v>902</v>
      </c>
      <c r="C258">
        <v>11</v>
      </c>
      <c r="D258">
        <v>10</v>
      </c>
      <c r="F258" t="s">
        <v>891</v>
      </c>
      <c r="G258" t="s">
        <v>892</v>
      </c>
      <c r="H258" t="s">
        <v>82</v>
      </c>
      <c r="I258" t="s">
        <v>893</v>
      </c>
      <c r="J258" t="s">
        <v>52</v>
      </c>
      <c r="K258" t="s">
        <v>883</v>
      </c>
      <c r="M258">
        <v>999</v>
      </c>
      <c r="N258">
        <v>999</v>
      </c>
      <c r="P258">
        <v>64</v>
      </c>
      <c r="Q258" t="s">
        <v>557</v>
      </c>
    </row>
    <row r="259" spans="2:18" x14ac:dyDescent="0.2">
      <c r="B259">
        <v>902</v>
      </c>
      <c r="C259">
        <v>11</v>
      </c>
      <c r="D259">
        <v>10</v>
      </c>
      <c r="F259" t="s">
        <v>894</v>
      </c>
      <c r="G259" t="s">
        <v>895</v>
      </c>
      <c r="H259" t="s">
        <v>82</v>
      </c>
      <c r="I259" t="s">
        <v>896</v>
      </c>
      <c r="J259" t="s">
        <v>52</v>
      </c>
      <c r="K259" t="s">
        <v>883</v>
      </c>
      <c r="M259">
        <v>999</v>
      </c>
      <c r="N259">
        <v>999</v>
      </c>
      <c r="P259">
        <v>16</v>
      </c>
      <c r="Q259" t="s">
        <v>557</v>
      </c>
    </row>
    <row r="260" spans="2:18" x14ac:dyDescent="0.2">
      <c r="B260">
        <v>902</v>
      </c>
      <c r="C260">
        <v>12</v>
      </c>
      <c r="D260">
        <v>10</v>
      </c>
      <c r="F260" t="s">
        <v>897</v>
      </c>
      <c r="G260" t="s">
        <v>898</v>
      </c>
      <c r="H260" t="s">
        <v>899</v>
      </c>
      <c r="I260" t="s">
        <v>900</v>
      </c>
      <c r="J260" t="s">
        <v>52</v>
      </c>
      <c r="K260" t="s">
        <v>901</v>
      </c>
      <c r="M260">
        <v>999</v>
      </c>
      <c r="N260">
        <v>999</v>
      </c>
      <c r="P260">
        <v>64</v>
      </c>
    </row>
    <row r="261" spans="2:18" x14ac:dyDescent="0.2">
      <c r="B261">
        <v>902</v>
      </c>
      <c r="C261">
        <v>13</v>
      </c>
      <c r="D261">
        <v>10</v>
      </c>
      <c r="F261" t="s">
        <v>902</v>
      </c>
      <c r="G261" t="s">
        <v>903</v>
      </c>
      <c r="H261" t="s">
        <v>82</v>
      </c>
      <c r="I261" t="s">
        <v>904</v>
      </c>
      <c r="J261" t="s">
        <v>52</v>
      </c>
      <c r="K261" t="s">
        <v>905</v>
      </c>
      <c r="M261">
        <v>999</v>
      </c>
      <c r="N261">
        <v>999</v>
      </c>
      <c r="P261">
        <v>32</v>
      </c>
      <c r="Q261" t="s">
        <v>557</v>
      </c>
    </row>
    <row r="262" spans="2:18" x14ac:dyDescent="0.2">
      <c r="B262">
        <v>902</v>
      </c>
      <c r="C262">
        <v>14</v>
      </c>
      <c r="D262">
        <v>10</v>
      </c>
      <c r="F262" t="s">
        <v>906</v>
      </c>
      <c r="G262" t="s">
        <v>907</v>
      </c>
      <c r="H262" t="s">
        <v>82</v>
      </c>
      <c r="J262" t="s">
        <v>52</v>
      </c>
      <c r="K262" t="s">
        <v>908</v>
      </c>
      <c r="M262">
        <v>999</v>
      </c>
      <c r="Q262" t="s">
        <v>557</v>
      </c>
    </row>
    <row r="263" spans="2:18" x14ac:dyDescent="0.2">
      <c r="B263">
        <v>903</v>
      </c>
      <c r="C263">
        <v>10</v>
      </c>
      <c r="D263">
        <v>10</v>
      </c>
      <c r="F263" t="s">
        <v>909</v>
      </c>
      <c r="G263" t="s">
        <v>910</v>
      </c>
      <c r="H263" t="s">
        <v>82</v>
      </c>
      <c r="I263" t="s">
        <v>911</v>
      </c>
      <c r="J263" t="s">
        <v>53</v>
      </c>
      <c r="M263">
        <v>999</v>
      </c>
      <c r="N263">
        <v>999</v>
      </c>
      <c r="P263">
        <v>32</v>
      </c>
      <c r="Q263" t="s">
        <v>557</v>
      </c>
      <c r="R263" t="s">
        <v>558</v>
      </c>
    </row>
    <row r="264" spans="2:18" x14ac:dyDescent="0.2">
      <c r="B264">
        <v>903</v>
      </c>
      <c r="C264">
        <v>10</v>
      </c>
      <c r="D264">
        <v>10</v>
      </c>
      <c r="F264" t="s">
        <v>912</v>
      </c>
      <c r="G264" t="s">
        <v>913</v>
      </c>
      <c r="H264" t="s">
        <v>82</v>
      </c>
      <c r="I264" t="s">
        <v>914</v>
      </c>
      <c r="J264" t="s">
        <v>53</v>
      </c>
      <c r="M264">
        <v>999</v>
      </c>
      <c r="N264">
        <v>999</v>
      </c>
      <c r="P264">
        <v>32</v>
      </c>
      <c r="Q264" t="s">
        <v>557</v>
      </c>
      <c r="R264" t="s">
        <v>558</v>
      </c>
    </row>
    <row r="265" spans="2:18" x14ac:dyDescent="0.2">
      <c r="B265">
        <v>903</v>
      </c>
      <c r="C265">
        <v>10</v>
      </c>
      <c r="D265">
        <v>10</v>
      </c>
      <c r="F265" t="s">
        <v>915</v>
      </c>
      <c r="G265" t="s">
        <v>916</v>
      </c>
      <c r="H265" t="s">
        <v>82</v>
      </c>
      <c r="I265" t="s">
        <v>917</v>
      </c>
      <c r="J265" t="s">
        <v>53</v>
      </c>
      <c r="M265">
        <v>999</v>
      </c>
      <c r="N265">
        <v>999</v>
      </c>
      <c r="P265">
        <v>128</v>
      </c>
      <c r="Q265" t="s">
        <v>557</v>
      </c>
      <c r="R265" t="s">
        <v>558</v>
      </c>
    </row>
    <row r="266" spans="2:18" x14ac:dyDescent="0.2">
      <c r="B266">
        <v>903</v>
      </c>
      <c r="C266">
        <v>10</v>
      </c>
      <c r="D266">
        <v>10</v>
      </c>
      <c r="F266" t="s">
        <v>918</v>
      </c>
      <c r="G266" t="s">
        <v>919</v>
      </c>
      <c r="H266" t="s">
        <v>82</v>
      </c>
      <c r="I266" t="s">
        <v>920</v>
      </c>
      <c r="J266" t="s">
        <v>53</v>
      </c>
      <c r="M266">
        <v>999</v>
      </c>
      <c r="N266">
        <v>999</v>
      </c>
      <c r="P266">
        <v>16</v>
      </c>
      <c r="Q266" t="s">
        <v>557</v>
      </c>
      <c r="R266" t="s">
        <v>558</v>
      </c>
    </row>
    <row r="267" spans="2:18" x14ac:dyDescent="0.2">
      <c r="B267">
        <v>903</v>
      </c>
      <c r="C267">
        <v>10</v>
      </c>
      <c r="D267">
        <v>10</v>
      </c>
      <c r="F267" t="s">
        <v>921</v>
      </c>
      <c r="G267" t="s">
        <v>922</v>
      </c>
      <c r="H267" t="s">
        <v>82</v>
      </c>
      <c r="I267" t="s">
        <v>923</v>
      </c>
      <c r="J267" t="s">
        <v>53</v>
      </c>
      <c r="M267">
        <v>999</v>
      </c>
      <c r="N267">
        <v>999</v>
      </c>
      <c r="P267">
        <v>16</v>
      </c>
    </row>
    <row r="268" spans="2:18" x14ac:dyDescent="0.2">
      <c r="B268">
        <v>903</v>
      </c>
      <c r="C268">
        <v>10</v>
      </c>
      <c r="D268">
        <v>10</v>
      </c>
      <c r="F268" t="s">
        <v>924</v>
      </c>
      <c r="G268" t="s">
        <v>925</v>
      </c>
      <c r="H268" t="s">
        <v>82</v>
      </c>
      <c r="I268" t="s">
        <v>926</v>
      </c>
      <c r="J268" t="s">
        <v>53</v>
      </c>
      <c r="M268">
        <v>999</v>
      </c>
      <c r="N268">
        <v>999</v>
      </c>
      <c r="P268">
        <v>32</v>
      </c>
    </row>
    <row r="269" spans="2:18" x14ac:dyDescent="0.2">
      <c r="B269">
        <v>801</v>
      </c>
      <c r="C269">
        <v>10</v>
      </c>
      <c r="D269">
        <v>10</v>
      </c>
      <c r="F269" t="s">
        <v>927</v>
      </c>
      <c r="G269" t="s">
        <v>928</v>
      </c>
      <c r="H269" t="s">
        <v>82</v>
      </c>
      <c r="I269" t="s">
        <v>929</v>
      </c>
      <c r="J269" t="s">
        <v>47</v>
      </c>
      <c r="M269">
        <v>999</v>
      </c>
      <c r="N269">
        <v>999</v>
      </c>
      <c r="P269">
        <v>32</v>
      </c>
    </row>
    <row r="270" spans="2:18" x14ac:dyDescent="0.2">
      <c r="B270">
        <v>801</v>
      </c>
      <c r="C270">
        <v>10</v>
      </c>
      <c r="D270">
        <v>10</v>
      </c>
      <c r="F270" t="s">
        <v>930</v>
      </c>
      <c r="G270" t="s">
        <v>931</v>
      </c>
      <c r="H270" t="s">
        <v>82</v>
      </c>
      <c r="I270" t="s">
        <v>932</v>
      </c>
      <c r="J270" t="s">
        <v>47</v>
      </c>
      <c r="M270">
        <v>999</v>
      </c>
      <c r="N270">
        <v>999</v>
      </c>
      <c r="P270">
        <v>64</v>
      </c>
    </row>
    <row r="271" spans="2:18" x14ac:dyDescent="0.2">
      <c r="B271">
        <v>801</v>
      </c>
      <c r="C271">
        <v>10</v>
      </c>
      <c r="D271">
        <v>10</v>
      </c>
      <c r="F271" t="s">
        <v>924</v>
      </c>
      <c r="G271" t="s">
        <v>925</v>
      </c>
      <c r="H271" t="s">
        <v>82</v>
      </c>
      <c r="I271" t="s">
        <v>926</v>
      </c>
      <c r="J271" t="s">
        <v>47</v>
      </c>
      <c r="M271">
        <v>999</v>
      </c>
      <c r="N271">
        <v>999</v>
      </c>
      <c r="P271">
        <v>32</v>
      </c>
    </row>
    <row r="272" spans="2:18" x14ac:dyDescent="0.2">
      <c r="B272">
        <v>801</v>
      </c>
      <c r="C272">
        <v>10</v>
      </c>
      <c r="D272">
        <v>10</v>
      </c>
      <c r="F272" t="s">
        <v>596</v>
      </c>
      <c r="G272" t="s">
        <v>597</v>
      </c>
      <c r="H272" t="s">
        <v>82</v>
      </c>
      <c r="I272" t="s">
        <v>598</v>
      </c>
      <c r="J272" t="s">
        <v>47</v>
      </c>
      <c r="M272">
        <v>999</v>
      </c>
      <c r="N272">
        <v>999</v>
      </c>
      <c r="P272">
        <v>32</v>
      </c>
    </row>
    <row r="273" spans="2:16" x14ac:dyDescent="0.2">
      <c r="B273">
        <v>801</v>
      </c>
      <c r="C273">
        <v>10</v>
      </c>
      <c r="D273">
        <v>10</v>
      </c>
      <c r="F273" t="s">
        <v>933</v>
      </c>
      <c r="G273" t="s">
        <v>934</v>
      </c>
      <c r="H273" t="s">
        <v>82</v>
      </c>
      <c r="I273" t="s">
        <v>935</v>
      </c>
      <c r="J273" t="s">
        <v>47</v>
      </c>
      <c r="M273">
        <v>999</v>
      </c>
      <c r="N273">
        <v>999</v>
      </c>
      <c r="P273">
        <v>32</v>
      </c>
    </row>
    <row r="274" spans="2:16" x14ac:dyDescent="0.2">
      <c r="B274">
        <v>801</v>
      </c>
      <c r="C274">
        <v>10</v>
      </c>
      <c r="D274">
        <v>10</v>
      </c>
      <c r="F274" t="s">
        <v>857</v>
      </c>
      <c r="G274" t="s">
        <v>858</v>
      </c>
      <c r="H274" t="s">
        <v>82</v>
      </c>
      <c r="I274" t="s">
        <v>859</v>
      </c>
      <c r="J274" t="s">
        <v>47</v>
      </c>
      <c r="M274">
        <v>999</v>
      </c>
      <c r="N274">
        <v>999</v>
      </c>
      <c r="P274">
        <v>256</v>
      </c>
    </row>
    <row r="275" spans="2:16" x14ac:dyDescent="0.2">
      <c r="B275">
        <v>802</v>
      </c>
      <c r="C275">
        <v>10</v>
      </c>
      <c r="D275">
        <v>10</v>
      </c>
      <c r="F275" t="s">
        <v>936</v>
      </c>
      <c r="G275" t="s">
        <v>937</v>
      </c>
      <c r="H275" t="s">
        <v>82</v>
      </c>
      <c r="I275" t="s">
        <v>938</v>
      </c>
      <c r="J275" t="s">
        <v>48</v>
      </c>
      <c r="M275">
        <v>999</v>
      </c>
      <c r="N275">
        <v>999</v>
      </c>
      <c r="P275">
        <v>32</v>
      </c>
    </row>
    <row r="276" spans="2:16" x14ac:dyDescent="0.2">
      <c r="B276">
        <v>802</v>
      </c>
      <c r="C276">
        <v>10</v>
      </c>
      <c r="D276">
        <v>10</v>
      </c>
      <c r="F276" t="s">
        <v>939</v>
      </c>
      <c r="G276" t="s">
        <v>940</v>
      </c>
      <c r="H276" t="s">
        <v>82</v>
      </c>
      <c r="I276" t="s">
        <v>941</v>
      </c>
      <c r="J276" t="s">
        <v>48</v>
      </c>
      <c r="M276">
        <v>999</v>
      </c>
      <c r="N276">
        <v>999</v>
      </c>
      <c r="P276">
        <v>64</v>
      </c>
    </row>
    <row r="277" spans="2:16" x14ac:dyDescent="0.2">
      <c r="B277">
        <v>802</v>
      </c>
      <c r="C277">
        <v>10</v>
      </c>
      <c r="D277">
        <v>10</v>
      </c>
      <c r="F277" t="s">
        <v>593</v>
      </c>
      <c r="G277" t="s">
        <v>594</v>
      </c>
      <c r="H277" t="s">
        <v>82</v>
      </c>
      <c r="I277" t="s">
        <v>595</v>
      </c>
      <c r="J277" t="s">
        <v>48</v>
      </c>
      <c r="M277">
        <v>999</v>
      </c>
      <c r="N277">
        <v>999</v>
      </c>
      <c r="P277">
        <v>64</v>
      </c>
    </row>
    <row r="278" spans="2:16" x14ac:dyDescent="0.2">
      <c r="B278">
        <v>802</v>
      </c>
      <c r="C278">
        <v>10</v>
      </c>
      <c r="D278">
        <v>10</v>
      </c>
      <c r="F278" t="s">
        <v>942</v>
      </c>
      <c r="G278" t="s">
        <v>943</v>
      </c>
      <c r="H278" t="s">
        <v>82</v>
      </c>
      <c r="I278" t="s">
        <v>595</v>
      </c>
      <c r="J278" t="s">
        <v>48</v>
      </c>
      <c r="M278">
        <v>999</v>
      </c>
      <c r="N278">
        <v>999</v>
      </c>
      <c r="P278">
        <v>64</v>
      </c>
    </row>
    <row r="279" spans="2:16" x14ac:dyDescent="0.2">
      <c r="B279">
        <v>802</v>
      </c>
      <c r="C279">
        <v>10</v>
      </c>
      <c r="D279">
        <v>10</v>
      </c>
      <c r="F279" t="s">
        <v>944</v>
      </c>
      <c r="G279" t="s">
        <v>945</v>
      </c>
      <c r="H279" t="s">
        <v>82</v>
      </c>
      <c r="I279" t="s">
        <v>946</v>
      </c>
      <c r="J279" t="s">
        <v>48</v>
      </c>
      <c r="M279">
        <v>999</v>
      </c>
      <c r="N279">
        <v>999</v>
      </c>
      <c r="P279">
        <v>32</v>
      </c>
    </row>
    <row r="280" spans="2:16" x14ac:dyDescent="0.2">
      <c r="B280">
        <v>802</v>
      </c>
      <c r="C280">
        <v>10</v>
      </c>
      <c r="D280">
        <v>10</v>
      </c>
      <c r="F280" t="s">
        <v>939</v>
      </c>
      <c r="G280" t="s">
        <v>940</v>
      </c>
      <c r="H280" t="s">
        <v>82</v>
      </c>
      <c r="I280" t="s">
        <v>941</v>
      </c>
      <c r="J280" t="s">
        <v>48</v>
      </c>
      <c r="M280">
        <v>999</v>
      </c>
      <c r="N280">
        <v>999</v>
      </c>
      <c r="P280">
        <v>64</v>
      </c>
    </row>
    <row r="281" spans="2:16" x14ac:dyDescent="0.2">
      <c r="B281">
        <v>802</v>
      </c>
      <c r="C281">
        <v>10</v>
      </c>
      <c r="D281">
        <v>10</v>
      </c>
      <c r="F281" t="s">
        <v>947</v>
      </c>
      <c r="G281" t="s">
        <v>948</v>
      </c>
      <c r="I281" t="s">
        <v>949</v>
      </c>
      <c r="J281" t="s">
        <v>48</v>
      </c>
      <c r="M281">
        <v>999</v>
      </c>
      <c r="N281">
        <v>999</v>
      </c>
      <c r="P281">
        <v>64</v>
      </c>
    </row>
    <row r="282" spans="2:16" x14ac:dyDescent="0.2">
      <c r="B282">
        <v>802</v>
      </c>
      <c r="C282">
        <v>10</v>
      </c>
      <c r="D282">
        <v>10</v>
      </c>
      <c r="F282" t="s">
        <v>950</v>
      </c>
      <c r="G282" t="s">
        <v>951</v>
      </c>
      <c r="I282" t="s">
        <v>952</v>
      </c>
      <c r="J282" t="s">
        <v>48</v>
      </c>
      <c r="M282">
        <v>999</v>
      </c>
      <c r="N282">
        <v>999</v>
      </c>
      <c r="P282">
        <v>64</v>
      </c>
    </row>
    <row r="283" spans="2:16" x14ac:dyDescent="0.2">
      <c r="B283">
        <v>251</v>
      </c>
      <c r="C283">
        <v>10</v>
      </c>
      <c r="D283">
        <v>10</v>
      </c>
      <c r="F283" t="s">
        <v>953</v>
      </c>
      <c r="G283" t="s">
        <v>954</v>
      </c>
      <c r="H283" t="s">
        <v>82</v>
      </c>
      <c r="I283" t="s">
        <v>955</v>
      </c>
      <c r="J283" t="s">
        <v>36</v>
      </c>
      <c r="M283">
        <v>999</v>
      </c>
      <c r="N283">
        <v>999</v>
      </c>
      <c r="P283">
        <v>48</v>
      </c>
    </row>
    <row r="284" spans="2:16" x14ac:dyDescent="0.2">
      <c r="B284">
        <v>251</v>
      </c>
      <c r="C284">
        <v>10</v>
      </c>
      <c r="D284">
        <v>10</v>
      </c>
      <c r="F284" t="s">
        <v>956</v>
      </c>
      <c r="G284" t="s">
        <v>957</v>
      </c>
      <c r="H284" t="s">
        <v>82</v>
      </c>
      <c r="I284" t="s">
        <v>958</v>
      </c>
      <c r="J284" t="s">
        <v>36</v>
      </c>
      <c r="M284">
        <v>999</v>
      </c>
      <c r="N284">
        <v>999</v>
      </c>
      <c r="P284">
        <v>16</v>
      </c>
    </row>
    <row r="285" spans="2:16" x14ac:dyDescent="0.2">
      <c r="B285">
        <v>251</v>
      </c>
      <c r="C285">
        <v>10</v>
      </c>
      <c r="D285">
        <v>10</v>
      </c>
      <c r="F285" t="s">
        <v>959</v>
      </c>
      <c r="G285" t="s">
        <v>960</v>
      </c>
      <c r="H285" t="s">
        <v>82</v>
      </c>
      <c r="I285" t="s">
        <v>961</v>
      </c>
      <c r="J285" t="s">
        <v>36</v>
      </c>
      <c r="M285">
        <v>999</v>
      </c>
      <c r="N285">
        <v>999</v>
      </c>
      <c r="P285">
        <v>32</v>
      </c>
    </row>
    <row r="286" spans="2:16" x14ac:dyDescent="0.2">
      <c r="B286">
        <v>251</v>
      </c>
      <c r="C286">
        <v>10</v>
      </c>
      <c r="D286">
        <v>10</v>
      </c>
      <c r="F286" t="s">
        <v>962</v>
      </c>
      <c r="G286" t="s">
        <v>963</v>
      </c>
      <c r="H286" t="s">
        <v>82</v>
      </c>
      <c r="I286" t="s">
        <v>964</v>
      </c>
      <c r="J286" t="s">
        <v>36</v>
      </c>
      <c r="M286">
        <v>999</v>
      </c>
      <c r="N286">
        <v>999</v>
      </c>
      <c r="P286">
        <v>16</v>
      </c>
    </row>
    <row r="287" spans="2:16" x14ac:dyDescent="0.2">
      <c r="B287">
        <v>251</v>
      </c>
      <c r="C287">
        <v>10</v>
      </c>
      <c r="D287">
        <v>10</v>
      </c>
      <c r="F287" t="s">
        <v>965</v>
      </c>
      <c r="G287" t="s">
        <v>966</v>
      </c>
      <c r="H287" t="s">
        <v>82</v>
      </c>
      <c r="J287" t="s">
        <v>36</v>
      </c>
      <c r="M287">
        <v>999</v>
      </c>
    </row>
    <row r="288" spans="2:16" x14ac:dyDescent="0.2">
      <c r="B288">
        <v>251</v>
      </c>
      <c r="C288">
        <v>10</v>
      </c>
      <c r="D288">
        <v>10</v>
      </c>
      <c r="F288" t="s">
        <v>967</v>
      </c>
      <c r="G288" t="s">
        <v>968</v>
      </c>
      <c r="H288" t="s">
        <v>82</v>
      </c>
      <c r="J288" t="s">
        <v>36</v>
      </c>
      <c r="M288">
        <v>999</v>
      </c>
    </row>
    <row r="289" spans="2:16" x14ac:dyDescent="0.2">
      <c r="B289">
        <v>251</v>
      </c>
      <c r="C289">
        <v>10</v>
      </c>
      <c r="D289">
        <v>10</v>
      </c>
      <c r="F289" t="s">
        <v>969</v>
      </c>
      <c r="G289" t="s">
        <v>970</v>
      </c>
      <c r="H289" t="s">
        <v>82</v>
      </c>
      <c r="J289" t="s">
        <v>36</v>
      </c>
      <c r="M289">
        <v>999</v>
      </c>
    </row>
    <row r="290" spans="2:16" x14ac:dyDescent="0.2">
      <c r="B290">
        <v>251</v>
      </c>
      <c r="C290">
        <v>10</v>
      </c>
      <c r="D290">
        <v>10</v>
      </c>
      <c r="F290" t="s">
        <v>971</v>
      </c>
      <c r="G290" t="s">
        <v>972</v>
      </c>
      <c r="H290" t="s">
        <v>82</v>
      </c>
      <c r="I290" t="s">
        <v>973</v>
      </c>
      <c r="J290" t="s">
        <v>36</v>
      </c>
      <c r="M290">
        <v>999</v>
      </c>
      <c r="N290">
        <v>999</v>
      </c>
      <c r="P290">
        <v>32</v>
      </c>
    </row>
    <row r="291" spans="2:16" x14ac:dyDescent="0.2">
      <c r="B291">
        <v>251</v>
      </c>
      <c r="C291">
        <v>10</v>
      </c>
      <c r="D291">
        <v>10</v>
      </c>
      <c r="F291" t="s">
        <v>974</v>
      </c>
      <c r="G291" t="s">
        <v>975</v>
      </c>
      <c r="H291" t="s">
        <v>82</v>
      </c>
      <c r="I291" t="s">
        <v>976</v>
      </c>
      <c r="J291" t="s">
        <v>36</v>
      </c>
      <c r="M291">
        <v>999</v>
      </c>
      <c r="N291">
        <v>999</v>
      </c>
      <c r="P291">
        <v>32</v>
      </c>
    </row>
    <row r="292" spans="2:16" x14ac:dyDescent="0.2">
      <c r="B292">
        <v>251</v>
      </c>
      <c r="C292">
        <v>10</v>
      </c>
      <c r="D292">
        <v>10</v>
      </c>
      <c r="F292" t="s">
        <v>977</v>
      </c>
      <c r="G292" t="s">
        <v>978</v>
      </c>
      <c r="H292" t="s">
        <v>82</v>
      </c>
      <c r="I292" t="s">
        <v>979</v>
      </c>
      <c r="J292" t="s">
        <v>36</v>
      </c>
      <c r="M292">
        <v>999</v>
      </c>
      <c r="N292">
        <v>999</v>
      </c>
      <c r="P292">
        <v>32</v>
      </c>
    </row>
    <row r="293" spans="2:16" x14ac:dyDescent="0.2">
      <c r="B293">
        <v>251</v>
      </c>
      <c r="C293">
        <v>11</v>
      </c>
      <c r="D293">
        <v>10</v>
      </c>
      <c r="F293" t="s">
        <v>980</v>
      </c>
      <c r="G293" t="s">
        <v>981</v>
      </c>
      <c r="J293" t="s">
        <v>36</v>
      </c>
      <c r="K293" t="s">
        <v>982</v>
      </c>
    </row>
    <row r="294" spans="2:16" x14ac:dyDescent="0.2">
      <c r="B294">
        <v>904</v>
      </c>
      <c r="C294">
        <v>10</v>
      </c>
      <c r="D294">
        <v>10</v>
      </c>
      <c r="F294" t="s">
        <v>983</v>
      </c>
      <c r="G294" t="s">
        <v>984</v>
      </c>
      <c r="H294" t="s">
        <v>82</v>
      </c>
      <c r="I294" t="s">
        <v>985</v>
      </c>
      <c r="J294" t="s">
        <v>54</v>
      </c>
      <c r="M294">
        <v>999</v>
      </c>
      <c r="N294">
        <v>999</v>
      </c>
      <c r="P294">
        <v>16</v>
      </c>
    </row>
    <row r="295" spans="2:16" x14ac:dyDescent="0.2">
      <c r="B295">
        <v>904</v>
      </c>
      <c r="C295">
        <v>10</v>
      </c>
      <c r="D295">
        <v>10</v>
      </c>
      <c r="F295" t="s">
        <v>986</v>
      </c>
      <c r="G295" t="s">
        <v>987</v>
      </c>
      <c r="H295" t="s">
        <v>82</v>
      </c>
      <c r="I295" t="s">
        <v>988</v>
      </c>
      <c r="J295" t="s">
        <v>54</v>
      </c>
      <c r="M295">
        <v>999</v>
      </c>
      <c r="N295">
        <v>999</v>
      </c>
      <c r="P295">
        <v>64</v>
      </c>
    </row>
    <row r="296" spans="2:16" x14ac:dyDescent="0.2">
      <c r="B296">
        <v>905</v>
      </c>
      <c r="C296">
        <v>10</v>
      </c>
      <c r="D296">
        <v>10</v>
      </c>
      <c r="F296" t="s">
        <v>989</v>
      </c>
      <c r="G296" t="s">
        <v>990</v>
      </c>
      <c r="H296" t="s">
        <v>82</v>
      </c>
      <c r="I296" t="s">
        <v>991</v>
      </c>
      <c r="J296" t="s">
        <v>55</v>
      </c>
      <c r="M296">
        <v>999</v>
      </c>
      <c r="N296">
        <v>999</v>
      </c>
      <c r="P296">
        <v>32</v>
      </c>
    </row>
    <row r="297" spans="2:16" x14ac:dyDescent="0.2">
      <c r="B297">
        <v>905</v>
      </c>
      <c r="C297">
        <v>10</v>
      </c>
      <c r="D297">
        <v>10</v>
      </c>
      <c r="F297" t="s">
        <v>992</v>
      </c>
      <c r="G297" t="s">
        <v>993</v>
      </c>
      <c r="H297" t="s">
        <v>82</v>
      </c>
      <c r="I297" t="s">
        <v>994</v>
      </c>
      <c r="J297" t="s">
        <v>55</v>
      </c>
      <c r="M297">
        <v>999</v>
      </c>
      <c r="N297">
        <v>999</v>
      </c>
      <c r="P297">
        <v>32</v>
      </c>
    </row>
    <row r="298" spans="2:16" x14ac:dyDescent="0.2">
      <c r="B298">
        <v>905</v>
      </c>
      <c r="C298">
        <v>10</v>
      </c>
      <c r="D298">
        <v>10</v>
      </c>
      <c r="F298" t="s">
        <v>995</v>
      </c>
      <c r="G298" t="s">
        <v>996</v>
      </c>
      <c r="H298" t="s">
        <v>82</v>
      </c>
      <c r="I298" t="s">
        <v>997</v>
      </c>
      <c r="J298" t="s">
        <v>55</v>
      </c>
      <c r="M298">
        <v>999</v>
      </c>
      <c r="N298">
        <v>999</v>
      </c>
      <c r="P298">
        <v>32</v>
      </c>
    </row>
    <row r="299" spans="2:16" x14ac:dyDescent="0.2">
      <c r="B299">
        <v>905</v>
      </c>
      <c r="C299">
        <v>10</v>
      </c>
      <c r="D299">
        <v>10</v>
      </c>
      <c r="F299" t="s">
        <v>998</v>
      </c>
      <c r="G299" t="s">
        <v>999</v>
      </c>
      <c r="H299" t="s">
        <v>82</v>
      </c>
      <c r="I299" t="s">
        <v>1000</v>
      </c>
      <c r="J299" t="s">
        <v>55</v>
      </c>
      <c r="M299">
        <v>999</v>
      </c>
      <c r="N299">
        <v>999</v>
      </c>
      <c r="P299">
        <v>32</v>
      </c>
    </row>
    <row r="300" spans="2:16" x14ac:dyDescent="0.2">
      <c r="B300">
        <v>905</v>
      </c>
      <c r="C300">
        <v>10</v>
      </c>
      <c r="D300">
        <v>10</v>
      </c>
      <c r="F300" t="s">
        <v>1001</v>
      </c>
      <c r="G300" t="s">
        <v>1002</v>
      </c>
      <c r="H300" t="s">
        <v>82</v>
      </c>
      <c r="I300" t="s">
        <v>1003</v>
      </c>
      <c r="J300" t="s">
        <v>55</v>
      </c>
      <c r="M300">
        <v>999</v>
      </c>
      <c r="P300">
        <v>32</v>
      </c>
    </row>
    <row r="301" spans="2:16" x14ac:dyDescent="0.2">
      <c r="B301">
        <v>905</v>
      </c>
      <c r="C301">
        <v>10</v>
      </c>
      <c r="D301">
        <v>10</v>
      </c>
      <c r="F301" t="s">
        <v>1004</v>
      </c>
      <c r="G301" t="s">
        <v>1005</v>
      </c>
      <c r="H301" t="s">
        <v>82</v>
      </c>
      <c r="I301" t="s">
        <v>1006</v>
      </c>
      <c r="J301" t="s">
        <v>55</v>
      </c>
      <c r="M301">
        <v>999</v>
      </c>
      <c r="N301">
        <v>999</v>
      </c>
      <c r="P301">
        <v>32</v>
      </c>
    </row>
    <row r="302" spans="2:16" x14ac:dyDescent="0.2">
      <c r="B302">
        <v>905</v>
      </c>
      <c r="C302">
        <v>10</v>
      </c>
      <c r="D302">
        <v>10</v>
      </c>
      <c r="F302" t="s">
        <v>1007</v>
      </c>
      <c r="G302" t="s">
        <v>1008</v>
      </c>
      <c r="H302" t="s">
        <v>1009</v>
      </c>
      <c r="I302" t="s">
        <v>1010</v>
      </c>
      <c r="J302" t="s">
        <v>55</v>
      </c>
      <c r="M302">
        <v>999</v>
      </c>
      <c r="N302">
        <v>999</v>
      </c>
      <c r="P302">
        <v>32</v>
      </c>
    </row>
    <row r="303" spans="2:16" x14ac:dyDescent="0.2">
      <c r="B303">
        <v>905</v>
      </c>
      <c r="C303">
        <v>10</v>
      </c>
      <c r="D303">
        <v>10</v>
      </c>
      <c r="F303" t="s">
        <v>1011</v>
      </c>
      <c r="G303" t="s">
        <v>1012</v>
      </c>
      <c r="I303" t="s">
        <v>1013</v>
      </c>
      <c r="J303" t="s">
        <v>55</v>
      </c>
      <c r="M303">
        <v>999</v>
      </c>
      <c r="N303">
        <v>999</v>
      </c>
      <c r="P303">
        <v>32</v>
      </c>
    </row>
    <row r="304" spans="2:16" x14ac:dyDescent="0.2">
      <c r="B304">
        <v>906</v>
      </c>
      <c r="C304">
        <v>10</v>
      </c>
      <c r="D304">
        <v>10</v>
      </c>
      <c r="F304" t="s">
        <v>1014</v>
      </c>
      <c r="G304" t="s">
        <v>1015</v>
      </c>
      <c r="H304" t="s">
        <v>82</v>
      </c>
      <c r="I304" t="s">
        <v>1016</v>
      </c>
      <c r="J304" t="s">
        <v>56</v>
      </c>
      <c r="M304">
        <v>999</v>
      </c>
      <c r="P304">
        <v>16</v>
      </c>
    </row>
    <row r="305" spans="2:16" x14ac:dyDescent="0.2">
      <c r="B305">
        <v>907</v>
      </c>
      <c r="C305">
        <v>10</v>
      </c>
      <c r="D305">
        <v>10</v>
      </c>
      <c r="F305" t="s">
        <v>1017</v>
      </c>
      <c r="G305" t="s">
        <v>1018</v>
      </c>
      <c r="I305" t="s">
        <v>1019</v>
      </c>
      <c r="J305" t="s">
        <v>57</v>
      </c>
      <c r="M305">
        <v>999</v>
      </c>
      <c r="N305">
        <v>999</v>
      </c>
      <c r="P305">
        <v>16</v>
      </c>
    </row>
    <row r="306" spans="2:16" x14ac:dyDescent="0.2">
      <c r="B306">
        <v>907</v>
      </c>
      <c r="C306">
        <v>10</v>
      </c>
      <c r="D306">
        <v>10</v>
      </c>
      <c r="F306" t="s">
        <v>1020</v>
      </c>
      <c r="G306" t="s">
        <v>1021</v>
      </c>
      <c r="I306" t="s">
        <v>1022</v>
      </c>
      <c r="J306" t="s">
        <v>57</v>
      </c>
      <c r="M306">
        <v>999</v>
      </c>
      <c r="N306">
        <v>999</v>
      </c>
      <c r="P306">
        <v>16</v>
      </c>
    </row>
    <row r="307" spans="2:16" x14ac:dyDescent="0.2">
      <c r="B307">
        <v>907</v>
      </c>
      <c r="C307">
        <v>10</v>
      </c>
      <c r="D307">
        <v>10</v>
      </c>
      <c r="F307" t="s">
        <v>1023</v>
      </c>
      <c r="G307" t="s">
        <v>1024</v>
      </c>
      <c r="I307" t="s">
        <v>1025</v>
      </c>
      <c r="J307" t="s">
        <v>57</v>
      </c>
      <c r="M307">
        <v>999</v>
      </c>
      <c r="N307">
        <v>999</v>
      </c>
      <c r="P307">
        <v>32</v>
      </c>
    </row>
    <row r="308" spans="2:16" x14ac:dyDescent="0.2">
      <c r="B308">
        <v>907</v>
      </c>
      <c r="C308">
        <v>10</v>
      </c>
      <c r="D308">
        <v>10</v>
      </c>
      <c r="F308" t="s">
        <v>1026</v>
      </c>
      <c r="G308" t="s">
        <v>1027</v>
      </c>
      <c r="I308" t="s">
        <v>1028</v>
      </c>
      <c r="J308" t="s">
        <v>57</v>
      </c>
      <c r="M308">
        <v>999</v>
      </c>
      <c r="N308">
        <v>999</v>
      </c>
      <c r="P308">
        <v>16</v>
      </c>
    </row>
    <row r="309" spans="2:16" x14ac:dyDescent="0.2">
      <c r="B309">
        <v>907</v>
      </c>
      <c r="C309">
        <v>10</v>
      </c>
      <c r="D309">
        <v>10</v>
      </c>
      <c r="F309" t="s">
        <v>1029</v>
      </c>
      <c r="G309" t="s">
        <v>1030</v>
      </c>
      <c r="I309" t="s">
        <v>1031</v>
      </c>
      <c r="J309" t="s">
        <v>57</v>
      </c>
      <c r="M309">
        <v>999</v>
      </c>
      <c r="N309">
        <v>999</v>
      </c>
      <c r="P309">
        <v>60</v>
      </c>
    </row>
    <row r="310" spans="2:16" x14ac:dyDescent="0.2">
      <c r="B310">
        <v>907</v>
      </c>
      <c r="C310">
        <v>10</v>
      </c>
      <c r="D310">
        <v>10</v>
      </c>
      <c r="F310" t="s">
        <v>998</v>
      </c>
      <c r="G310" t="s">
        <v>1032</v>
      </c>
      <c r="I310" t="s">
        <v>1033</v>
      </c>
      <c r="J310" t="s">
        <v>57</v>
      </c>
      <c r="M310">
        <v>999</v>
      </c>
      <c r="N310">
        <v>999</v>
      </c>
      <c r="P310">
        <v>64</v>
      </c>
    </row>
    <row r="311" spans="2:16" x14ac:dyDescent="0.2">
      <c r="B311">
        <v>907</v>
      </c>
      <c r="C311">
        <v>10</v>
      </c>
      <c r="D311">
        <v>10</v>
      </c>
      <c r="F311" t="s">
        <v>1034</v>
      </c>
      <c r="G311" t="s">
        <v>1035</v>
      </c>
      <c r="I311" t="s">
        <v>1036</v>
      </c>
      <c r="J311" t="s">
        <v>57</v>
      </c>
      <c r="M311">
        <v>999</v>
      </c>
      <c r="N311">
        <v>999</v>
      </c>
      <c r="P311">
        <v>16</v>
      </c>
    </row>
    <row r="312" spans="2:16" x14ac:dyDescent="0.2">
      <c r="B312">
        <v>907</v>
      </c>
      <c r="C312">
        <v>10</v>
      </c>
      <c r="D312">
        <v>10</v>
      </c>
      <c r="F312" t="s">
        <v>1037</v>
      </c>
      <c r="G312" t="s">
        <v>1038</v>
      </c>
      <c r="I312" t="s">
        <v>1039</v>
      </c>
      <c r="J312" t="s">
        <v>57</v>
      </c>
      <c r="M312">
        <v>999</v>
      </c>
      <c r="N312">
        <v>999</v>
      </c>
      <c r="P312">
        <v>48</v>
      </c>
    </row>
    <row r="313" spans="2:16" x14ac:dyDescent="0.2">
      <c r="B313">
        <v>907</v>
      </c>
      <c r="C313">
        <v>10</v>
      </c>
      <c r="D313">
        <v>10</v>
      </c>
      <c r="F313" t="s">
        <v>1040</v>
      </c>
      <c r="G313" t="s">
        <v>1041</v>
      </c>
      <c r="I313" t="s">
        <v>1042</v>
      </c>
      <c r="J313" t="s">
        <v>57</v>
      </c>
      <c r="M313">
        <v>999</v>
      </c>
      <c r="N313">
        <v>999</v>
      </c>
      <c r="P313">
        <v>16</v>
      </c>
    </row>
    <row r="314" spans="2:16" x14ac:dyDescent="0.2">
      <c r="B314">
        <v>253</v>
      </c>
      <c r="C314">
        <v>10</v>
      </c>
      <c r="D314">
        <v>10</v>
      </c>
      <c r="F314" t="s">
        <v>1043</v>
      </c>
      <c r="G314" t="s">
        <v>1044</v>
      </c>
      <c r="H314" t="s">
        <v>82</v>
      </c>
      <c r="I314" t="s">
        <v>1045</v>
      </c>
      <c r="J314" t="s">
        <v>38</v>
      </c>
      <c r="M314">
        <v>999</v>
      </c>
      <c r="N314">
        <v>999</v>
      </c>
      <c r="P314">
        <v>32</v>
      </c>
    </row>
    <row r="315" spans="2:16" x14ac:dyDescent="0.2">
      <c r="B315">
        <v>253</v>
      </c>
      <c r="C315">
        <v>10</v>
      </c>
      <c r="D315">
        <v>10</v>
      </c>
      <c r="F315" t="s">
        <v>1046</v>
      </c>
      <c r="G315" t="s">
        <v>1047</v>
      </c>
      <c r="H315" t="s">
        <v>82</v>
      </c>
      <c r="I315" t="s">
        <v>1048</v>
      </c>
      <c r="J315" t="s">
        <v>38</v>
      </c>
      <c r="M315">
        <v>999</v>
      </c>
      <c r="N315">
        <v>999</v>
      </c>
      <c r="P315">
        <v>32</v>
      </c>
    </row>
    <row r="316" spans="2:16" x14ac:dyDescent="0.2">
      <c r="B316">
        <v>253</v>
      </c>
      <c r="C316">
        <v>10</v>
      </c>
      <c r="D316">
        <v>10</v>
      </c>
      <c r="F316" t="s">
        <v>1049</v>
      </c>
      <c r="G316" t="s">
        <v>1050</v>
      </c>
      <c r="I316" t="s">
        <v>1051</v>
      </c>
      <c r="J316" t="s">
        <v>38</v>
      </c>
      <c r="M316">
        <v>999</v>
      </c>
      <c r="N316">
        <v>999</v>
      </c>
      <c r="P316">
        <v>16</v>
      </c>
    </row>
    <row r="317" spans="2:16" x14ac:dyDescent="0.2">
      <c r="B317">
        <v>252</v>
      </c>
      <c r="C317">
        <v>10</v>
      </c>
      <c r="D317">
        <v>10</v>
      </c>
      <c r="F317" t="s">
        <v>1052</v>
      </c>
      <c r="G317" t="s">
        <v>1053</v>
      </c>
      <c r="H317" t="s">
        <v>82</v>
      </c>
      <c r="I317" t="s">
        <v>1054</v>
      </c>
      <c r="J317" t="s">
        <v>37</v>
      </c>
      <c r="M317">
        <v>999</v>
      </c>
      <c r="N317">
        <v>999</v>
      </c>
      <c r="P317">
        <v>16</v>
      </c>
    </row>
    <row r="318" spans="2:16" x14ac:dyDescent="0.2">
      <c r="B318">
        <v>252</v>
      </c>
      <c r="C318">
        <v>10</v>
      </c>
      <c r="D318">
        <v>10</v>
      </c>
      <c r="F318" t="s">
        <v>1055</v>
      </c>
      <c r="G318" t="s">
        <v>1056</v>
      </c>
      <c r="H318" t="s">
        <v>82</v>
      </c>
      <c r="I318" t="s">
        <v>1057</v>
      </c>
      <c r="J318" t="s">
        <v>37</v>
      </c>
      <c r="M318">
        <v>999</v>
      </c>
      <c r="N318">
        <v>999</v>
      </c>
      <c r="P318">
        <v>195</v>
      </c>
    </row>
    <row r="319" spans="2:16" x14ac:dyDescent="0.2">
      <c r="B319">
        <v>252</v>
      </c>
      <c r="C319">
        <v>10</v>
      </c>
      <c r="D319">
        <v>10</v>
      </c>
      <c r="F319" t="s">
        <v>1058</v>
      </c>
      <c r="G319" t="s">
        <v>1059</v>
      </c>
      <c r="H319" t="s">
        <v>82</v>
      </c>
      <c r="I319" t="s">
        <v>1060</v>
      </c>
      <c r="J319" t="s">
        <v>37</v>
      </c>
      <c r="M319">
        <v>999</v>
      </c>
      <c r="N319">
        <v>999</v>
      </c>
      <c r="P319">
        <v>32</v>
      </c>
    </row>
    <row r="320" spans="2:16" x14ac:dyDescent="0.2">
      <c r="B320">
        <v>252</v>
      </c>
      <c r="C320">
        <v>10</v>
      </c>
      <c r="D320">
        <v>10</v>
      </c>
      <c r="F320" t="s">
        <v>1061</v>
      </c>
      <c r="G320" t="s">
        <v>1062</v>
      </c>
      <c r="H320" t="s">
        <v>82</v>
      </c>
      <c r="I320" t="s">
        <v>1063</v>
      </c>
      <c r="J320" t="s">
        <v>37</v>
      </c>
      <c r="M320">
        <v>999</v>
      </c>
      <c r="N320">
        <v>999</v>
      </c>
      <c r="P320">
        <v>256</v>
      </c>
    </row>
    <row r="321" spans="2:16" x14ac:dyDescent="0.2">
      <c r="B321">
        <v>252</v>
      </c>
      <c r="C321">
        <v>10</v>
      </c>
      <c r="D321">
        <v>10</v>
      </c>
      <c r="F321" t="s">
        <v>1064</v>
      </c>
      <c r="G321" t="s">
        <v>1065</v>
      </c>
      <c r="H321" t="s">
        <v>82</v>
      </c>
      <c r="I321" t="s">
        <v>1066</v>
      </c>
      <c r="J321" t="s">
        <v>37</v>
      </c>
      <c r="M321">
        <v>999</v>
      </c>
      <c r="N321">
        <v>999</v>
      </c>
      <c r="P321">
        <v>32</v>
      </c>
    </row>
    <row r="322" spans="2:16" x14ac:dyDescent="0.2">
      <c r="B322">
        <v>252</v>
      </c>
      <c r="C322">
        <v>10</v>
      </c>
      <c r="D322">
        <v>10</v>
      </c>
      <c r="F322" t="s">
        <v>1067</v>
      </c>
      <c r="G322" t="s">
        <v>1068</v>
      </c>
      <c r="H322" t="s">
        <v>82</v>
      </c>
      <c r="I322" t="s">
        <v>1069</v>
      </c>
      <c r="J322" t="s">
        <v>37</v>
      </c>
      <c r="M322">
        <v>999</v>
      </c>
      <c r="N322">
        <v>999</v>
      </c>
      <c r="P322">
        <v>32</v>
      </c>
    </row>
    <row r="323" spans="2:16" x14ac:dyDescent="0.2">
      <c r="B323">
        <v>252</v>
      </c>
      <c r="C323">
        <v>10</v>
      </c>
      <c r="D323">
        <v>10</v>
      </c>
      <c r="F323" t="s">
        <v>1070</v>
      </c>
      <c r="G323" t="s">
        <v>1071</v>
      </c>
      <c r="H323" t="s">
        <v>82</v>
      </c>
      <c r="J323" t="s">
        <v>37</v>
      </c>
      <c r="M323">
        <v>999</v>
      </c>
    </row>
    <row r="324" spans="2:16" x14ac:dyDescent="0.2">
      <c r="B324">
        <v>252</v>
      </c>
      <c r="C324">
        <v>10</v>
      </c>
      <c r="D324">
        <v>10</v>
      </c>
      <c r="F324" t="s">
        <v>1072</v>
      </c>
      <c r="G324" t="s">
        <v>1073</v>
      </c>
      <c r="H324" t="s">
        <v>82</v>
      </c>
      <c r="I324" t="s">
        <v>1074</v>
      </c>
      <c r="J324" t="s">
        <v>37</v>
      </c>
      <c r="M324">
        <v>999</v>
      </c>
      <c r="N324">
        <v>999</v>
      </c>
      <c r="P324">
        <v>16</v>
      </c>
    </row>
    <row r="325" spans="2:16" x14ac:dyDescent="0.2">
      <c r="B325">
        <v>252</v>
      </c>
      <c r="C325">
        <v>10</v>
      </c>
      <c r="D325">
        <v>10</v>
      </c>
      <c r="F325" t="s">
        <v>1075</v>
      </c>
      <c r="G325" t="s">
        <v>1076</v>
      </c>
      <c r="H325" t="s">
        <v>82</v>
      </c>
      <c r="I325" t="s">
        <v>1077</v>
      </c>
      <c r="J325" t="s">
        <v>37</v>
      </c>
      <c r="M325">
        <v>999</v>
      </c>
      <c r="N325">
        <v>999</v>
      </c>
      <c r="P325">
        <v>32</v>
      </c>
    </row>
    <row r="326" spans="2:16" x14ac:dyDescent="0.2">
      <c r="B326">
        <v>252</v>
      </c>
      <c r="C326">
        <v>10</v>
      </c>
      <c r="D326">
        <v>10</v>
      </c>
      <c r="F326" t="s">
        <v>1078</v>
      </c>
      <c r="G326" t="s">
        <v>1079</v>
      </c>
      <c r="H326" t="s">
        <v>82</v>
      </c>
      <c r="I326" t="s">
        <v>1080</v>
      </c>
      <c r="J326" t="s">
        <v>37</v>
      </c>
      <c r="M326">
        <v>999</v>
      </c>
      <c r="N326">
        <v>999</v>
      </c>
      <c r="P326">
        <v>48</v>
      </c>
    </row>
    <row r="327" spans="2:16" x14ac:dyDescent="0.2">
      <c r="B327">
        <v>252</v>
      </c>
      <c r="C327">
        <v>10</v>
      </c>
      <c r="D327">
        <v>10</v>
      </c>
      <c r="F327" t="s">
        <v>1081</v>
      </c>
      <c r="G327" t="s">
        <v>1082</v>
      </c>
      <c r="H327" t="s">
        <v>82</v>
      </c>
      <c r="I327" t="s">
        <v>1083</v>
      </c>
      <c r="J327" t="s">
        <v>37</v>
      </c>
      <c r="M327">
        <v>999</v>
      </c>
      <c r="N327">
        <v>999</v>
      </c>
      <c r="P327">
        <v>32</v>
      </c>
    </row>
    <row r="328" spans="2:16" x14ac:dyDescent="0.2">
      <c r="B328">
        <v>252</v>
      </c>
      <c r="C328">
        <v>10</v>
      </c>
      <c r="D328">
        <v>10</v>
      </c>
      <c r="F328" t="s">
        <v>1084</v>
      </c>
      <c r="G328" t="s">
        <v>1085</v>
      </c>
      <c r="H328" t="s">
        <v>82</v>
      </c>
      <c r="I328" t="s">
        <v>1086</v>
      </c>
      <c r="J328" t="s">
        <v>37</v>
      </c>
      <c r="M328">
        <v>999</v>
      </c>
      <c r="N328">
        <v>999</v>
      </c>
      <c r="P328">
        <v>32</v>
      </c>
    </row>
    <row r="329" spans="2:16" x14ac:dyDescent="0.2">
      <c r="B329">
        <v>252</v>
      </c>
      <c r="C329">
        <v>10</v>
      </c>
      <c r="D329">
        <v>10</v>
      </c>
      <c r="F329" t="s">
        <v>1087</v>
      </c>
      <c r="G329" t="s">
        <v>1088</v>
      </c>
      <c r="H329" t="s">
        <v>82</v>
      </c>
      <c r="J329" t="s">
        <v>37</v>
      </c>
      <c r="M329">
        <v>999</v>
      </c>
    </row>
    <row r="330" spans="2:16" x14ac:dyDescent="0.2">
      <c r="B330">
        <v>252</v>
      </c>
      <c r="C330">
        <v>10</v>
      </c>
      <c r="D330">
        <v>10</v>
      </c>
      <c r="F330" t="s">
        <v>1089</v>
      </c>
      <c r="G330" t="s">
        <v>1090</v>
      </c>
      <c r="H330" t="s">
        <v>82</v>
      </c>
      <c r="I330" t="s">
        <v>1091</v>
      </c>
      <c r="J330" t="s">
        <v>37</v>
      </c>
      <c r="M330">
        <v>999</v>
      </c>
      <c r="N330">
        <v>999</v>
      </c>
      <c r="P330">
        <v>32</v>
      </c>
    </row>
    <row r="331" spans="2:16" x14ac:dyDescent="0.2">
      <c r="B331">
        <v>252</v>
      </c>
      <c r="C331">
        <v>10</v>
      </c>
      <c r="D331">
        <v>10</v>
      </c>
      <c r="F331" t="s">
        <v>1092</v>
      </c>
      <c r="G331" t="s">
        <v>1093</v>
      </c>
      <c r="H331" t="s">
        <v>82</v>
      </c>
      <c r="I331" t="s">
        <v>1094</v>
      </c>
      <c r="J331" t="s">
        <v>37</v>
      </c>
      <c r="M331">
        <v>999</v>
      </c>
      <c r="N331">
        <v>999</v>
      </c>
      <c r="P331">
        <v>32</v>
      </c>
    </row>
    <row r="332" spans="2:16" x14ac:dyDescent="0.2">
      <c r="B332">
        <v>252</v>
      </c>
      <c r="C332">
        <v>10</v>
      </c>
      <c r="D332">
        <v>10</v>
      </c>
      <c r="F332" t="s">
        <v>1095</v>
      </c>
      <c r="G332" t="s">
        <v>1096</v>
      </c>
      <c r="H332" t="s">
        <v>82</v>
      </c>
      <c r="I332" t="s">
        <v>1097</v>
      </c>
      <c r="J332" t="s">
        <v>37</v>
      </c>
      <c r="M332">
        <v>999</v>
      </c>
      <c r="N332">
        <v>999</v>
      </c>
      <c r="P332">
        <v>32</v>
      </c>
    </row>
    <row r="333" spans="2:16" x14ac:dyDescent="0.2">
      <c r="B333">
        <v>203</v>
      </c>
      <c r="C333">
        <v>10</v>
      </c>
      <c r="D333">
        <v>10</v>
      </c>
      <c r="F333" t="s">
        <v>49</v>
      </c>
      <c r="G333" t="s">
        <v>1098</v>
      </c>
      <c r="I333" t="s">
        <v>1099</v>
      </c>
      <c r="J333" t="s">
        <v>34</v>
      </c>
      <c r="M333">
        <v>999</v>
      </c>
      <c r="N333">
        <v>999</v>
      </c>
      <c r="P333">
        <v>16</v>
      </c>
    </row>
    <row r="334" spans="2:16" x14ac:dyDescent="0.2">
      <c r="B334">
        <v>203</v>
      </c>
      <c r="C334">
        <v>10</v>
      </c>
      <c r="D334">
        <v>10</v>
      </c>
      <c r="F334" t="s">
        <v>1100</v>
      </c>
      <c r="G334" t="s">
        <v>1101</v>
      </c>
      <c r="I334" t="s">
        <v>1102</v>
      </c>
      <c r="J334" t="s">
        <v>34</v>
      </c>
      <c r="M334">
        <v>999</v>
      </c>
      <c r="N334">
        <v>999</v>
      </c>
      <c r="P334">
        <v>32</v>
      </c>
    </row>
    <row r="335" spans="2:16" x14ac:dyDescent="0.2">
      <c r="B335">
        <v>203</v>
      </c>
      <c r="C335">
        <v>10</v>
      </c>
      <c r="D335">
        <v>10</v>
      </c>
      <c r="F335" t="s">
        <v>1103</v>
      </c>
      <c r="G335" t="s">
        <v>1104</v>
      </c>
      <c r="I335" t="s">
        <v>1105</v>
      </c>
      <c r="J335" t="s">
        <v>34</v>
      </c>
      <c r="M335">
        <v>999</v>
      </c>
      <c r="N335">
        <v>999</v>
      </c>
      <c r="P335">
        <v>48</v>
      </c>
    </row>
    <row r="336" spans="2:16" x14ac:dyDescent="0.2">
      <c r="B336">
        <v>204</v>
      </c>
      <c r="C336">
        <v>10</v>
      </c>
      <c r="D336">
        <v>10</v>
      </c>
      <c r="F336" t="s">
        <v>1106</v>
      </c>
      <c r="G336" t="s">
        <v>1107</v>
      </c>
      <c r="I336" t="s">
        <v>1108</v>
      </c>
      <c r="J336" t="s">
        <v>35</v>
      </c>
      <c r="M336">
        <v>999</v>
      </c>
      <c r="N336">
        <v>999</v>
      </c>
      <c r="P336">
        <v>32</v>
      </c>
    </row>
    <row r="337" spans="2:16" x14ac:dyDescent="0.2">
      <c r="B337">
        <v>204</v>
      </c>
      <c r="C337">
        <v>10</v>
      </c>
      <c r="D337">
        <v>10</v>
      </c>
      <c r="F337" t="s">
        <v>1109</v>
      </c>
      <c r="G337" t="s">
        <v>1110</v>
      </c>
      <c r="I337" t="s">
        <v>1111</v>
      </c>
      <c r="J337" t="s">
        <v>35</v>
      </c>
      <c r="M337">
        <v>999</v>
      </c>
      <c r="N337">
        <v>999</v>
      </c>
      <c r="P337">
        <v>32</v>
      </c>
    </row>
    <row r="338" spans="2:16" x14ac:dyDescent="0.2">
      <c r="B338">
        <v>204</v>
      </c>
      <c r="C338">
        <v>10</v>
      </c>
      <c r="D338">
        <v>10</v>
      </c>
      <c r="F338" t="s">
        <v>1112</v>
      </c>
      <c r="G338" t="s">
        <v>1113</v>
      </c>
      <c r="I338" t="s">
        <v>1114</v>
      </c>
      <c r="J338" t="s">
        <v>35</v>
      </c>
      <c r="M338">
        <v>999</v>
      </c>
      <c r="N338">
        <v>999</v>
      </c>
      <c r="P338">
        <v>16</v>
      </c>
    </row>
    <row r="339" spans="2:16" x14ac:dyDescent="0.2">
      <c r="B339">
        <v>601</v>
      </c>
      <c r="C339">
        <v>10</v>
      </c>
      <c r="D339">
        <v>10</v>
      </c>
      <c r="F339" t="s">
        <v>1115</v>
      </c>
      <c r="G339" t="s">
        <v>1116</v>
      </c>
      <c r="H339" t="s">
        <v>1117</v>
      </c>
      <c r="I339" t="s">
        <v>1118</v>
      </c>
      <c r="J339" t="s">
        <v>42</v>
      </c>
      <c r="M339">
        <v>999</v>
      </c>
      <c r="N339">
        <v>999</v>
      </c>
      <c r="P339">
        <v>152</v>
      </c>
    </row>
    <row r="340" spans="2:16" x14ac:dyDescent="0.2">
      <c r="B340">
        <v>601</v>
      </c>
      <c r="C340">
        <v>10</v>
      </c>
      <c r="D340">
        <v>10</v>
      </c>
      <c r="F340" t="s">
        <v>1119</v>
      </c>
      <c r="G340" t="s">
        <v>1120</v>
      </c>
      <c r="H340" t="s">
        <v>1121</v>
      </c>
      <c r="J340" t="s">
        <v>42</v>
      </c>
      <c r="M340">
        <v>999</v>
      </c>
    </row>
    <row r="341" spans="2:16" x14ac:dyDescent="0.2">
      <c r="B341">
        <v>601</v>
      </c>
      <c r="C341">
        <v>10</v>
      </c>
      <c r="D341">
        <v>10</v>
      </c>
      <c r="F341" t="s">
        <v>1122</v>
      </c>
      <c r="G341" t="s">
        <v>1123</v>
      </c>
      <c r="J341" t="s">
        <v>42</v>
      </c>
      <c r="M341">
        <v>999</v>
      </c>
    </row>
    <row r="342" spans="2:16" x14ac:dyDescent="0.2">
      <c r="B342">
        <v>601</v>
      </c>
      <c r="C342">
        <v>10</v>
      </c>
      <c r="D342">
        <v>10</v>
      </c>
      <c r="F342" t="s">
        <v>1124</v>
      </c>
      <c r="G342" t="s">
        <v>1125</v>
      </c>
      <c r="J342" t="s">
        <v>42</v>
      </c>
      <c r="M342">
        <v>999</v>
      </c>
    </row>
    <row r="343" spans="2:16" x14ac:dyDescent="0.2">
      <c r="B343">
        <v>601</v>
      </c>
      <c r="C343">
        <v>10</v>
      </c>
      <c r="D343">
        <v>10</v>
      </c>
      <c r="F343" t="s">
        <v>1126</v>
      </c>
      <c r="G343" t="s">
        <v>1127</v>
      </c>
      <c r="J343" t="s">
        <v>42</v>
      </c>
      <c r="M343">
        <v>999</v>
      </c>
    </row>
    <row r="344" spans="2:16" x14ac:dyDescent="0.2">
      <c r="B344">
        <v>601</v>
      </c>
      <c r="C344">
        <v>10</v>
      </c>
      <c r="D344">
        <v>10</v>
      </c>
      <c r="F344" t="s">
        <v>1128</v>
      </c>
      <c r="G344" t="s">
        <v>1129</v>
      </c>
      <c r="J344" t="s">
        <v>42</v>
      </c>
      <c r="M344">
        <v>999</v>
      </c>
    </row>
    <row r="345" spans="2:16" x14ac:dyDescent="0.2">
      <c r="B345">
        <v>601</v>
      </c>
      <c r="C345">
        <v>10</v>
      </c>
      <c r="D345">
        <v>10</v>
      </c>
      <c r="F345" t="s">
        <v>1130</v>
      </c>
      <c r="G345" t="s">
        <v>1131</v>
      </c>
      <c r="J345" t="s">
        <v>42</v>
      </c>
      <c r="M345">
        <v>999</v>
      </c>
    </row>
    <row r="346" spans="2:16" x14ac:dyDescent="0.2">
      <c r="B346">
        <v>601</v>
      </c>
      <c r="C346">
        <v>10</v>
      </c>
      <c r="D346">
        <v>10</v>
      </c>
      <c r="F346" t="s">
        <v>1132</v>
      </c>
      <c r="G346" t="s">
        <v>1133</v>
      </c>
      <c r="J346" t="s">
        <v>42</v>
      </c>
      <c r="M346">
        <v>999</v>
      </c>
    </row>
    <row r="347" spans="2:16" x14ac:dyDescent="0.2">
      <c r="B347">
        <v>601</v>
      </c>
      <c r="C347">
        <v>10</v>
      </c>
      <c r="D347">
        <v>10</v>
      </c>
      <c r="F347" t="s">
        <v>1134</v>
      </c>
      <c r="G347" t="s">
        <v>1135</v>
      </c>
      <c r="J347" t="s">
        <v>42</v>
      </c>
      <c r="M347">
        <v>999</v>
      </c>
    </row>
    <row r="348" spans="2:16" x14ac:dyDescent="0.2">
      <c r="B348">
        <v>601</v>
      </c>
      <c r="C348">
        <v>10</v>
      </c>
      <c r="D348">
        <v>10</v>
      </c>
      <c r="F348" t="s">
        <v>1136</v>
      </c>
      <c r="G348" t="s">
        <v>1137</v>
      </c>
      <c r="J348" t="s">
        <v>42</v>
      </c>
      <c r="M348">
        <v>999</v>
      </c>
    </row>
    <row r="349" spans="2:16" x14ac:dyDescent="0.2">
      <c r="B349">
        <v>601</v>
      </c>
      <c r="C349">
        <v>10</v>
      </c>
      <c r="D349">
        <v>10</v>
      </c>
      <c r="F349" t="s">
        <v>1138</v>
      </c>
      <c r="G349" t="s">
        <v>1139</v>
      </c>
      <c r="J349" t="s">
        <v>42</v>
      </c>
      <c r="M349">
        <v>999</v>
      </c>
    </row>
    <row r="350" spans="2:16" x14ac:dyDescent="0.2">
      <c r="B350">
        <v>601</v>
      </c>
      <c r="C350">
        <v>10</v>
      </c>
      <c r="D350">
        <v>10</v>
      </c>
      <c r="F350" t="s">
        <v>1140</v>
      </c>
      <c r="G350" t="s">
        <v>1141</v>
      </c>
      <c r="H350" t="s">
        <v>1142</v>
      </c>
      <c r="J350" t="s">
        <v>42</v>
      </c>
      <c r="M350">
        <v>999</v>
      </c>
    </row>
    <row r="351" spans="2:16" x14ac:dyDescent="0.2">
      <c r="B351">
        <v>601</v>
      </c>
      <c r="C351">
        <v>10</v>
      </c>
      <c r="D351">
        <v>10</v>
      </c>
      <c r="F351" t="s">
        <v>1143</v>
      </c>
      <c r="G351" t="s">
        <v>1144</v>
      </c>
      <c r="J351" t="s">
        <v>42</v>
      </c>
      <c r="M351">
        <v>999</v>
      </c>
    </row>
    <row r="352" spans="2:16" x14ac:dyDescent="0.2">
      <c r="B352">
        <v>601</v>
      </c>
      <c r="C352">
        <v>10</v>
      </c>
      <c r="D352">
        <v>10</v>
      </c>
      <c r="F352" t="s">
        <v>1145</v>
      </c>
      <c r="G352" t="s">
        <v>1146</v>
      </c>
      <c r="H352" t="s">
        <v>1147</v>
      </c>
      <c r="J352" t="s">
        <v>42</v>
      </c>
      <c r="M352">
        <v>999</v>
      </c>
    </row>
    <row r="353" spans="2:13" x14ac:dyDescent="0.2">
      <c r="B353">
        <v>601</v>
      </c>
      <c r="C353">
        <v>10</v>
      </c>
      <c r="D353">
        <v>10</v>
      </c>
      <c r="F353" t="s">
        <v>1148</v>
      </c>
      <c r="G353" t="s">
        <v>1149</v>
      </c>
      <c r="H353" t="s">
        <v>1150</v>
      </c>
      <c r="J353" t="s">
        <v>42</v>
      </c>
      <c r="M353">
        <v>999</v>
      </c>
    </row>
    <row r="354" spans="2:13" x14ac:dyDescent="0.2">
      <c r="B354">
        <v>601</v>
      </c>
      <c r="C354">
        <v>10</v>
      </c>
      <c r="D354">
        <v>10</v>
      </c>
      <c r="F354" t="s">
        <v>1151</v>
      </c>
      <c r="G354" t="s">
        <v>1152</v>
      </c>
      <c r="H354" t="s">
        <v>1153</v>
      </c>
      <c r="J354" t="s">
        <v>42</v>
      </c>
      <c r="M354">
        <v>999</v>
      </c>
    </row>
    <row r="355" spans="2:13" x14ac:dyDescent="0.2">
      <c r="B355">
        <v>601</v>
      </c>
      <c r="C355">
        <v>10</v>
      </c>
      <c r="D355">
        <v>10</v>
      </c>
      <c r="F355" t="s">
        <v>1154</v>
      </c>
      <c r="G355" t="s">
        <v>1155</v>
      </c>
      <c r="H355" t="s">
        <v>1156</v>
      </c>
      <c r="J355" t="s">
        <v>42</v>
      </c>
      <c r="M355">
        <v>999</v>
      </c>
    </row>
    <row r="356" spans="2:13" x14ac:dyDescent="0.2">
      <c r="B356">
        <v>601</v>
      </c>
      <c r="C356">
        <v>10</v>
      </c>
      <c r="D356">
        <v>10</v>
      </c>
      <c r="F356" t="s">
        <v>1157</v>
      </c>
      <c r="G356" t="s">
        <v>1158</v>
      </c>
      <c r="H356" t="s">
        <v>1159</v>
      </c>
      <c r="J356" t="s">
        <v>42</v>
      </c>
      <c r="M356">
        <v>999</v>
      </c>
    </row>
    <row r="357" spans="2:13" x14ac:dyDescent="0.2">
      <c r="B357">
        <v>601</v>
      </c>
      <c r="C357">
        <v>10</v>
      </c>
      <c r="D357">
        <v>10</v>
      </c>
      <c r="F357" t="s">
        <v>1160</v>
      </c>
      <c r="G357" t="s">
        <v>1161</v>
      </c>
      <c r="J357" t="s">
        <v>42</v>
      </c>
      <c r="M357">
        <v>999</v>
      </c>
    </row>
    <row r="358" spans="2:13" x14ac:dyDescent="0.2">
      <c r="B358">
        <v>601</v>
      </c>
      <c r="C358">
        <v>10</v>
      </c>
      <c r="D358">
        <v>10</v>
      </c>
      <c r="F358" t="s">
        <v>1162</v>
      </c>
      <c r="G358" t="s">
        <v>1163</v>
      </c>
      <c r="H358" t="s">
        <v>1164</v>
      </c>
      <c r="J358" t="s">
        <v>42</v>
      </c>
      <c r="M358">
        <v>999</v>
      </c>
    </row>
    <row r="359" spans="2:13" x14ac:dyDescent="0.2">
      <c r="B359">
        <v>601</v>
      </c>
      <c r="C359">
        <v>10</v>
      </c>
      <c r="D359">
        <v>10</v>
      </c>
      <c r="F359" t="s">
        <v>1165</v>
      </c>
      <c r="G359" t="s">
        <v>1166</v>
      </c>
      <c r="H359" t="s">
        <v>1167</v>
      </c>
      <c r="J359" t="s">
        <v>42</v>
      </c>
      <c r="M359">
        <v>999</v>
      </c>
    </row>
    <row r="360" spans="2:13" x14ac:dyDescent="0.2">
      <c r="B360">
        <v>601</v>
      </c>
      <c r="C360">
        <v>11</v>
      </c>
      <c r="D360">
        <v>10</v>
      </c>
      <c r="F360" t="s">
        <v>1168</v>
      </c>
      <c r="G360" t="s">
        <v>1169</v>
      </c>
      <c r="J360" t="s">
        <v>42</v>
      </c>
      <c r="K360" t="s">
        <v>1170</v>
      </c>
      <c r="M360">
        <v>999</v>
      </c>
    </row>
    <row r="361" spans="2:13" x14ac:dyDescent="0.2">
      <c r="B361">
        <v>601</v>
      </c>
      <c r="C361">
        <v>12</v>
      </c>
      <c r="D361">
        <v>10</v>
      </c>
      <c r="F361" t="s">
        <v>1171</v>
      </c>
      <c r="G361" t="s">
        <v>1172</v>
      </c>
      <c r="J361" t="s">
        <v>42</v>
      </c>
      <c r="K361" t="s">
        <v>1173</v>
      </c>
      <c r="M361">
        <v>999</v>
      </c>
    </row>
    <row r="362" spans="2:13" x14ac:dyDescent="0.2">
      <c r="B362">
        <v>601</v>
      </c>
      <c r="C362">
        <v>12</v>
      </c>
      <c r="D362">
        <v>10</v>
      </c>
      <c r="F362" t="s">
        <v>1174</v>
      </c>
      <c r="G362" t="s">
        <v>1175</v>
      </c>
      <c r="J362" t="s">
        <v>42</v>
      </c>
      <c r="K362" t="s">
        <v>1173</v>
      </c>
      <c r="M362">
        <v>999</v>
      </c>
    </row>
    <row r="363" spans="2:13" x14ac:dyDescent="0.2">
      <c r="B363">
        <v>601</v>
      </c>
      <c r="C363">
        <v>13</v>
      </c>
      <c r="D363">
        <v>10</v>
      </c>
      <c r="F363" t="s">
        <v>1176</v>
      </c>
      <c r="G363" t="s">
        <v>1177</v>
      </c>
      <c r="J363" t="s">
        <v>42</v>
      </c>
      <c r="K363" t="s">
        <v>1178</v>
      </c>
      <c r="M363">
        <v>999</v>
      </c>
    </row>
    <row r="364" spans="2:13" x14ac:dyDescent="0.2">
      <c r="B364">
        <v>601</v>
      </c>
      <c r="C364">
        <v>14</v>
      </c>
      <c r="D364">
        <v>10</v>
      </c>
      <c r="F364" t="s">
        <v>1179</v>
      </c>
      <c r="G364" t="s">
        <v>1180</v>
      </c>
      <c r="J364" t="s">
        <v>42</v>
      </c>
      <c r="K364" t="s">
        <v>1181</v>
      </c>
      <c r="M364">
        <v>999</v>
      </c>
    </row>
    <row r="365" spans="2:13" x14ac:dyDescent="0.2">
      <c r="B365">
        <v>601</v>
      </c>
      <c r="C365">
        <v>15</v>
      </c>
      <c r="D365">
        <v>10</v>
      </c>
      <c r="F365" t="s">
        <v>1182</v>
      </c>
      <c r="G365" t="s">
        <v>1183</v>
      </c>
      <c r="H365" t="s">
        <v>1184</v>
      </c>
      <c r="J365" t="s">
        <v>42</v>
      </c>
      <c r="K365" t="s">
        <v>1185</v>
      </c>
      <c r="M365">
        <v>999</v>
      </c>
    </row>
    <row r="366" spans="2:13" x14ac:dyDescent="0.2">
      <c r="B366">
        <v>601</v>
      </c>
      <c r="C366">
        <v>16</v>
      </c>
      <c r="D366">
        <v>10</v>
      </c>
      <c r="F366" t="s">
        <v>1186</v>
      </c>
      <c r="G366" t="s">
        <v>1187</v>
      </c>
      <c r="J366" t="s">
        <v>42</v>
      </c>
      <c r="K366" t="s">
        <v>1188</v>
      </c>
      <c r="M366">
        <v>999</v>
      </c>
    </row>
    <row r="367" spans="2:13" x14ac:dyDescent="0.2">
      <c r="B367">
        <v>601</v>
      </c>
      <c r="C367">
        <v>17</v>
      </c>
      <c r="D367">
        <v>10</v>
      </c>
      <c r="F367" t="s">
        <v>1189</v>
      </c>
      <c r="G367" t="s">
        <v>1190</v>
      </c>
      <c r="J367" t="s">
        <v>42</v>
      </c>
      <c r="K367" t="s">
        <v>1191</v>
      </c>
      <c r="M367">
        <v>999</v>
      </c>
    </row>
    <row r="368" spans="2:13" x14ac:dyDescent="0.2">
      <c r="B368">
        <v>601</v>
      </c>
      <c r="C368">
        <v>18</v>
      </c>
      <c r="D368">
        <v>10</v>
      </c>
      <c r="F368" t="s">
        <v>1192</v>
      </c>
      <c r="G368" t="s">
        <v>1193</v>
      </c>
      <c r="J368" t="s">
        <v>42</v>
      </c>
      <c r="K368" t="s">
        <v>1192</v>
      </c>
      <c r="M368">
        <v>999</v>
      </c>
    </row>
    <row r="369" spans="2:13" x14ac:dyDescent="0.2">
      <c r="B369">
        <v>601</v>
      </c>
      <c r="C369">
        <v>18</v>
      </c>
      <c r="D369">
        <v>10</v>
      </c>
      <c r="F369" t="s">
        <v>1194</v>
      </c>
      <c r="G369" t="s">
        <v>1195</v>
      </c>
      <c r="J369" t="s">
        <v>42</v>
      </c>
      <c r="K369" t="s">
        <v>1192</v>
      </c>
      <c r="M369">
        <v>999</v>
      </c>
    </row>
    <row r="370" spans="2:13" x14ac:dyDescent="0.2">
      <c r="B370">
        <v>601</v>
      </c>
      <c r="C370">
        <v>19</v>
      </c>
      <c r="D370">
        <v>10</v>
      </c>
      <c r="F370" t="s">
        <v>1196</v>
      </c>
      <c r="G370" t="s">
        <v>1197</v>
      </c>
      <c r="J370" t="s">
        <v>42</v>
      </c>
      <c r="K370" t="s">
        <v>1198</v>
      </c>
      <c r="M370">
        <v>999</v>
      </c>
    </row>
    <row r="371" spans="2:13" x14ac:dyDescent="0.2">
      <c r="B371">
        <v>601</v>
      </c>
      <c r="C371">
        <v>19</v>
      </c>
      <c r="D371">
        <v>10</v>
      </c>
      <c r="F371" t="s">
        <v>1199</v>
      </c>
      <c r="G371" t="s">
        <v>1200</v>
      </c>
      <c r="J371" t="s">
        <v>42</v>
      </c>
      <c r="K371" t="s">
        <v>1198</v>
      </c>
      <c r="M371">
        <v>999</v>
      </c>
    </row>
    <row r="372" spans="2:13" x14ac:dyDescent="0.2">
      <c r="B372">
        <v>601</v>
      </c>
      <c r="C372">
        <v>20</v>
      </c>
      <c r="D372">
        <v>10</v>
      </c>
      <c r="F372" t="s">
        <v>1201</v>
      </c>
      <c r="G372" t="s">
        <v>1202</v>
      </c>
      <c r="J372" t="s">
        <v>42</v>
      </c>
      <c r="K372" t="s">
        <v>1203</v>
      </c>
      <c r="M372">
        <v>999</v>
      </c>
    </row>
    <row r="373" spans="2:13" x14ac:dyDescent="0.2">
      <c r="B373">
        <v>601</v>
      </c>
      <c r="C373">
        <v>21</v>
      </c>
      <c r="D373">
        <v>10</v>
      </c>
      <c r="F373" t="s">
        <v>1204</v>
      </c>
      <c r="G373" t="s">
        <v>1205</v>
      </c>
      <c r="J373" t="s">
        <v>42</v>
      </c>
      <c r="K373" t="s">
        <v>1206</v>
      </c>
      <c r="M373">
        <v>999</v>
      </c>
    </row>
    <row r="374" spans="2:13" x14ac:dyDescent="0.2">
      <c r="B374">
        <v>601</v>
      </c>
      <c r="C374">
        <v>22</v>
      </c>
      <c r="D374">
        <v>10</v>
      </c>
      <c r="F374" t="s">
        <v>1207</v>
      </c>
      <c r="G374" t="s">
        <v>1208</v>
      </c>
      <c r="J374" t="s">
        <v>42</v>
      </c>
      <c r="K374" t="s">
        <v>1209</v>
      </c>
      <c r="M374">
        <v>999</v>
      </c>
    </row>
    <row r="375" spans="2:13" x14ac:dyDescent="0.2">
      <c r="B375">
        <v>601</v>
      </c>
      <c r="C375">
        <v>23</v>
      </c>
      <c r="D375">
        <v>10</v>
      </c>
      <c r="F375" t="s">
        <v>1210</v>
      </c>
      <c r="G375" t="s">
        <v>1211</v>
      </c>
      <c r="J375" t="s">
        <v>42</v>
      </c>
      <c r="K375" t="s">
        <v>1212</v>
      </c>
      <c r="M375">
        <v>999</v>
      </c>
    </row>
    <row r="376" spans="2:13" x14ac:dyDescent="0.2">
      <c r="B376">
        <v>601</v>
      </c>
      <c r="C376">
        <v>24</v>
      </c>
      <c r="D376">
        <v>10</v>
      </c>
      <c r="F376" t="s">
        <v>1213</v>
      </c>
      <c r="G376" t="s">
        <v>1214</v>
      </c>
      <c r="J376" t="s">
        <v>42</v>
      </c>
      <c r="K376" t="s">
        <v>1215</v>
      </c>
      <c r="M376">
        <v>999</v>
      </c>
    </row>
    <row r="377" spans="2:13" x14ac:dyDescent="0.2">
      <c r="B377">
        <v>601</v>
      </c>
      <c r="C377">
        <v>25</v>
      </c>
      <c r="D377">
        <v>10</v>
      </c>
      <c r="F377" t="s">
        <v>1216</v>
      </c>
      <c r="G377" t="s">
        <v>1217</v>
      </c>
      <c r="J377" t="s">
        <v>42</v>
      </c>
      <c r="K377" t="s">
        <v>1218</v>
      </c>
      <c r="M377">
        <v>999</v>
      </c>
    </row>
    <row r="378" spans="2:13" x14ac:dyDescent="0.2">
      <c r="B378">
        <v>601</v>
      </c>
      <c r="C378">
        <v>25</v>
      </c>
      <c r="D378">
        <v>10</v>
      </c>
      <c r="F378" t="s">
        <v>1219</v>
      </c>
      <c r="G378" t="s">
        <v>1220</v>
      </c>
      <c r="J378" t="s">
        <v>42</v>
      </c>
      <c r="K378" t="s">
        <v>1218</v>
      </c>
      <c r="M378">
        <v>999</v>
      </c>
    </row>
    <row r="379" spans="2:13" x14ac:dyDescent="0.2">
      <c r="B379">
        <v>601</v>
      </c>
      <c r="C379">
        <v>26</v>
      </c>
      <c r="D379">
        <v>10</v>
      </c>
      <c r="F379" t="s">
        <v>1221</v>
      </c>
      <c r="G379" t="s">
        <v>1222</v>
      </c>
      <c r="J379" t="s">
        <v>42</v>
      </c>
      <c r="K379" t="s">
        <v>1223</v>
      </c>
      <c r="M379">
        <v>999</v>
      </c>
    </row>
    <row r="380" spans="2:13" x14ac:dyDescent="0.2">
      <c r="B380">
        <v>601</v>
      </c>
      <c r="C380">
        <v>27</v>
      </c>
      <c r="D380">
        <v>10</v>
      </c>
      <c r="F380" t="s">
        <v>1224</v>
      </c>
      <c r="G380" t="s">
        <v>1225</v>
      </c>
      <c r="J380" t="s">
        <v>42</v>
      </c>
      <c r="K380" t="s">
        <v>1226</v>
      </c>
      <c r="M380">
        <v>999</v>
      </c>
    </row>
    <row r="381" spans="2:13" x14ac:dyDescent="0.2">
      <c r="B381">
        <v>601</v>
      </c>
      <c r="C381">
        <v>27</v>
      </c>
      <c r="D381">
        <v>10</v>
      </c>
      <c r="F381" t="s">
        <v>1227</v>
      </c>
      <c r="G381" t="s">
        <v>1228</v>
      </c>
      <c r="H381" t="s">
        <v>1229</v>
      </c>
      <c r="J381" t="s">
        <v>42</v>
      </c>
      <c r="K381" t="s">
        <v>1226</v>
      </c>
      <c r="M381">
        <v>999</v>
      </c>
    </row>
    <row r="382" spans="2:13" x14ac:dyDescent="0.2">
      <c r="B382">
        <v>601</v>
      </c>
      <c r="C382">
        <v>27</v>
      </c>
      <c r="D382">
        <v>10</v>
      </c>
      <c r="F382" t="s">
        <v>1230</v>
      </c>
      <c r="G382" t="s">
        <v>1231</v>
      </c>
      <c r="H382" t="s">
        <v>1232</v>
      </c>
      <c r="J382" t="s">
        <v>42</v>
      </c>
      <c r="K382" t="s">
        <v>1226</v>
      </c>
      <c r="M382">
        <v>999</v>
      </c>
    </row>
    <row r="383" spans="2:13" x14ac:dyDescent="0.2">
      <c r="B383">
        <v>602</v>
      </c>
      <c r="C383">
        <v>10</v>
      </c>
      <c r="D383">
        <v>10</v>
      </c>
      <c r="F383" t="s">
        <v>1233</v>
      </c>
      <c r="G383" t="s">
        <v>1234</v>
      </c>
      <c r="H383" t="s">
        <v>1235</v>
      </c>
      <c r="J383" t="s">
        <v>43</v>
      </c>
      <c r="M383">
        <v>999</v>
      </c>
    </row>
    <row r="384" spans="2:13" x14ac:dyDescent="0.2">
      <c r="B384">
        <v>602</v>
      </c>
      <c r="C384">
        <v>11</v>
      </c>
      <c r="D384">
        <v>10</v>
      </c>
      <c r="F384" t="s">
        <v>1236</v>
      </c>
      <c r="G384" t="s">
        <v>1237</v>
      </c>
      <c r="J384" t="s">
        <v>43</v>
      </c>
      <c r="K384" t="s">
        <v>1233</v>
      </c>
      <c r="M384">
        <v>999</v>
      </c>
    </row>
    <row r="385" spans="2:16" x14ac:dyDescent="0.2">
      <c r="B385">
        <v>603</v>
      </c>
      <c r="C385">
        <v>10</v>
      </c>
      <c r="D385">
        <v>10</v>
      </c>
      <c r="F385" t="s">
        <v>1238</v>
      </c>
      <c r="G385" t="s">
        <v>1239</v>
      </c>
      <c r="I385" t="s">
        <v>1240</v>
      </c>
      <c r="J385" t="s">
        <v>44</v>
      </c>
      <c r="M385">
        <v>999</v>
      </c>
    </row>
    <row r="386" spans="2:16" x14ac:dyDescent="0.2">
      <c r="B386">
        <v>603</v>
      </c>
      <c r="C386">
        <v>10</v>
      </c>
      <c r="D386">
        <v>10</v>
      </c>
      <c r="F386" t="s">
        <v>1241</v>
      </c>
      <c r="G386" t="s">
        <v>1242</v>
      </c>
      <c r="I386" t="s">
        <v>1243</v>
      </c>
      <c r="J386" t="s">
        <v>44</v>
      </c>
      <c r="M386">
        <v>999</v>
      </c>
    </row>
    <row r="387" spans="2:16" x14ac:dyDescent="0.2">
      <c r="B387">
        <v>603</v>
      </c>
      <c r="C387">
        <v>10</v>
      </c>
      <c r="D387">
        <v>10</v>
      </c>
      <c r="F387" t="s">
        <v>1244</v>
      </c>
      <c r="G387" t="s">
        <v>1245</v>
      </c>
      <c r="I387" t="s">
        <v>1246</v>
      </c>
      <c r="J387" t="s">
        <v>44</v>
      </c>
      <c r="M387">
        <v>999</v>
      </c>
    </row>
    <row r="388" spans="2:16" x14ac:dyDescent="0.2">
      <c r="B388">
        <v>603</v>
      </c>
      <c r="C388">
        <v>10</v>
      </c>
      <c r="D388">
        <v>10</v>
      </c>
      <c r="F388" t="s">
        <v>1247</v>
      </c>
      <c r="G388" t="s">
        <v>1248</v>
      </c>
      <c r="I388" t="s">
        <v>1249</v>
      </c>
      <c r="J388" t="s">
        <v>44</v>
      </c>
      <c r="M388">
        <v>999</v>
      </c>
    </row>
    <row r="389" spans="2:16" x14ac:dyDescent="0.2">
      <c r="B389">
        <v>603</v>
      </c>
      <c r="C389">
        <v>10</v>
      </c>
      <c r="D389">
        <v>10</v>
      </c>
      <c r="F389" t="s">
        <v>1250</v>
      </c>
      <c r="G389" t="s">
        <v>1251</v>
      </c>
      <c r="J389" t="s">
        <v>44</v>
      </c>
      <c r="M389">
        <v>999</v>
      </c>
    </row>
    <row r="390" spans="2:16" x14ac:dyDescent="0.2">
      <c r="B390">
        <v>603</v>
      </c>
      <c r="C390">
        <v>10</v>
      </c>
      <c r="D390">
        <v>10</v>
      </c>
      <c r="F390" t="s">
        <v>1252</v>
      </c>
      <c r="G390" t="s">
        <v>1253</v>
      </c>
      <c r="J390" t="s">
        <v>44</v>
      </c>
      <c r="M390">
        <v>999</v>
      </c>
    </row>
    <row r="391" spans="2:16" x14ac:dyDescent="0.2">
      <c r="B391">
        <v>603</v>
      </c>
      <c r="C391">
        <v>10</v>
      </c>
      <c r="D391">
        <v>10</v>
      </c>
      <c r="F391" t="s">
        <v>1254</v>
      </c>
      <c r="G391" t="s">
        <v>1255</v>
      </c>
      <c r="H391" t="s">
        <v>1256</v>
      </c>
      <c r="J391" t="s">
        <v>44</v>
      </c>
      <c r="M391">
        <v>999</v>
      </c>
    </row>
    <row r="392" spans="2:16" x14ac:dyDescent="0.2">
      <c r="B392">
        <v>604</v>
      </c>
      <c r="C392">
        <v>10</v>
      </c>
      <c r="D392">
        <v>10</v>
      </c>
      <c r="F392" t="s">
        <v>1257</v>
      </c>
      <c r="G392" t="s">
        <v>1258</v>
      </c>
      <c r="I392" t="s">
        <v>1259</v>
      </c>
      <c r="J392" t="s">
        <v>45</v>
      </c>
      <c r="M392">
        <v>999</v>
      </c>
      <c r="N392">
        <v>999</v>
      </c>
      <c r="P392">
        <v>16</v>
      </c>
    </row>
    <row r="393" spans="2:16" x14ac:dyDescent="0.2">
      <c r="B393">
        <v>604</v>
      </c>
      <c r="C393">
        <v>10</v>
      </c>
      <c r="D393">
        <v>10</v>
      </c>
      <c r="F393" t="s">
        <v>1260</v>
      </c>
      <c r="G393" t="s">
        <v>1261</v>
      </c>
      <c r="H393" t="s">
        <v>82</v>
      </c>
      <c r="J393" t="s">
        <v>45</v>
      </c>
      <c r="M393">
        <v>999</v>
      </c>
    </row>
    <row r="394" spans="2:16" x14ac:dyDescent="0.2">
      <c r="B394">
        <v>604</v>
      </c>
      <c r="C394">
        <v>10</v>
      </c>
      <c r="D394">
        <v>10</v>
      </c>
      <c r="F394" t="s">
        <v>1262</v>
      </c>
      <c r="G394" t="s">
        <v>1263</v>
      </c>
      <c r="H394" t="s">
        <v>1264</v>
      </c>
      <c r="J394" t="s">
        <v>45</v>
      </c>
      <c r="M394">
        <v>999</v>
      </c>
    </row>
    <row r="395" spans="2:16" x14ac:dyDescent="0.2">
      <c r="B395">
        <v>605</v>
      </c>
      <c r="C395">
        <v>10</v>
      </c>
      <c r="D395">
        <v>10</v>
      </c>
      <c r="F395" t="s">
        <v>1265</v>
      </c>
      <c r="G395" t="s">
        <v>1266</v>
      </c>
      <c r="J395" t="s">
        <v>46</v>
      </c>
      <c r="M395">
        <v>999</v>
      </c>
    </row>
    <row r="396" spans="2:16" x14ac:dyDescent="0.2">
      <c r="B396">
        <v>605</v>
      </c>
      <c r="C396">
        <v>11</v>
      </c>
      <c r="D396">
        <v>10</v>
      </c>
      <c r="F396" t="s">
        <v>1267</v>
      </c>
      <c r="G396" t="s">
        <v>1268</v>
      </c>
      <c r="J396" t="s">
        <v>46</v>
      </c>
      <c r="K396" t="s">
        <v>1269</v>
      </c>
      <c r="M396">
        <v>999</v>
      </c>
    </row>
    <row r="397" spans="2:16" x14ac:dyDescent="0.2">
      <c r="B397">
        <v>605</v>
      </c>
      <c r="C397">
        <v>12</v>
      </c>
      <c r="D397">
        <v>10</v>
      </c>
      <c r="F397" t="s">
        <v>1270</v>
      </c>
      <c r="G397" t="s">
        <v>1271</v>
      </c>
      <c r="H397" t="s">
        <v>1272</v>
      </c>
      <c r="J397" t="s">
        <v>46</v>
      </c>
      <c r="K397" t="s">
        <v>1223</v>
      </c>
      <c r="M397">
        <v>999</v>
      </c>
    </row>
    <row r="398" spans="2:16" x14ac:dyDescent="0.2">
      <c r="B398">
        <v>605</v>
      </c>
      <c r="C398">
        <v>13</v>
      </c>
      <c r="D398">
        <v>10</v>
      </c>
      <c r="F398" t="s">
        <v>1273</v>
      </c>
      <c r="G398" t="s">
        <v>1274</v>
      </c>
      <c r="H398" t="s">
        <v>1275</v>
      </c>
      <c r="J398" t="s">
        <v>46</v>
      </c>
      <c r="K398" t="s">
        <v>1276</v>
      </c>
      <c r="M398">
        <v>999</v>
      </c>
    </row>
    <row r="399" spans="2:16" x14ac:dyDescent="0.2">
      <c r="B399">
        <v>908</v>
      </c>
      <c r="C399">
        <v>10</v>
      </c>
      <c r="D399">
        <v>10</v>
      </c>
      <c r="F399" t="s">
        <v>1277</v>
      </c>
      <c r="G399" t="s">
        <v>1278</v>
      </c>
      <c r="I399" t="s">
        <v>1279</v>
      </c>
      <c r="J399" t="s">
        <v>58</v>
      </c>
      <c r="M399">
        <v>999</v>
      </c>
      <c r="N399">
        <v>999</v>
      </c>
    </row>
    <row r="400" spans="2:16" x14ac:dyDescent="0.2">
      <c r="B400">
        <v>908</v>
      </c>
      <c r="C400">
        <v>11</v>
      </c>
      <c r="D400">
        <v>10</v>
      </c>
      <c r="F400" t="s">
        <v>1280</v>
      </c>
      <c r="G400" t="s">
        <v>1281</v>
      </c>
      <c r="I400" t="s">
        <v>1282</v>
      </c>
      <c r="J400" t="s">
        <v>58</v>
      </c>
      <c r="K400" t="s">
        <v>1283</v>
      </c>
      <c r="M400">
        <v>999</v>
      </c>
      <c r="N400">
        <v>999</v>
      </c>
      <c r="P400">
        <v>32</v>
      </c>
    </row>
    <row r="401" spans="2:16" x14ac:dyDescent="0.2">
      <c r="B401">
        <v>908</v>
      </c>
      <c r="C401">
        <v>11</v>
      </c>
      <c r="D401">
        <v>10</v>
      </c>
      <c r="F401" t="s">
        <v>1284</v>
      </c>
      <c r="G401" t="s">
        <v>1285</v>
      </c>
      <c r="I401" t="s">
        <v>1286</v>
      </c>
      <c r="J401" t="s">
        <v>58</v>
      </c>
      <c r="K401" t="s">
        <v>1283</v>
      </c>
      <c r="M401">
        <v>999</v>
      </c>
      <c r="N401">
        <v>999</v>
      </c>
      <c r="P401">
        <v>64</v>
      </c>
    </row>
    <row r="402" spans="2:16" x14ac:dyDescent="0.2">
      <c r="B402">
        <v>908</v>
      </c>
      <c r="C402">
        <v>11</v>
      </c>
      <c r="D402">
        <v>10</v>
      </c>
      <c r="F402" t="s">
        <v>1287</v>
      </c>
      <c r="G402" t="s">
        <v>1288</v>
      </c>
      <c r="I402" t="s">
        <v>1289</v>
      </c>
      <c r="J402" t="s">
        <v>58</v>
      </c>
      <c r="K402" t="s">
        <v>1283</v>
      </c>
      <c r="M402">
        <v>999</v>
      </c>
      <c r="N402">
        <v>999</v>
      </c>
      <c r="P402">
        <v>16</v>
      </c>
    </row>
    <row r="403" spans="2:16" x14ac:dyDescent="0.2">
      <c r="B403">
        <v>908</v>
      </c>
      <c r="C403">
        <v>11</v>
      </c>
      <c r="D403">
        <v>10</v>
      </c>
      <c r="F403" t="s">
        <v>1290</v>
      </c>
      <c r="G403" t="s">
        <v>1291</v>
      </c>
      <c r="I403" t="s">
        <v>1292</v>
      </c>
      <c r="J403" t="s">
        <v>58</v>
      </c>
      <c r="K403" t="s">
        <v>1283</v>
      </c>
      <c r="M403">
        <v>999</v>
      </c>
      <c r="N403">
        <v>999</v>
      </c>
      <c r="P403">
        <v>64</v>
      </c>
    </row>
    <row r="404" spans="2:16" x14ac:dyDescent="0.2">
      <c r="B404">
        <v>908</v>
      </c>
      <c r="C404">
        <v>11</v>
      </c>
      <c r="D404">
        <v>10</v>
      </c>
      <c r="F404" t="s">
        <v>1293</v>
      </c>
      <c r="G404" t="s">
        <v>1294</v>
      </c>
      <c r="I404" t="s">
        <v>1295</v>
      </c>
      <c r="J404" t="s">
        <v>58</v>
      </c>
      <c r="K404" t="s">
        <v>1283</v>
      </c>
      <c r="M404">
        <v>999</v>
      </c>
      <c r="N404">
        <v>999</v>
      </c>
      <c r="P404">
        <v>16</v>
      </c>
    </row>
    <row r="405" spans="2:16" x14ac:dyDescent="0.2">
      <c r="B405">
        <v>908</v>
      </c>
      <c r="C405">
        <v>11</v>
      </c>
      <c r="D405">
        <v>10</v>
      </c>
      <c r="F405" t="s">
        <v>1277</v>
      </c>
      <c r="G405" t="s">
        <v>1278</v>
      </c>
      <c r="I405" t="s">
        <v>1279</v>
      </c>
      <c r="J405" t="s">
        <v>58</v>
      </c>
      <c r="K405" t="s">
        <v>1283</v>
      </c>
      <c r="M405">
        <v>999</v>
      </c>
      <c r="N405">
        <v>999</v>
      </c>
      <c r="P405">
        <v>16</v>
      </c>
    </row>
    <row r="406" spans="2:16" x14ac:dyDescent="0.2">
      <c r="B406">
        <v>908</v>
      </c>
      <c r="C406">
        <v>12</v>
      </c>
      <c r="D406">
        <v>10</v>
      </c>
      <c r="F406" t="s">
        <v>1296</v>
      </c>
      <c r="G406" t="s">
        <v>1297</v>
      </c>
      <c r="H406" t="s">
        <v>1298</v>
      </c>
      <c r="I406" t="s">
        <v>1299</v>
      </c>
      <c r="J406" t="s">
        <v>58</v>
      </c>
      <c r="K406" t="s">
        <v>1300</v>
      </c>
      <c r="M406">
        <v>999</v>
      </c>
      <c r="N406">
        <v>999</v>
      </c>
      <c r="P406">
        <v>16</v>
      </c>
    </row>
    <row r="407" spans="2:16" x14ac:dyDescent="0.2">
      <c r="B407">
        <v>908</v>
      </c>
      <c r="C407">
        <v>13</v>
      </c>
      <c r="D407">
        <v>10</v>
      </c>
      <c r="F407" t="s">
        <v>1301</v>
      </c>
      <c r="G407" t="s">
        <v>1302</v>
      </c>
      <c r="I407" t="s">
        <v>1303</v>
      </c>
      <c r="J407" t="s">
        <v>58</v>
      </c>
      <c r="K407" t="s">
        <v>1304</v>
      </c>
      <c r="M407">
        <v>999</v>
      </c>
      <c r="N407">
        <v>999</v>
      </c>
      <c r="P407">
        <v>16</v>
      </c>
    </row>
    <row r="408" spans="2:16" x14ac:dyDescent="0.2">
      <c r="B408">
        <v>803</v>
      </c>
      <c r="C408">
        <v>10</v>
      </c>
      <c r="D408">
        <v>10</v>
      </c>
      <c r="F408" t="s">
        <v>1305</v>
      </c>
      <c r="G408" t="s">
        <v>1306</v>
      </c>
      <c r="I408" t="s">
        <v>1307</v>
      </c>
      <c r="J408" t="s">
        <v>49</v>
      </c>
      <c r="M408">
        <v>999</v>
      </c>
      <c r="N408">
        <v>999</v>
      </c>
      <c r="P408">
        <v>16</v>
      </c>
    </row>
    <row r="409" spans="2:16" x14ac:dyDescent="0.2">
      <c r="B409">
        <v>992</v>
      </c>
      <c r="C409">
        <v>10</v>
      </c>
      <c r="D409">
        <v>10</v>
      </c>
      <c r="F409" t="s">
        <v>82</v>
      </c>
      <c r="J409" t="s">
        <v>60</v>
      </c>
    </row>
    <row r="410" spans="2:16" x14ac:dyDescent="0.2">
      <c r="B410">
        <v>992</v>
      </c>
      <c r="C410">
        <v>11</v>
      </c>
      <c r="D410">
        <v>10</v>
      </c>
      <c r="F410" t="s">
        <v>82</v>
      </c>
      <c r="J410" t="s">
        <v>60</v>
      </c>
      <c r="K410" t="s">
        <v>1308</v>
      </c>
    </row>
    <row r="411" spans="2:16" x14ac:dyDescent="0.2">
      <c r="B411">
        <v>992</v>
      </c>
      <c r="C411">
        <v>11</v>
      </c>
      <c r="D411">
        <v>11</v>
      </c>
      <c r="F411" t="s">
        <v>1309</v>
      </c>
      <c r="G411" t="s">
        <v>1310</v>
      </c>
      <c r="J411" t="s">
        <v>60</v>
      </c>
      <c r="K411" t="s">
        <v>1308</v>
      </c>
      <c r="L411" t="s">
        <v>1311</v>
      </c>
      <c r="M411">
        <v>999</v>
      </c>
    </row>
    <row r="412" spans="2:16" x14ac:dyDescent="0.2">
      <c r="B412">
        <v>992</v>
      </c>
      <c r="C412">
        <v>11</v>
      </c>
      <c r="D412">
        <v>12</v>
      </c>
      <c r="F412" t="s">
        <v>1312</v>
      </c>
      <c r="G412" t="s">
        <v>1313</v>
      </c>
      <c r="H412" t="s">
        <v>1314</v>
      </c>
      <c r="J412" t="s">
        <v>60</v>
      </c>
      <c r="K412" t="s">
        <v>1308</v>
      </c>
      <c r="L412" t="s">
        <v>1314</v>
      </c>
      <c r="M412">
        <v>999</v>
      </c>
    </row>
    <row r="413" spans="2:16" x14ac:dyDescent="0.2">
      <c r="B413">
        <v>992</v>
      </c>
      <c r="C413">
        <v>11</v>
      </c>
      <c r="D413">
        <v>13</v>
      </c>
      <c r="F413" t="s">
        <v>1315</v>
      </c>
      <c r="G413" t="s">
        <v>1316</v>
      </c>
      <c r="H413" t="s">
        <v>1317</v>
      </c>
      <c r="J413" t="s">
        <v>60</v>
      </c>
      <c r="K413" t="s">
        <v>1308</v>
      </c>
      <c r="L413" t="s">
        <v>1317</v>
      </c>
      <c r="M413">
        <v>999</v>
      </c>
    </row>
    <row r="414" spans="2:16" x14ac:dyDescent="0.2">
      <c r="B414">
        <v>992</v>
      </c>
      <c r="C414">
        <v>11</v>
      </c>
      <c r="D414">
        <v>14</v>
      </c>
      <c r="F414" t="s">
        <v>1318</v>
      </c>
      <c r="G414" t="s">
        <v>1319</v>
      </c>
      <c r="H414" t="s">
        <v>1320</v>
      </c>
      <c r="J414" t="s">
        <v>60</v>
      </c>
      <c r="K414" t="s">
        <v>1308</v>
      </c>
      <c r="L414" t="s">
        <v>1320</v>
      </c>
      <c r="M414">
        <v>999</v>
      </c>
    </row>
    <row r="415" spans="2:16" x14ac:dyDescent="0.2">
      <c r="B415">
        <v>992</v>
      </c>
      <c r="C415">
        <v>11</v>
      </c>
      <c r="D415">
        <v>15</v>
      </c>
      <c r="F415" t="s">
        <v>1321</v>
      </c>
      <c r="G415" t="s">
        <v>1322</v>
      </c>
      <c r="H415" t="s">
        <v>1323</v>
      </c>
      <c r="J415" t="s">
        <v>60</v>
      </c>
      <c r="K415" t="s">
        <v>1308</v>
      </c>
      <c r="L415" t="s">
        <v>1323</v>
      </c>
      <c r="M415">
        <v>999</v>
      </c>
    </row>
    <row r="416" spans="2:16" x14ac:dyDescent="0.2">
      <c r="B416">
        <v>992</v>
      </c>
      <c r="C416">
        <v>11</v>
      </c>
      <c r="D416">
        <v>16</v>
      </c>
      <c r="F416" t="s">
        <v>1324</v>
      </c>
      <c r="G416" t="s">
        <v>1325</v>
      </c>
      <c r="H416" t="s">
        <v>1326</v>
      </c>
      <c r="J416" t="s">
        <v>60</v>
      </c>
      <c r="K416" t="s">
        <v>1308</v>
      </c>
      <c r="L416" t="s">
        <v>1326</v>
      </c>
      <c r="M416">
        <v>999</v>
      </c>
    </row>
    <row r="417" spans="2:18" x14ac:dyDescent="0.2">
      <c r="B417">
        <v>992</v>
      </c>
      <c r="C417">
        <v>11</v>
      </c>
      <c r="D417">
        <v>17</v>
      </c>
      <c r="F417" t="s">
        <v>1327</v>
      </c>
      <c r="G417" t="s">
        <v>1328</v>
      </c>
      <c r="H417" t="s">
        <v>1329</v>
      </c>
      <c r="J417" t="s">
        <v>60</v>
      </c>
      <c r="K417" t="s">
        <v>1308</v>
      </c>
      <c r="L417" t="s">
        <v>1329</v>
      </c>
      <c r="M417">
        <v>999</v>
      </c>
    </row>
    <row r="418" spans="2:18" x14ac:dyDescent="0.2">
      <c r="B418">
        <v>992</v>
      </c>
      <c r="C418">
        <v>11</v>
      </c>
      <c r="D418" t="e">
        <v>#N/A</v>
      </c>
      <c r="E418" t="e">
        <v>#N/A</v>
      </c>
      <c r="F418" t="s">
        <v>1330</v>
      </c>
      <c r="G418" t="s">
        <v>1331</v>
      </c>
      <c r="J418" t="s">
        <v>60</v>
      </c>
      <c r="K418" t="s">
        <v>1308</v>
      </c>
      <c r="L418" t="s">
        <v>1330</v>
      </c>
      <c r="M418">
        <v>999</v>
      </c>
    </row>
    <row r="419" spans="2:18" x14ac:dyDescent="0.2">
      <c r="B419">
        <v>991</v>
      </c>
      <c r="C419">
        <v>10</v>
      </c>
      <c r="D419">
        <v>10</v>
      </c>
      <c r="F419" t="s">
        <v>82</v>
      </c>
      <c r="J419" t="s">
        <v>59</v>
      </c>
    </row>
    <row r="420" spans="2:18" x14ac:dyDescent="0.2">
      <c r="B420">
        <v>991</v>
      </c>
      <c r="C420">
        <v>11</v>
      </c>
      <c r="D420">
        <v>10</v>
      </c>
      <c r="F420" t="s">
        <v>1332</v>
      </c>
      <c r="G420" t="s">
        <v>1333</v>
      </c>
      <c r="H420" t="s">
        <v>82</v>
      </c>
      <c r="I420" t="s">
        <v>1334</v>
      </c>
      <c r="J420" t="s">
        <v>59</v>
      </c>
      <c r="K420" t="s">
        <v>1283</v>
      </c>
      <c r="M420">
        <v>999</v>
      </c>
      <c r="N420">
        <v>999</v>
      </c>
      <c r="P420">
        <v>32</v>
      </c>
    </row>
    <row r="421" spans="2:18" x14ac:dyDescent="0.2">
      <c r="B421">
        <v>991</v>
      </c>
      <c r="C421">
        <v>11</v>
      </c>
      <c r="D421">
        <v>10</v>
      </c>
      <c r="F421" t="s">
        <v>1335</v>
      </c>
      <c r="G421" t="s">
        <v>1336</v>
      </c>
      <c r="I421" t="s">
        <v>1337</v>
      </c>
      <c r="J421" t="s">
        <v>59</v>
      </c>
      <c r="K421" t="s">
        <v>1283</v>
      </c>
      <c r="M421">
        <v>999</v>
      </c>
      <c r="N421">
        <v>999</v>
      </c>
      <c r="P421">
        <v>32</v>
      </c>
    </row>
    <row r="422" spans="2:18" x14ac:dyDescent="0.2">
      <c r="B422">
        <v>991</v>
      </c>
      <c r="C422">
        <v>11</v>
      </c>
      <c r="D422">
        <v>10</v>
      </c>
      <c r="F422" t="s">
        <v>1338</v>
      </c>
      <c r="G422" t="s">
        <v>1339</v>
      </c>
      <c r="I422" t="s">
        <v>1340</v>
      </c>
      <c r="J422" t="s">
        <v>59</v>
      </c>
      <c r="K422" t="s">
        <v>1283</v>
      </c>
      <c r="M422">
        <v>999</v>
      </c>
      <c r="N422">
        <v>999</v>
      </c>
      <c r="P422">
        <v>32</v>
      </c>
    </row>
    <row r="423" spans="2:18" x14ac:dyDescent="0.2">
      <c r="B423">
        <v>991</v>
      </c>
      <c r="C423">
        <v>11</v>
      </c>
      <c r="D423">
        <v>10</v>
      </c>
      <c r="F423" t="s">
        <v>1341</v>
      </c>
      <c r="G423" t="s">
        <v>1342</v>
      </c>
      <c r="H423" t="s">
        <v>82</v>
      </c>
      <c r="J423" t="s">
        <v>59</v>
      </c>
      <c r="K423" t="s">
        <v>1283</v>
      </c>
      <c r="M423">
        <v>999</v>
      </c>
      <c r="Q423" t="s">
        <v>557</v>
      </c>
      <c r="R423" t="s">
        <v>558</v>
      </c>
    </row>
    <row r="424" spans="2:18" x14ac:dyDescent="0.2">
      <c r="B424">
        <v>991</v>
      </c>
      <c r="C424">
        <v>12</v>
      </c>
      <c r="D424">
        <v>11</v>
      </c>
      <c r="F424" t="s">
        <v>1343</v>
      </c>
      <c r="G424" t="s">
        <v>1344</v>
      </c>
      <c r="H424" t="s">
        <v>1345</v>
      </c>
      <c r="J424" t="s">
        <v>59</v>
      </c>
      <c r="K424" t="s">
        <v>46</v>
      </c>
      <c r="L424" t="s">
        <v>1346</v>
      </c>
      <c r="M424">
        <v>999</v>
      </c>
    </row>
    <row r="425" spans="2:18" x14ac:dyDescent="0.2">
      <c r="B425">
        <v>991</v>
      </c>
      <c r="C425">
        <v>12</v>
      </c>
      <c r="D425">
        <v>11</v>
      </c>
      <c r="F425" t="s">
        <v>1347</v>
      </c>
      <c r="G425" t="s">
        <v>1348</v>
      </c>
      <c r="H425" t="s">
        <v>1349</v>
      </c>
      <c r="J425" t="s">
        <v>59</v>
      </c>
      <c r="K425" t="s">
        <v>46</v>
      </c>
      <c r="L425" t="s">
        <v>1346</v>
      </c>
      <c r="M425">
        <v>999</v>
      </c>
    </row>
    <row r="426" spans="2:18" x14ac:dyDescent="0.2">
      <c r="B426">
        <v>991</v>
      </c>
      <c r="C426">
        <v>12</v>
      </c>
      <c r="D426">
        <v>11</v>
      </c>
      <c r="F426" t="s">
        <v>1350</v>
      </c>
      <c r="G426" t="s">
        <v>1351</v>
      </c>
      <c r="H426" t="s">
        <v>1352</v>
      </c>
      <c r="J426" t="s">
        <v>59</v>
      </c>
      <c r="K426" t="s">
        <v>46</v>
      </c>
      <c r="L426" t="s">
        <v>1346</v>
      </c>
      <c r="M426">
        <v>999</v>
      </c>
    </row>
    <row r="427" spans="2:18" x14ac:dyDescent="0.2">
      <c r="B427">
        <v>991</v>
      </c>
      <c r="C427">
        <v>12</v>
      </c>
      <c r="D427">
        <v>11</v>
      </c>
      <c r="F427" t="s">
        <v>1353</v>
      </c>
      <c r="G427" t="s">
        <v>1354</v>
      </c>
      <c r="H427" t="s">
        <v>1355</v>
      </c>
      <c r="J427" t="s">
        <v>59</v>
      </c>
      <c r="K427" t="s">
        <v>46</v>
      </c>
      <c r="L427" t="s">
        <v>1346</v>
      </c>
      <c r="M427">
        <v>999</v>
      </c>
    </row>
    <row r="428" spans="2:18" x14ac:dyDescent="0.2">
      <c r="B428">
        <v>991</v>
      </c>
      <c r="C428">
        <v>12</v>
      </c>
      <c r="D428">
        <v>12</v>
      </c>
      <c r="F428" t="s">
        <v>1356</v>
      </c>
      <c r="G428" t="s">
        <v>1357</v>
      </c>
      <c r="J428" t="s">
        <v>59</v>
      </c>
      <c r="K428" t="s">
        <v>46</v>
      </c>
      <c r="L428" t="s">
        <v>1358</v>
      </c>
      <c r="M428">
        <v>999</v>
      </c>
    </row>
    <row r="429" spans="2:18" x14ac:dyDescent="0.2">
      <c r="B429">
        <v>991</v>
      </c>
      <c r="C429">
        <v>12</v>
      </c>
      <c r="D429">
        <v>12</v>
      </c>
      <c r="F429" t="s">
        <v>1359</v>
      </c>
      <c r="G429" t="s">
        <v>1360</v>
      </c>
      <c r="H429" t="s">
        <v>1361</v>
      </c>
      <c r="J429" t="s">
        <v>59</v>
      </c>
      <c r="K429" t="s">
        <v>46</v>
      </c>
      <c r="L429" t="s">
        <v>1358</v>
      </c>
      <c r="M429">
        <v>999</v>
      </c>
    </row>
    <row r="430" spans="2:18" x14ac:dyDescent="0.2">
      <c r="B430">
        <v>991</v>
      </c>
      <c r="C430">
        <v>12</v>
      </c>
      <c r="D430">
        <v>12</v>
      </c>
      <c r="F430" t="s">
        <v>1362</v>
      </c>
      <c r="G430" t="s">
        <v>1363</v>
      </c>
      <c r="H430" t="s">
        <v>1364</v>
      </c>
      <c r="J430" t="s">
        <v>59</v>
      </c>
      <c r="K430" t="s">
        <v>46</v>
      </c>
      <c r="L430" t="s">
        <v>1358</v>
      </c>
      <c r="M430">
        <v>999</v>
      </c>
    </row>
    <row r="431" spans="2:18" x14ac:dyDescent="0.2">
      <c r="B431">
        <v>991</v>
      </c>
      <c r="C431">
        <v>12</v>
      </c>
      <c r="D431">
        <v>12</v>
      </c>
      <c r="F431" t="s">
        <v>1365</v>
      </c>
      <c r="G431" t="s">
        <v>1366</v>
      </c>
      <c r="H431" t="s">
        <v>1367</v>
      </c>
      <c r="J431" t="s">
        <v>59</v>
      </c>
      <c r="K431" t="s">
        <v>46</v>
      </c>
      <c r="L431" t="s">
        <v>1358</v>
      </c>
      <c r="M431">
        <v>999</v>
      </c>
    </row>
    <row r="432" spans="2:18" x14ac:dyDescent="0.2">
      <c r="B432">
        <v>991</v>
      </c>
      <c r="C432">
        <v>12</v>
      </c>
      <c r="D432">
        <v>13</v>
      </c>
      <c r="F432" t="s">
        <v>1368</v>
      </c>
      <c r="G432" t="s">
        <v>1369</v>
      </c>
      <c r="J432" t="s">
        <v>59</v>
      </c>
      <c r="K432" t="s">
        <v>46</v>
      </c>
      <c r="L432" t="s">
        <v>1370</v>
      </c>
      <c r="M432">
        <v>999</v>
      </c>
    </row>
    <row r="433" spans="2:13" x14ac:dyDescent="0.2">
      <c r="B433">
        <v>991</v>
      </c>
      <c r="C433">
        <v>12</v>
      </c>
      <c r="D433">
        <v>13</v>
      </c>
      <c r="F433" t="s">
        <v>1371</v>
      </c>
      <c r="G433" t="s">
        <v>1372</v>
      </c>
      <c r="J433" t="s">
        <v>59</v>
      </c>
      <c r="K433" t="s">
        <v>46</v>
      </c>
      <c r="L433" t="s">
        <v>1370</v>
      </c>
      <c r="M433">
        <v>999</v>
      </c>
    </row>
    <row r="434" spans="2:13" x14ac:dyDescent="0.2">
      <c r="B434">
        <v>991</v>
      </c>
      <c r="C434">
        <v>12</v>
      </c>
      <c r="D434">
        <v>13</v>
      </c>
      <c r="F434" t="s">
        <v>1373</v>
      </c>
      <c r="G434" t="s">
        <v>1374</v>
      </c>
      <c r="H434" t="s">
        <v>1375</v>
      </c>
      <c r="J434" t="s">
        <v>59</v>
      </c>
      <c r="K434" t="s">
        <v>46</v>
      </c>
      <c r="L434" t="s">
        <v>1370</v>
      </c>
      <c r="M434">
        <v>999</v>
      </c>
    </row>
    <row r="435" spans="2:13" x14ac:dyDescent="0.2">
      <c r="B435">
        <v>991</v>
      </c>
      <c r="C435">
        <v>12</v>
      </c>
      <c r="D435">
        <v>13</v>
      </c>
      <c r="F435" t="s">
        <v>1376</v>
      </c>
      <c r="G435" t="s">
        <v>1377</v>
      </c>
      <c r="H435" t="s">
        <v>1378</v>
      </c>
      <c r="J435" t="s">
        <v>59</v>
      </c>
      <c r="K435" t="s">
        <v>46</v>
      </c>
      <c r="L435" t="s">
        <v>1370</v>
      </c>
      <c r="M435">
        <v>999</v>
      </c>
    </row>
    <row r="436" spans="2:13" x14ac:dyDescent="0.2">
      <c r="B436">
        <v>991</v>
      </c>
      <c r="C436">
        <v>12</v>
      </c>
      <c r="D436">
        <v>13</v>
      </c>
      <c r="F436" t="s">
        <v>1379</v>
      </c>
      <c r="G436" t="s">
        <v>1380</v>
      </c>
      <c r="H436" t="s">
        <v>1381</v>
      </c>
      <c r="J436" t="s">
        <v>59</v>
      </c>
      <c r="K436" t="s">
        <v>46</v>
      </c>
      <c r="L436" t="s">
        <v>1370</v>
      </c>
      <c r="M436">
        <v>999</v>
      </c>
    </row>
    <row r="437" spans="2:13" x14ac:dyDescent="0.2">
      <c r="B437">
        <v>991</v>
      </c>
      <c r="C437">
        <v>12</v>
      </c>
      <c r="D437">
        <v>13</v>
      </c>
      <c r="F437" t="s">
        <v>1382</v>
      </c>
      <c r="G437" t="s">
        <v>1383</v>
      </c>
      <c r="J437" t="s">
        <v>59</v>
      </c>
      <c r="K437" t="s">
        <v>46</v>
      </c>
      <c r="L437" t="s">
        <v>1370</v>
      </c>
      <c r="M437">
        <v>999</v>
      </c>
    </row>
    <row r="438" spans="2:13" x14ac:dyDescent="0.2">
      <c r="B438">
        <v>991</v>
      </c>
      <c r="C438">
        <v>12</v>
      </c>
      <c r="D438">
        <v>13</v>
      </c>
      <c r="F438" t="s">
        <v>1384</v>
      </c>
      <c r="G438" t="s">
        <v>1385</v>
      </c>
      <c r="J438" t="s">
        <v>59</v>
      </c>
      <c r="K438" t="s">
        <v>46</v>
      </c>
      <c r="L438" t="s">
        <v>1370</v>
      </c>
      <c r="M438">
        <v>999</v>
      </c>
    </row>
    <row r="439" spans="2:13" x14ac:dyDescent="0.2">
      <c r="B439">
        <v>991</v>
      </c>
      <c r="C439">
        <v>12</v>
      </c>
      <c r="D439">
        <v>13</v>
      </c>
      <c r="F439" t="s">
        <v>1386</v>
      </c>
      <c r="G439" t="s">
        <v>1387</v>
      </c>
      <c r="J439" t="s">
        <v>59</v>
      </c>
      <c r="K439" t="s">
        <v>46</v>
      </c>
      <c r="L439" t="s">
        <v>1370</v>
      </c>
      <c r="M439">
        <v>999</v>
      </c>
    </row>
    <row r="440" spans="2:13" x14ac:dyDescent="0.2">
      <c r="B440">
        <v>991</v>
      </c>
      <c r="C440">
        <v>12</v>
      </c>
      <c r="D440">
        <v>13</v>
      </c>
      <c r="F440" t="s">
        <v>1388</v>
      </c>
      <c r="G440" t="s">
        <v>1389</v>
      </c>
      <c r="J440" t="s">
        <v>59</v>
      </c>
      <c r="K440" t="s">
        <v>46</v>
      </c>
      <c r="L440" t="s">
        <v>1370</v>
      </c>
      <c r="M440">
        <v>999</v>
      </c>
    </row>
    <row r="441" spans="2:13" x14ac:dyDescent="0.2">
      <c r="B441">
        <v>991</v>
      </c>
      <c r="C441">
        <v>12</v>
      </c>
      <c r="D441">
        <v>13</v>
      </c>
      <c r="F441" t="s">
        <v>1390</v>
      </c>
      <c r="G441" t="s">
        <v>1391</v>
      </c>
      <c r="J441" t="s">
        <v>59</v>
      </c>
      <c r="K441" t="s">
        <v>46</v>
      </c>
      <c r="L441" t="s">
        <v>1370</v>
      </c>
      <c r="M441">
        <v>999</v>
      </c>
    </row>
    <row r="442" spans="2:13" x14ac:dyDescent="0.2">
      <c r="B442">
        <v>991</v>
      </c>
      <c r="C442">
        <v>12</v>
      </c>
      <c r="D442">
        <v>13</v>
      </c>
      <c r="F442" t="s">
        <v>1392</v>
      </c>
      <c r="G442" t="s">
        <v>1393</v>
      </c>
      <c r="J442" t="s">
        <v>59</v>
      </c>
      <c r="K442" t="s">
        <v>46</v>
      </c>
      <c r="L442" t="s">
        <v>1370</v>
      </c>
      <c r="M442">
        <v>999</v>
      </c>
    </row>
    <row r="443" spans="2:13" x14ac:dyDescent="0.2">
      <c r="B443">
        <v>991</v>
      </c>
      <c r="C443">
        <v>12</v>
      </c>
      <c r="D443">
        <v>13</v>
      </c>
      <c r="F443" t="s">
        <v>1394</v>
      </c>
      <c r="G443" t="s">
        <v>1395</v>
      </c>
      <c r="H443" t="s">
        <v>1396</v>
      </c>
      <c r="J443" t="s">
        <v>59</v>
      </c>
      <c r="K443" t="s">
        <v>46</v>
      </c>
      <c r="L443" t="s">
        <v>1370</v>
      </c>
      <c r="M443">
        <v>999</v>
      </c>
    </row>
    <row r="444" spans="2:13" x14ac:dyDescent="0.2">
      <c r="B444">
        <v>991</v>
      </c>
      <c r="C444">
        <v>12</v>
      </c>
      <c r="D444">
        <v>13</v>
      </c>
      <c r="F444" t="s">
        <v>1397</v>
      </c>
      <c r="G444" t="s">
        <v>1398</v>
      </c>
      <c r="J444" t="s">
        <v>59</v>
      </c>
      <c r="K444" t="s">
        <v>46</v>
      </c>
      <c r="L444" t="s">
        <v>1370</v>
      </c>
      <c r="M444">
        <v>999</v>
      </c>
    </row>
    <row r="445" spans="2:13" x14ac:dyDescent="0.2">
      <c r="B445">
        <v>991</v>
      </c>
      <c r="C445">
        <v>12</v>
      </c>
      <c r="D445">
        <v>13</v>
      </c>
      <c r="F445" t="s">
        <v>1399</v>
      </c>
      <c r="G445" t="s">
        <v>1400</v>
      </c>
      <c r="J445" t="s">
        <v>59</v>
      </c>
      <c r="K445" t="s">
        <v>46</v>
      </c>
      <c r="L445" t="s">
        <v>1370</v>
      </c>
      <c r="M445">
        <v>999</v>
      </c>
    </row>
    <row r="446" spans="2:13" x14ac:dyDescent="0.2">
      <c r="B446">
        <v>991</v>
      </c>
      <c r="C446">
        <v>12</v>
      </c>
      <c r="D446">
        <v>13</v>
      </c>
      <c r="F446" t="s">
        <v>1401</v>
      </c>
      <c r="G446" t="s">
        <v>1402</v>
      </c>
      <c r="J446" t="s">
        <v>59</v>
      </c>
      <c r="K446" t="s">
        <v>46</v>
      </c>
      <c r="L446" t="s">
        <v>1370</v>
      </c>
      <c r="M446">
        <v>999</v>
      </c>
    </row>
    <row r="447" spans="2:13" x14ac:dyDescent="0.2">
      <c r="B447">
        <v>991</v>
      </c>
      <c r="C447">
        <v>12</v>
      </c>
      <c r="D447">
        <v>13</v>
      </c>
      <c r="F447" t="s">
        <v>1403</v>
      </c>
      <c r="G447" t="s">
        <v>1404</v>
      </c>
      <c r="J447" t="s">
        <v>59</v>
      </c>
      <c r="K447" t="s">
        <v>46</v>
      </c>
      <c r="L447" t="s">
        <v>1370</v>
      </c>
      <c r="M447">
        <v>999</v>
      </c>
    </row>
    <row r="448" spans="2:13" x14ac:dyDescent="0.2">
      <c r="B448">
        <v>991</v>
      </c>
      <c r="C448">
        <v>12</v>
      </c>
      <c r="D448">
        <v>13</v>
      </c>
      <c r="F448" t="s">
        <v>1405</v>
      </c>
      <c r="G448" t="s">
        <v>1406</v>
      </c>
      <c r="H448" t="s">
        <v>1407</v>
      </c>
      <c r="J448" t="s">
        <v>59</v>
      </c>
      <c r="K448" t="s">
        <v>46</v>
      </c>
      <c r="L448" t="s">
        <v>1370</v>
      </c>
      <c r="M448">
        <v>999</v>
      </c>
    </row>
    <row r="449" spans="2:13" x14ac:dyDescent="0.2">
      <c r="B449">
        <v>991</v>
      </c>
      <c r="C449">
        <v>12</v>
      </c>
      <c r="D449">
        <v>13</v>
      </c>
      <c r="F449" t="s">
        <v>1408</v>
      </c>
      <c r="G449" t="s">
        <v>1409</v>
      </c>
      <c r="H449" t="s">
        <v>1410</v>
      </c>
      <c r="J449" t="s">
        <v>59</v>
      </c>
      <c r="K449" t="s">
        <v>46</v>
      </c>
      <c r="L449" t="s">
        <v>1370</v>
      </c>
      <c r="M449">
        <v>999</v>
      </c>
    </row>
    <row r="450" spans="2:13" x14ac:dyDescent="0.2">
      <c r="B450">
        <v>991</v>
      </c>
      <c r="C450">
        <v>12</v>
      </c>
      <c r="D450">
        <v>13</v>
      </c>
      <c r="F450" t="s">
        <v>1411</v>
      </c>
      <c r="G450" t="s">
        <v>1412</v>
      </c>
      <c r="J450" t="s">
        <v>59</v>
      </c>
      <c r="K450" t="s">
        <v>46</v>
      </c>
      <c r="L450" t="s">
        <v>1370</v>
      </c>
      <c r="M450">
        <v>999</v>
      </c>
    </row>
    <row r="451" spans="2:13" x14ac:dyDescent="0.2">
      <c r="B451">
        <v>991</v>
      </c>
      <c r="C451">
        <v>12</v>
      </c>
      <c r="D451">
        <v>13</v>
      </c>
      <c r="F451" t="s">
        <v>1413</v>
      </c>
      <c r="G451" t="s">
        <v>1414</v>
      </c>
      <c r="H451" t="s">
        <v>1415</v>
      </c>
      <c r="J451" t="s">
        <v>59</v>
      </c>
      <c r="K451" t="s">
        <v>46</v>
      </c>
      <c r="L451" t="s">
        <v>1370</v>
      </c>
      <c r="M451">
        <v>999</v>
      </c>
    </row>
    <row r="452" spans="2:13" x14ac:dyDescent="0.2">
      <c r="B452">
        <v>991</v>
      </c>
      <c r="C452">
        <v>12</v>
      </c>
      <c r="D452">
        <v>13</v>
      </c>
      <c r="F452" t="s">
        <v>1416</v>
      </c>
      <c r="G452" t="s">
        <v>1417</v>
      </c>
      <c r="H452" t="s">
        <v>1418</v>
      </c>
      <c r="J452" t="s">
        <v>59</v>
      </c>
      <c r="K452" t="s">
        <v>46</v>
      </c>
      <c r="L452" t="s">
        <v>1370</v>
      </c>
      <c r="M452">
        <v>999</v>
      </c>
    </row>
    <row r="453" spans="2:13" x14ac:dyDescent="0.2">
      <c r="B453">
        <v>991</v>
      </c>
      <c r="C453">
        <v>12</v>
      </c>
      <c r="D453">
        <v>13</v>
      </c>
      <c r="F453" t="s">
        <v>1419</v>
      </c>
      <c r="G453" t="s">
        <v>1420</v>
      </c>
      <c r="H453" t="s">
        <v>1421</v>
      </c>
      <c r="J453" t="s">
        <v>59</v>
      </c>
      <c r="K453" t="s">
        <v>46</v>
      </c>
      <c r="L453" t="s">
        <v>1370</v>
      </c>
      <c r="M453">
        <v>999</v>
      </c>
    </row>
    <row r="454" spans="2:13" x14ac:dyDescent="0.2">
      <c r="B454">
        <v>991</v>
      </c>
      <c r="C454">
        <v>12</v>
      </c>
      <c r="D454">
        <v>13</v>
      </c>
      <c r="F454" t="s">
        <v>1422</v>
      </c>
      <c r="G454" t="s">
        <v>1423</v>
      </c>
      <c r="H454" t="s">
        <v>1424</v>
      </c>
      <c r="J454" t="s">
        <v>59</v>
      </c>
      <c r="K454" t="s">
        <v>46</v>
      </c>
      <c r="L454" t="s">
        <v>1370</v>
      </c>
      <c r="M454">
        <v>999</v>
      </c>
    </row>
    <row r="455" spans="2:13" x14ac:dyDescent="0.2">
      <c r="B455">
        <v>991</v>
      </c>
      <c r="C455">
        <v>12</v>
      </c>
      <c r="D455">
        <v>13</v>
      </c>
      <c r="F455" t="s">
        <v>1425</v>
      </c>
      <c r="G455" t="s">
        <v>1426</v>
      </c>
      <c r="J455" t="s">
        <v>59</v>
      </c>
      <c r="K455" t="s">
        <v>46</v>
      </c>
      <c r="L455" t="s">
        <v>1370</v>
      </c>
      <c r="M455">
        <v>999</v>
      </c>
    </row>
    <row r="456" spans="2:13" x14ac:dyDescent="0.2">
      <c r="B456">
        <v>991</v>
      </c>
      <c r="C456">
        <v>12</v>
      </c>
      <c r="D456">
        <v>13</v>
      </c>
      <c r="F456" t="s">
        <v>1427</v>
      </c>
      <c r="G456" t="s">
        <v>1428</v>
      </c>
      <c r="J456" t="s">
        <v>59</v>
      </c>
      <c r="K456" t="s">
        <v>46</v>
      </c>
      <c r="L456" t="s">
        <v>1370</v>
      </c>
      <c r="M456">
        <v>999</v>
      </c>
    </row>
    <row r="457" spans="2:13" x14ac:dyDescent="0.2">
      <c r="B457">
        <v>991</v>
      </c>
      <c r="C457">
        <v>12</v>
      </c>
      <c r="D457">
        <v>13</v>
      </c>
      <c r="F457" t="s">
        <v>1429</v>
      </c>
      <c r="G457" t="s">
        <v>1430</v>
      </c>
      <c r="J457" t="s">
        <v>59</v>
      </c>
      <c r="K457" t="s">
        <v>46</v>
      </c>
      <c r="L457" t="s">
        <v>1370</v>
      </c>
      <c r="M457">
        <v>999</v>
      </c>
    </row>
    <row r="458" spans="2:13" x14ac:dyDescent="0.2">
      <c r="B458">
        <v>991</v>
      </c>
      <c r="C458">
        <v>12</v>
      </c>
      <c r="D458">
        <v>13</v>
      </c>
      <c r="F458" t="s">
        <v>1431</v>
      </c>
      <c r="G458" t="s">
        <v>1432</v>
      </c>
      <c r="H458" t="s">
        <v>1433</v>
      </c>
      <c r="J458" t="s">
        <v>59</v>
      </c>
      <c r="K458" t="s">
        <v>46</v>
      </c>
      <c r="L458" t="s">
        <v>1370</v>
      </c>
      <c r="M458">
        <v>999</v>
      </c>
    </row>
    <row r="459" spans="2:13" x14ac:dyDescent="0.2">
      <c r="B459">
        <v>991</v>
      </c>
      <c r="C459">
        <v>12</v>
      </c>
      <c r="D459">
        <v>13</v>
      </c>
      <c r="F459" t="s">
        <v>1434</v>
      </c>
      <c r="G459" t="s">
        <v>1435</v>
      </c>
      <c r="H459" t="s">
        <v>1436</v>
      </c>
      <c r="J459" t="s">
        <v>59</v>
      </c>
      <c r="K459" t="s">
        <v>46</v>
      </c>
      <c r="L459" t="s">
        <v>1370</v>
      </c>
      <c r="M459">
        <v>999</v>
      </c>
    </row>
    <row r="460" spans="2:13" x14ac:dyDescent="0.2">
      <c r="B460">
        <v>991</v>
      </c>
      <c r="C460">
        <v>12</v>
      </c>
      <c r="D460">
        <v>13</v>
      </c>
      <c r="F460" t="s">
        <v>1437</v>
      </c>
      <c r="G460" t="s">
        <v>1438</v>
      </c>
      <c r="J460" t="s">
        <v>59</v>
      </c>
      <c r="K460" t="s">
        <v>46</v>
      </c>
      <c r="L460" t="s">
        <v>1370</v>
      </c>
      <c r="M460">
        <v>999</v>
      </c>
    </row>
    <row r="461" spans="2:13" x14ac:dyDescent="0.2">
      <c r="B461">
        <v>991</v>
      </c>
      <c r="C461">
        <v>12</v>
      </c>
      <c r="D461">
        <v>13</v>
      </c>
      <c r="F461" t="s">
        <v>1439</v>
      </c>
      <c r="G461" t="s">
        <v>1440</v>
      </c>
      <c r="J461" t="s">
        <v>59</v>
      </c>
      <c r="K461" t="s">
        <v>46</v>
      </c>
      <c r="L461" t="s">
        <v>1370</v>
      </c>
      <c r="M461">
        <v>999</v>
      </c>
    </row>
    <row r="462" spans="2:13" x14ac:dyDescent="0.2">
      <c r="B462">
        <v>991</v>
      </c>
      <c r="C462">
        <v>12</v>
      </c>
      <c r="D462">
        <v>13</v>
      </c>
      <c r="F462" t="s">
        <v>1441</v>
      </c>
      <c r="G462" t="s">
        <v>1442</v>
      </c>
      <c r="J462" t="s">
        <v>59</v>
      </c>
      <c r="K462" t="s">
        <v>46</v>
      </c>
      <c r="L462" t="s">
        <v>1370</v>
      </c>
      <c r="M462">
        <v>999</v>
      </c>
    </row>
    <row r="463" spans="2:13" x14ac:dyDescent="0.2">
      <c r="B463">
        <v>991</v>
      </c>
      <c r="C463">
        <v>12</v>
      </c>
      <c r="D463">
        <v>13</v>
      </c>
      <c r="F463" t="s">
        <v>1443</v>
      </c>
      <c r="G463" t="s">
        <v>1444</v>
      </c>
      <c r="H463" t="s">
        <v>1445</v>
      </c>
      <c r="J463" t="s">
        <v>59</v>
      </c>
      <c r="K463" t="s">
        <v>46</v>
      </c>
      <c r="L463" t="s">
        <v>1370</v>
      </c>
      <c r="M463">
        <v>999</v>
      </c>
    </row>
    <row r="464" spans="2:13" x14ac:dyDescent="0.2">
      <c r="B464">
        <v>991</v>
      </c>
      <c r="C464">
        <v>12</v>
      </c>
      <c r="D464">
        <v>13</v>
      </c>
      <c r="F464" t="s">
        <v>1446</v>
      </c>
      <c r="G464" t="s">
        <v>1447</v>
      </c>
      <c r="J464" t="s">
        <v>59</v>
      </c>
      <c r="K464" t="s">
        <v>46</v>
      </c>
      <c r="L464" t="s">
        <v>1370</v>
      </c>
      <c r="M464">
        <v>999</v>
      </c>
    </row>
    <row r="465" spans="2:13" x14ac:dyDescent="0.2">
      <c r="B465">
        <v>991</v>
      </c>
      <c r="C465">
        <v>12</v>
      </c>
      <c r="D465">
        <v>13</v>
      </c>
      <c r="F465" t="s">
        <v>1448</v>
      </c>
      <c r="G465" t="s">
        <v>1449</v>
      </c>
      <c r="J465" t="s">
        <v>59</v>
      </c>
      <c r="K465" t="s">
        <v>46</v>
      </c>
      <c r="L465" t="s">
        <v>1370</v>
      </c>
      <c r="M465">
        <v>999</v>
      </c>
    </row>
    <row r="466" spans="2:13" x14ac:dyDescent="0.2">
      <c r="B466">
        <v>991</v>
      </c>
      <c r="C466">
        <v>12</v>
      </c>
      <c r="D466">
        <v>13</v>
      </c>
      <c r="F466" t="s">
        <v>1450</v>
      </c>
      <c r="G466" t="s">
        <v>1451</v>
      </c>
      <c r="J466" t="s">
        <v>59</v>
      </c>
      <c r="K466" t="s">
        <v>46</v>
      </c>
      <c r="L466" t="s">
        <v>1370</v>
      </c>
      <c r="M466">
        <v>999</v>
      </c>
    </row>
    <row r="467" spans="2:13" x14ac:dyDescent="0.2">
      <c r="B467">
        <v>991</v>
      </c>
      <c r="C467">
        <v>12</v>
      </c>
      <c r="D467">
        <v>13</v>
      </c>
      <c r="F467" t="s">
        <v>1452</v>
      </c>
      <c r="G467" t="s">
        <v>1453</v>
      </c>
      <c r="J467" t="s">
        <v>59</v>
      </c>
      <c r="K467" t="s">
        <v>46</v>
      </c>
      <c r="L467" t="s">
        <v>1370</v>
      </c>
      <c r="M467">
        <v>999</v>
      </c>
    </row>
    <row r="468" spans="2:13" x14ac:dyDescent="0.2">
      <c r="B468">
        <v>991</v>
      </c>
      <c r="C468">
        <v>12</v>
      </c>
      <c r="D468">
        <v>13</v>
      </c>
      <c r="F468" t="s">
        <v>1454</v>
      </c>
      <c r="G468" t="s">
        <v>1455</v>
      </c>
      <c r="J468" t="s">
        <v>59</v>
      </c>
      <c r="K468" t="s">
        <v>46</v>
      </c>
      <c r="L468" t="s">
        <v>1370</v>
      </c>
      <c r="M468">
        <v>999</v>
      </c>
    </row>
    <row r="469" spans="2:13" x14ac:dyDescent="0.2">
      <c r="B469">
        <v>991</v>
      </c>
      <c r="C469">
        <v>12</v>
      </c>
      <c r="D469">
        <v>13</v>
      </c>
      <c r="F469" t="s">
        <v>1456</v>
      </c>
      <c r="G469" t="s">
        <v>1457</v>
      </c>
      <c r="H469" t="s">
        <v>1458</v>
      </c>
      <c r="J469" t="s">
        <v>59</v>
      </c>
      <c r="K469" t="s">
        <v>46</v>
      </c>
      <c r="L469" t="s">
        <v>1370</v>
      </c>
      <c r="M469">
        <v>999</v>
      </c>
    </row>
    <row r="470" spans="2:13" x14ac:dyDescent="0.2">
      <c r="B470">
        <v>991</v>
      </c>
      <c r="C470">
        <v>12</v>
      </c>
      <c r="D470">
        <v>13</v>
      </c>
      <c r="F470" t="s">
        <v>1459</v>
      </c>
      <c r="G470" t="s">
        <v>1460</v>
      </c>
      <c r="J470" t="s">
        <v>59</v>
      </c>
      <c r="K470" t="s">
        <v>46</v>
      </c>
      <c r="L470" t="s">
        <v>1370</v>
      </c>
      <c r="M470">
        <v>999</v>
      </c>
    </row>
    <row r="471" spans="2:13" x14ac:dyDescent="0.2">
      <c r="B471">
        <v>991</v>
      </c>
      <c r="C471">
        <v>12</v>
      </c>
      <c r="D471">
        <v>13</v>
      </c>
      <c r="F471" t="s">
        <v>1461</v>
      </c>
      <c r="G471" t="s">
        <v>1462</v>
      </c>
      <c r="J471" t="s">
        <v>59</v>
      </c>
      <c r="K471" t="s">
        <v>46</v>
      </c>
      <c r="L471" t="s">
        <v>1370</v>
      </c>
      <c r="M471">
        <v>999</v>
      </c>
    </row>
    <row r="472" spans="2:13" x14ac:dyDescent="0.2">
      <c r="B472">
        <v>991</v>
      </c>
      <c r="C472">
        <v>12</v>
      </c>
      <c r="D472">
        <v>13</v>
      </c>
      <c r="F472" t="s">
        <v>1463</v>
      </c>
      <c r="G472" t="s">
        <v>1464</v>
      </c>
      <c r="J472" t="s">
        <v>59</v>
      </c>
      <c r="K472" t="s">
        <v>46</v>
      </c>
      <c r="L472" t="s">
        <v>1370</v>
      </c>
      <c r="M472">
        <v>999</v>
      </c>
    </row>
    <row r="473" spans="2:13" x14ac:dyDescent="0.2">
      <c r="B473">
        <v>991</v>
      </c>
      <c r="C473">
        <v>12</v>
      </c>
      <c r="D473">
        <v>13</v>
      </c>
      <c r="F473" t="s">
        <v>1465</v>
      </c>
      <c r="G473" t="s">
        <v>1466</v>
      </c>
      <c r="H473" t="s">
        <v>1467</v>
      </c>
      <c r="J473" t="s">
        <v>59</v>
      </c>
      <c r="K473" t="s">
        <v>46</v>
      </c>
      <c r="L473" t="s">
        <v>1370</v>
      </c>
      <c r="M473">
        <v>999</v>
      </c>
    </row>
    <row r="474" spans="2:13" x14ac:dyDescent="0.2">
      <c r="B474">
        <v>991</v>
      </c>
      <c r="C474">
        <v>12</v>
      </c>
      <c r="D474">
        <v>13</v>
      </c>
      <c r="F474" t="s">
        <v>1468</v>
      </c>
      <c r="G474" t="s">
        <v>1469</v>
      </c>
      <c r="J474" t="s">
        <v>59</v>
      </c>
      <c r="K474" t="s">
        <v>46</v>
      </c>
      <c r="L474" t="s">
        <v>1370</v>
      </c>
      <c r="M474">
        <v>999</v>
      </c>
    </row>
    <row r="475" spans="2:13" x14ac:dyDescent="0.2">
      <c r="B475">
        <v>991</v>
      </c>
      <c r="C475">
        <v>12</v>
      </c>
      <c r="D475">
        <v>14</v>
      </c>
      <c r="F475" t="s">
        <v>1470</v>
      </c>
      <c r="G475" t="s">
        <v>1471</v>
      </c>
      <c r="J475" t="s">
        <v>59</v>
      </c>
      <c r="K475" t="s">
        <v>46</v>
      </c>
      <c r="L475" t="s">
        <v>1283</v>
      </c>
      <c r="M475">
        <v>999</v>
      </c>
    </row>
    <row r="476" spans="2:13" x14ac:dyDescent="0.2">
      <c r="B476">
        <v>991</v>
      </c>
      <c r="C476">
        <v>12</v>
      </c>
      <c r="D476">
        <v>14</v>
      </c>
      <c r="F476" t="s">
        <v>1472</v>
      </c>
      <c r="G476" t="s">
        <v>1473</v>
      </c>
      <c r="J476" t="s">
        <v>59</v>
      </c>
      <c r="K476" t="s">
        <v>46</v>
      </c>
      <c r="L476" t="s">
        <v>1283</v>
      </c>
      <c r="M476">
        <v>999</v>
      </c>
    </row>
    <row r="477" spans="2:13" x14ac:dyDescent="0.2">
      <c r="B477">
        <v>991</v>
      </c>
      <c r="C477">
        <v>12</v>
      </c>
      <c r="D477">
        <v>14</v>
      </c>
      <c r="F477" t="s">
        <v>1474</v>
      </c>
      <c r="G477" t="s">
        <v>1475</v>
      </c>
      <c r="J477" t="s">
        <v>59</v>
      </c>
      <c r="K477" t="s">
        <v>46</v>
      </c>
      <c r="L477" t="s">
        <v>1283</v>
      </c>
      <c r="M477">
        <v>999</v>
      </c>
    </row>
    <row r="478" spans="2:13" x14ac:dyDescent="0.2">
      <c r="B478">
        <v>991</v>
      </c>
      <c r="C478">
        <v>12</v>
      </c>
      <c r="D478">
        <v>14</v>
      </c>
      <c r="F478" t="s">
        <v>1476</v>
      </c>
      <c r="G478" t="s">
        <v>1477</v>
      </c>
      <c r="J478" t="s">
        <v>59</v>
      </c>
      <c r="K478" t="s">
        <v>46</v>
      </c>
      <c r="L478" t="s">
        <v>1283</v>
      </c>
      <c r="M478">
        <v>999</v>
      </c>
    </row>
    <row r="479" spans="2:13" x14ac:dyDescent="0.2">
      <c r="B479">
        <v>991</v>
      </c>
      <c r="C479">
        <v>12</v>
      </c>
      <c r="D479">
        <v>14</v>
      </c>
      <c r="F479" t="s">
        <v>1478</v>
      </c>
      <c r="G479" t="s">
        <v>1479</v>
      </c>
      <c r="J479" t="s">
        <v>59</v>
      </c>
      <c r="K479" t="s">
        <v>46</v>
      </c>
      <c r="L479" t="s">
        <v>1283</v>
      </c>
      <c r="M479">
        <v>999</v>
      </c>
    </row>
    <row r="480" spans="2:13" x14ac:dyDescent="0.2">
      <c r="B480">
        <v>991</v>
      </c>
      <c r="C480">
        <v>12</v>
      </c>
      <c r="D480">
        <v>14</v>
      </c>
      <c r="F480" t="s">
        <v>1480</v>
      </c>
      <c r="G480" t="s">
        <v>1481</v>
      </c>
      <c r="J480" t="s">
        <v>59</v>
      </c>
      <c r="K480" t="s">
        <v>46</v>
      </c>
      <c r="L480" t="s">
        <v>1283</v>
      </c>
      <c r="M480">
        <v>999</v>
      </c>
    </row>
    <row r="481" spans="2:13" x14ac:dyDescent="0.2">
      <c r="B481">
        <v>991</v>
      </c>
      <c r="C481">
        <v>12</v>
      </c>
      <c r="D481">
        <v>14</v>
      </c>
      <c r="F481" t="s">
        <v>1482</v>
      </c>
      <c r="G481" t="s">
        <v>1483</v>
      </c>
      <c r="J481" t="s">
        <v>59</v>
      </c>
      <c r="K481" t="s">
        <v>46</v>
      </c>
      <c r="L481" t="s">
        <v>1283</v>
      </c>
      <c r="M481">
        <v>999</v>
      </c>
    </row>
    <row r="482" spans="2:13" x14ac:dyDescent="0.2">
      <c r="B482">
        <v>991</v>
      </c>
      <c r="C482">
        <v>12</v>
      </c>
      <c r="D482">
        <v>14</v>
      </c>
      <c r="F482" t="s">
        <v>1484</v>
      </c>
      <c r="G482" t="s">
        <v>1485</v>
      </c>
      <c r="J482" t="s">
        <v>59</v>
      </c>
      <c r="K482" t="s">
        <v>46</v>
      </c>
      <c r="L482" t="s">
        <v>1283</v>
      </c>
      <c r="M482">
        <v>999</v>
      </c>
    </row>
    <row r="483" spans="2:13" x14ac:dyDescent="0.2">
      <c r="B483">
        <v>991</v>
      </c>
      <c r="C483">
        <v>12</v>
      </c>
      <c r="D483">
        <v>14</v>
      </c>
      <c r="F483" t="s">
        <v>1486</v>
      </c>
      <c r="G483" t="s">
        <v>1487</v>
      </c>
      <c r="J483" t="s">
        <v>59</v>
      </c>
      <c r="K483" t="s">
        <v>46</v>
      </c>
      <c r="L483" t="s">
        <v>1283</v>
      </c>
      <c r="M483">
        <v>999</v>
      </c>
    </row>
    <row r="484" spans="2:13" x14ac:dyDescent="0.2">
      <c r="B484">
        <v>991</v>
      </c>
      <c r="C484">
        <v>12</v>
      </c>
      <c r="D484">
        <v>14</v>
      </c>
      <c r="F484" t="s">
        <v>1488</v>
      </c>
      <c r="G484" t="s">
        <v>1489</v>
      </c>
      <c r="J484" t="s">
        <v>59</v>
      </c>
      <c r="K484" t="s">
        <v>46</v>
      </c>
      <c r="L484" t="s">
        <v>1283</v>
      </c>
      <c r="M484">
        <v>999</v>
      </c>
    </row>
    <row r="485" spans="2:13" x14ac:dyDescent="0.2">
      <c r="B485">
        <v>991</v>
      </c>
      <c r="C485">
        <v>12</v>
      </c>
      <c r="D485">
        <v>14</v>
      </c>
      <c r="F485" t="s">
        <v>1490</v>
      </c>
      <c r="G485" t="s">
        <v>1491</v>
      </c>
      <c r="J485" t="s">
        <v>59</v>
      </c>
      <c r="K485" t="s">
        <v>46</v>
      </c>
      <c r="L485" t="s">
        <v>1283</v>
      </c>
      <c r="M485">
        <v>999</v>
      </c>
    </row>
    <row r="486" spans="2:13" x14ac:dyDescent="0.2">
      <c r="B486">
        <v>991</v>
      </c>
      <c r="C486">
        <v>12</v>
      </c>
      <c r="D486">
        <v>14</v>
      </c>
      <c r="F486" t="s">
        <v>1492</v>
      </c>
      <c r="G486" t="s">
        <v>1493</v>
      </c>
      <c r="J486" t="s">
        <v>59</v>
      </c>
      <c r="K486" t="s">
        <v>46</v>
      </c>
      <c r="L486" t="s">
        <v>1283</v>
      </c>
      <c r="M486">
        <v>999</v>
      </c>
    </row>
    <row r="487" spans="2:13" x14ac:dyDescent="0.2">
      <c r="B487">
        <v>991</v>
      </c>
      <c r="C487">
        <v>12</v>
      </c>
      <c r="D487">
        <v>14</v>
      </c>
      <c r="F487" t="s">
        <v>1494</v>
      </c>
      <c r="G487" t="s">
        <v>1495</v>
      </c>
      <c r="J487" t="s">
        <v>59</v>
      </c>
      <c r="K487" t="s">
        <v>46</v>
      </c>
      <c r="L487" t="s">
        <v>1283</v>
      </c>
      <c r="M487">
        <v>999</v>
      </c>
    </row>
    <row r="488" spans="2:13" x14ac:dyDescent="0.2">
      <c r="B488">
        <v>991</v>
      </c>
      <c r="C488">
        <v>12</v>
      </c>
      <c r="D488">
        <v>14</v>
      </c>
      <c r="F488" t="s">
        <v>1496</v>
      </c>
      <c r="G488" t="s">
        <v>1497</v>
      </c>
      <c r="J488" t="s">
        <v>59</v>
      </c>
      <c r="K488" t="s">
        <v>46</v>
      </c>
      <c r="L488" t="s">
        <v>1283</v>
      </c>
      <c r="M488">
        <v>999</v>
      </c>
    </row>
    <row r="489" spans="2:13" x14ac:dyDescent="0.2">
      <c r="B489">
        <v>991</v>
      </c>
      <c r="C489">
        <v>12</v>
      </c>
      <c r="D489">
        <v>14</v>
      </c>
      <c r="F489" t="s">
        <v>1498</v>
      </c>
      <c r="G489" t="s">
        <v>1499</v>
      </c>
      <c r="J489" t="s">
        <v>59</v>
      </c>
      <c r="K489" t="s">
        <v>46</v>
      </c>
      <c r="L489" t="s">
        <v>1283</v>
      </c>
      <c r="M489">
        <v>999</v>
      </c>
    </row>
    <row r="490" spans="2:13" x14ac:dyDescent="0.2">
      <c r="B490">
        <v>991</v>
      </c>
      <c r="C490">
        <v>12</v>
      </c>
      <c r="D490">
        <v>14</v>
      </c>
      <c r="F490" t="s">
        <v>1500</v>
      </c>
      <c r="G490" t="s">
        <v>1501</v>
      </c>
      <c r="J490" t="s">
        <v>59</v>
      </c>
      <c r="K490" t="s">
        <v>46</v>
      </c>
      <c r="L490" t="s">
        <v>1283</v>
      </c>
      <c r="M490">
        <v>999</v>
      </c>
    </row>
    <row r="491" spans="2:13" x14ac:dyDescent="0.2">
      <c r="B491">
        <v>991</v>
      </c>
      <c r="C491">
        <v>12</v>
      </c>
      <c r="D491">
        <v>14</v>
      </c>
      <c r="F491" t="s">
        <v>1502</v>
      </c>
      <c r="G491" t="s">
        <v>1503</v>
      </c>
      <c r="J491" t="s">
        <v>59</v>
      </c>
      <c r="K491" t="s">
        <v>46</v>
      </c>
      <c r="L491" t="s">
        <v>1283</v>
      </c>
      <c r="M491">
        <v>999</v>
      </c>
    </row>
    <row r="492" spans="2:13" x14ac:dyDescent="0.2">
      <c r="B492">
        <v>991</v>
      </c>
      <c r="C492">
        <v>12</v>
      </c>
      <c r="D492">
        <v>14</v>
      </c>
      <c r="F492" t="s">
        <v>1504</v>
      </c>
      <c r="G492" t="s">
        <v>1505</v>
      </c>
      <c r="J492" t="s">
        <v>59</v>
      </c>
      <c r="K492" t="s">
        <v>46</v>
      </c>
      <c r="L492" t="s">
        <v>1283</v>
      </c>
      <c r="M492">
        <v>999</v>
      </c>
    </row>
    <row r="493" spans="2:13" x14ac:dyDescent="0.2">
      <c r="B493">
        <v>991</v>
      </c>
      <c r="C493">
        <v>12</v>
      </c>
      <c r="D493">
        <v>14</v>
      </c>
      <c r="F493" t="s">
        <v>1506</v>
      </c>
      <c r="G493" t="s">
        <v>1507</v>
      </c>
      <c r="J493" t="s">
        <v>59</v>
      </c>
      <c r="K493" t="s">
        <v>46</v>
      </c>
      <c r="L493" t="s">
        <v>1283</v>
      </c>
      <c r="M493">
        <v>999</v>
      </c>
    </row>
    <row r="494" spans="2:13" x14ac:dyDescent="0.2">
      <c r="B494">
        <v>991</v>
      </c>
      <c r="C494">
        <v>12</v>
      </c>
      <c r="D494">
        <v>14</v>
      </c>
      <c r="F494" t="s">
        <v>1508</v>
      </c>
      <c r="G494" t="s">
        <v>1509</v>
      </c>
      <c r="J494" t="s">
        <v>59</v>
      </c>
      <c r="K494" t="s">
        <v>46</v>
      </c>
      <c r="L494" t="s">
        <v>1283</v>
      </c>
      <c r="M494">
        <v>999</v>
      </c>
    </row>
    <row r="495" spans="2:13" x14ac:dyDescent="0.2">
      <c r="B495">
        <v>991</v>
      </c>
      <c r="C495">
        <v>12</v>
      </c>
      <c r="D495">
        <v>14</v>
      </c>
      <c r="F495" t="s">
        <v>1510</v>
      </c>
      <c r="G495" t="s">
        <v>1511</v>
      </c>
      <c r="J495" t="s">
        <v>59</v>
      </c>
      <c r="K495" t="s">
        <v>46</v>
      </c>
      <c r="L495" t="s">
        <v>1283</v>
      </c>
      <c r="M495">
        <v>999</v>
      </c>
    </row>
    <row r="496" spans="2:13" x14ac:dyDescent="0.2">
      <c r="B496">
        <v>991</v>
      </c>
      <c r="C496">
        <v>12</v>
      </c>
      <c r="D496">
        <v>14</v>
      </c>
      <c r="F496" t="s">
        <v>1512</v>
      </c>
      <c r="G496" t="s">
        <v>1513</v>
      </c>
      <c r="J496" t="s">
        <v>59</v>
      </c>
      <c r="K496" t="s">
        <v>46</v>
      </c>
      <c r="L496" t="s">
        <v>1283</v>
      </c>
      <c r="M496">
        <v>999</v>
      </c>
    </row>
    <row r="497" spans="2:13" x14ac:dyDescent="0.2">
      <c r="B497">
        <v>991</v>
      </c>
      <c r="C497">
        <v>12</v>
      </c>
      <c r="D497">
        <v>14</v>
      </c>
      <c r="F497" t="s">
        <v>1514</v>
      </c>
      <c r="G497" t="s">
        <v>1515</v>
      </c>
      <c r="J497" t="s">
        <v>59</v>
      </c>
      <c r="K497" t="s">
        <v>46</v>
      </c>
      <c r="L497" t="s">
        <v>1283</v>
      </c>
      <c r="M497">
        <v>999</v>
      </c>
    </row>
    <row r="498" spans="2:13" x14ac:dyDescent="0.2">
      <c r="B498">
        <v>991</v>
      </c>
      <c r="C498">
        <v>12</v>
      </c>
      <c r="D498">
        <v>14</v>
      </c>
      <c r="F498" t="s">
        <v>1516</v>
      </c>
      <c r="G498" t="s">
        <v>1517</v>
      </c>
      <c r="J498" t="s">
        <v>59</v>
      </c>
      <c r="K498" t="s">
        <v>46</v>
      </c>
      <c r="L498" t="s">
        <v>1283</v>
      </c>
      <c r="M498">
        <v>999</v>
      </c>
    </row>
    <row r="499" spans="2:13" x14ac:dyDescent="0.2">
      <c r="B499">
        <v>991</v>
      </c>
      <c r="C499">
        <v>12</v>
      </c>
      <c r="D499">
        <v>14</v>
      </c>
      <c r="F499" t="s">
        <v>1518</v>
      </c>
      <c r="G499" t="s">
        <v>1519</v>
      </c>
      <c r="J499" t="s">
        <v>59</v>
      </c>
      <c r="K499" t="s">
        <v>46</v>
      </c>
      <c r="L499" t="s">
        <v>1283</v>
      </c>
      <c r="M499">
        <v>999</v>
      </c>
    </row>
    <row r="500" spans="2:13" x14ac:dyDescent="0.2">
      <c r="B500">
        <v>991</v>
      </c>
      <c r="C500">
        <v>12</v>
      </c>
      <c r="D500">
        <v>14</v>
      </c>
      <c r="F500" t="s">
        <v>1520</v>
      </c>
      <c r="G500" t="s">
        <v>1521</v>
      </c>
      <c r="J500" t="s">
        <v>59</v>
      </c>
      <c r="K500" t="s">
        <v>46</v>
      </c>
      <c r="L500" t="s">
        <v>1283</v>
      </c>
      <c r="M500">
        <v>999</v>
      </c>
    </row>
    <row r="501" spans="2:13" x14ac:dyDescent="0.2">
      <c r="B501">
        <v>991</v>
      </c>
      <c r="C501">
        <v>12</v>
      </c>
      <c r="D501">
        <v>14</v>
      </c>
      <c r="F501" t="s">
        <v>1522</v>
      </c>
      <c r="G501" t="s">
        <v>1523</v>
      </c>
      <c r="J501" t="s">
        <v>59</v>
      </c>
      <c r="K501" t="s">
        <v>46</v>
      </c>
      <c r="L501" t="s">
        <v>1283</v>
      </c>
      <c r="M501">
        <v>999</v>
      </c>
    </row>
    <row r="502" spans="2:13" x14ac:dyDescent="0.2">
      <c r="B502">
        <v>991</v>
      </c>
      <c r="C502">
        <v>12</v>
      </c>
      <c r="D502">
        <v>14</v>
      </c>
      <c r="F502" t="s">
        <v>1524</v>
      </c>
      <c r="G502" t="s">
        <v>1525</v>
      </c>
      <c r="J502" t="s">
        <v>59</v>
      </c>
      <c r="K502" t="s">
        <v>46</v>
      </c>
      <c r="L502" t="s">
        <v>1283</v>
      </c>
      <c r="M502">
        <v>999</v>
      </c>
    </row>
    <row r="503" spans="2:13" x14ac:dyDescent="0.2">
      <c r="B503">
        <v>991</v>
      </c>
      <c r="C503">
        <v>12</v>
      </c>
      <c r="D503">
        <v>14</v>
      </c>
      <c r="F503" t="s">
        <v>1526</v>
      </c>
      <c r="G503" t="s">
        <v>1527</v>
      </c>
      <c r="J503" t="s">
        <v>59</v>
      </c>
      <c r="K503" t="s">
        <v>46</v>
      </c>
      <c r="L503" t="s">
        <v>1283</v>
      </c>
      <c r="M503">
        <v>999</v>
      </c>
    </row>
    <row r="504" spans="2:13" x14ac:dyDescent="0.2">
      <c r="B504">
        <v>991</v>
      </c>
      <c r="C504">
        <v>12</v>
      </c>
      <c r="D504">
        <v>14</v>
      </c>
      <c r="F504" t="s">
        <v>1528</v>
      </c>
      <c r="G504" t="s">
        <v>1529</v>
      </c>
      <c r="J504" t="s">
        <v>59</v>
      </c>
      <c r="K504" t="s">
        <v>46</v>
      </c>
      <c r="L504" t="s">
        <v>1283</v>
      </c>
      <c r="M504">
        <v>999</v>
      </c>
    </row>
    <row r="505" spans="2:13" x14ac:dyDescent="0.2">
      <c r="B505">
        <v>991</v>
      </c>
      <c r="C505">
        <v>12</v>
      </c>
      <c r="D505">
        <v>14</v>
      </c>
      <c r="F505" t="s">
        <v>1530</v>
      </c>
      <c r="G505" t="s">
        <v>1531</v>
      </c>
      <c r="J505" t="s">
        <v>59</v>
      </c>
      <c r="K505" t="s">
        <v>46</v>
      </c>
      <c r="L505" t="s">
        <v>1283</v>
      </c>
      <c r="M505">
        <v>999</v>
      </c>
    </row>
    <row r="506" spans="2:13" x14ac:dyDescent="0.2">
      <c r="B506">
        <v>991</v>
      </c>
      <c r="C506">
        <v>12</v>
      </c>
      <c r="D506">
        <v>14</v>
      </c>
      <c r="F506" t="s">
        <v>1532</v>
      </c>
      <c r="G506" t="s">
        <v>1533</v>
      </c>
      <c r="J506" t="s">
        <v>59</v>
      </c>
      <c r="K506" t="s">
        <v>46</v>
      </c>
      <c r="L506" t="s">
        <v>1283</v>
      </c>
      <c r="M506">
        <v>999</v>
      </c>
    </row>
    <row r="507" spans="2:13" x14ac:dyDescent="0.2">
      <c r="B507">
        <v>991</v>
      </c>
      <c r="C507">
        <v>12</v>
      </c>
      <c r="D507">
        <v>14</v>
      </c>
      <c r="F507" t="s">
        <v>1534</v>
      </c>
      <c r="G507" t="s">
        <v>1535</v>
      </c>
      <c r="J507" t="s">
        <v>59</v>
      </c>
      <c r="K507" t="s">
        <v>46</v>
      </c>
      <c r="L507" t="s">
        <v>1283</v>
      </c>
      <c r="M507">
        <v>999</v>
      </c>
    </row>
    <row r="508" spans="2:13" x14ac:dyDescent="0.2">
      <c r="B508">
        <v>991</v>
      </c>
      <c r="C508">
        <v>12</v>
      </c>
      <c r="D508">
        <v>14</v>
      </c>
      <c r="F508" t="s">
        <v>1536</v>
      </c>
      <c r="G508" t="s">
        <v>1537</v>
      </c>
      <c r="J508" t="s">
        <v>59</v>
      </c>
      <c r="K508" t="s">
        <v>46</v>
      </c>
      <c r="L508" t="s">
        <v>1283</v>
      </c>
      <c r="M508">
        <v>999</v>
      </c>
    </row>
    <row r="509" spans="2:13" x14ac:dyDescent="0.2">
      <c r="B509">
        <v>991</v>
      </c>
      <c r="C509">
        <v>12</v>
      </c>
      <c r="D509">
        <v>14</v>
      </c>
      <c r="F509" t="s">
        <v>1538</v>
      </c>
      <c r="G509" t="s">
        <v>1539</v>
      </c>
      <c r="J509" t="s">
        <v>59</v>
      </c>
      <c r="K509" t="s">
        <v>46</v>
      </c>
      <c r="L509" t="s">
        <v>1283</v>
      </c>
      <c r="M509">
        <v>999</v>
      </c>
    </row>
    <row r="510" spans="2:13" x14ac:dyDescent="0.2">
      <c r="B510">
        <v>991</v>
      </c>
      <c r="C510">
        <v>12</v>
      </c>
      <c r="D510">
        <v>14</v>
      </c>
      <c r="F510" t="s">
        <v>1540</v>
      </c>
      <c r="G510" t="s">
        <v>1541</v>
      </c>
      <c r="J510" t="s">
        <v>59</v>
      </c>
      <c r="K510" t="s">
        <v>46</v>
      </c>
      <c r="L510" t="s">
        <v>1283</v>
      </c>
      <c r="M510">
        <v>999</v>
      </c>
    </row>
    <row r="511" spans="2:13" x14ac:dyDescent="0.2">
      <c r="B511">
        <v>991</v>
      </c>
      <c r="C511">
        <v>12</v>
      </c>
      <c r="D511">
        <v>14</v>
      </c>
      <c r="F511" t="s">
        <v>1542</v>
      </c>
      <c r="G511" t="s">
        <v>1543</v>
      </c>
      <c r="J511" t="s">
        <v>59</v>
      </c>
      <c r="K511" t="s">
        <v>46</v>
      </c>
      <c r="L511" t="s">
        <v>1283</v>
      </c>
      <c r="M511">
        <v>999</v>
      </c>
    </row>
    <row r="512" spans="2:13" x14ac:dyDescent="0.2">
      <c r="B512">
        <v>991</v>
      </c>
      <c r="C512">
        <v>12</v>
      </c>
      <c r="D512">
        <v>14</v>
      </c>
      <c r="F512" t="s">
        <v>1544</v>
      </c>
      <c r="G512" t="s">
        <v>1545</v>
      </c>
      <c r="J512" t="s">
        <v>59</v>
      </c>
      <c r="K512" t="s">
        <v>46</v>
      </c>
      <c r="L512" t="s">
        <v>1283</v>
      </c>
      <c r="M512">
        <v>999</v>
      </c>
    </row>
    <row r="513" spans="2:13" x14ac:dyDescent="0.2">
      <c r="B513">
        <v>991</v>
      </c>
      <c r="C513">
        <v>12</v>
      </c>
      <c r="D513">
        <v>14</v>
      </c>
      <c r="F513" t="s">
        <v>1546</v>
      </c>
      <c r="G513" t="s">
        <v>1547</v>
      </c>
      <c r="J513" t="s">
        <v>59</v>
      </c>
      <c r="K513" t="s">
        <v>46</v>
      </c>
      <c r="L513" t="s">
        <v>1283</v>
      </c>
      <c r="M513">
        <v>999</v>
      </c>
    </row>
    <row r="514" spans="2:13" x14ac:dyDescent="0.2">
      <c r="B514">
        <v>991</v>
      </c>
      <c r="C514">
        <v>12</v>
      </c>
      <c r="D514">
        <v>14</v>
      </c>
      <c r="F514" t="s">
        <v>1548</v>
      </c>
      <c r="G514" t="s">
        <v>1549</v>
      </c>
      <c r="J514" t="s">
        <v>59</v>
      </c>
      <c r="K514" t="s">
        <v>46</v>
      </c>
      <c r="L514" t="s">
        <v>1283</v>
      </c>
      <c r="M514">
        <v>999</v>
      </c>
    </row>
    <row r="515" spans="2:13" x14ac:dyDescent="0.2">
      <c r="B515">
        <v>991</v>
      </c>
      <c r="C515">
        <v>12</v>
      </c>
      <c r="D515">
        <v>14</v>
      </c>
      <c r="F515" t="s">
        <v>1550</v>
      </c>
      <c r="G515" t="s">
        <v>1451</v>
      </c>
      <c r="J515" t="s">
        <v>59</v>
      </c>
      <c r="K515" t="s">
        <v>46</v>
      </c>
      <c r="L515" t="s">
        <v>1283</v>
      </c>
      <c r="M515">
        <v>999</v>
      </c>
    </row>
    <row r="516" spans="2:13" x14ac:dyDescent="0.2">
      <c r="B516">
        <v>991</v>
      </c>
      <c r="C516">
        <v>12</v>
      </c>
      <c r="D516">
        <v>14</v>
      </c>
      <c r="F516" t="s">
        <v>1551</v>
      </c>
      <c r="G516" t="s">
        <v>1552</v>
      </c>
      <c r="J516" t="s">
        <v>59</v>
      </c>
      <c r="K516" t="s">
        <v>46</v>
      </c>
      <c r="L516" t="s">
        <v>1283</v>
      </c>
      <c r="M516">
        <v>999</v>
      </c>
    </row>
    <row r="517" spans="2:13" x14ac:dyDescent="0.2">
      <c r="B517">
        <v>991</v>
      </c>
      <c r="C517">
        <v>12</v>
      </c>
      <c r="D517">
        <v>14</v>
      </c>
      <c r="F517" t="s">
        <v>1553</v>
      </c>
      <c r="G517" t="s">
        <v>1554</v>
      </c>
      <c r="J517" t="s">
        <v>59</v>
      </c>
      <c r="K517" t="s">
        <v>46</v>
      </c>
      <c r="L517" t="s">
        <v>1283</v>
      </c>
      <c r="M517">
        <v>999</v>
      </c>
    </row>
    <row r="518" spans="2:13" x14ac:dyDescent="0.2">
      <c r="B518">
        <v>991</v>
      </c>
      <c r="C518">
        <v>12</v>
      </c>
      <c r="D518">
        <v>14</v>
      </c>
      <c r="F518" t="s">
        <v>1555</v>
      </c>
      <c r="G518" t="s">
        <v>1556</v>
      </c>
      <c r="J518" t="s">
        <v>59</v>
      </c>
      <c r="K518" t="s">
        <v>46</v>
      </c>
      <c r="L518" t="s">
        <v>1283</v>
      </c>
      <c r="M518">
        <v>999</v>
      </c>
    </row>
    <row r="519" spans="2:13" x14ac:dyDescent="0.2">
      <c r="B519">
        <v>991</v>
      </c>
      <c r="C519">
        <v>12</v>
      </c>
      <c r="D519">
        <v>14</v>
      </c>
      <c r="F519" t="s">
        <v>1557</v>
      </c>
      <c r="G519" t="s">
        <v>1558</v>
      </c>
      <c r="J519" t="s">
        <v>59</v>
      </c>
      <c r="K519" t="s">
        <v>46</v>
      </c>
      <c r="L519" t="s">
        <v>1283</v>
      </c>
      <c r="M519">
        <v>999</v>
      </c>
    </row>
    <row r="520" spans="2:13" x14ac:dyDescent="0.2">
      <c r="B520">
        <v>991</v>
      </c>
      <c r="C520">
        <v>12</v>
      </c>
      <c r="D520">
        <v>14</v>
      </c>
      <c r="F520" t="s">
        <v>1559</v>
      </c>
      <c r="G520" t="s">
        <v>1560</v>
      </c>
      <c r="J520" t="s">
        <v>59</v>
      </c>
      <c r="K520" t="s">
        <v>46</v>
      </c>
      <c r="L520" t="s">
        <v>1283</v>
      </c>
      <c r="M520">
        <v>999</v>
      </c>
    </row>
    <row r="521" spans="2:13" x14ac:dyDescent="0.2">
      <c r="B521">
        <v>991</v>
      </c>
      <c r="C521">
        <v>12</v>
      </c>
      <c r="D521">
        <v>14</v>
      </c>
      <c r="F521" t="s">
        <v>1561</v>
      </c>
      <c r="G521" t="s">
        <v>1562</v>
      </c>
      <c r="J521" t="s">
        <v>59</v>
      </c>
      <c r="K521" t="s">
        <v>46</v>
      </c>
      <c r="L521" t="s">
        <v>1283</v>
      </c>
      <c r="M521">
        <v>999</v>
      </c>
    </row>
    <row r="522" spans="2:13" x14ac:dyDescent="0.2">
      <c r="B522">
        <v>991</v>
      </c>
      <c r="C522">
        <v>12</v>
      </c>
      <c r="D522">
        <v>14</v>
      </c>
      <c r="F522" t="s">
        <v>1563</v>
      </c>
      <c r="G522" t="s">
        <v>1564</v>
      </c>
      <c r="J522" t="s">
        <v>59</v>
      </c>
      <c r="K522" t="s">
        <v>46</v>
      </c>
      <c r="L522" t="s">
        <v>1283</v>
      </c>
      <c r="M522">
        <v>999</v>
      </c>
    </row>
    <row r="523" spans="2:13" x14ac:dyDescent="0.2">
      <c r="B523">
        <v>991</v>
      </c>
      <c r="C523">
        <v>12</v>
      </c>
      <c r="D523">
        <v>14</v>
      </c>
      <c r="F523" t="s">
        <v>1565</v>
      </c>
      <c r="G523" t="s">
        <v>1566</v>
      </c>
      <c r="J523" t="s">
        <v>59</v>
      </c>
      <c r="K523" t="s">
        <v>46</v>
      </c>
      <c r="L523" t="s">
        <v>1283</v>
      </c>
      <c r="M523">
        <v>999</v>
      </c>
    </row>
    <row r="524" spans="2:13" x14ac:dyDescent="0.2">
      <c r="B524">
        <v>991</v>
      </c>
      <c r="C524">
        <v>12</v>
      </c>
      <c r="D524">
        <v>14</v>
      </c>
      <c r="F524" t="s">
        <v>1567</v>
      </c>
      <c r="G524" t="s">
        <v>1568</v>
      </c>
      <c r="J524" t="s">
        <v>59</v>
      </c>
      <c r="K524" t="s">
        <v>46</v>
      </c>
      <c r="L524" t="s">
        <v>1283</v>
      </c>
      <c r="M524">
        <v>999</v>
      </c>
    </row>
    <row r="525" spans="2:13" x14ac:dyDescent="0.2">
      <c r="B525">
        <v>991</v>
      </c>
      <c r="C525">
        <v>12</v>
      </c>
      <c r="D525">
        <v>14</v>
      </c>
      <c r="F525" t="s">
        <v>1569</v>
      </c>
      <c r="G525" t="s">
        <v>1570</v>
      </c>
      <c r="J525" t="s">
        <v>59</v>
      </c>
      <c r="K525" t="s">
        <v>46</v>
      </c>
      <c r="L525" t="s">
        <v>1283</v>
      </c>
      <c r="M525">
        <v>999</v>
      </c>
    </row>
    <row r="526" spans="2:13" x14ac:dyDescent="0.2">
      <c r="B526">
        <v>991</v>
      </c>
      <c r="C526">
        <v>12</v>
      </c>
      <c r="D526">
        <v>13</v>
      </c>
      <c r="F526" t="s">
        <v>1571</v>
      </c>
      <c r="G526" t="s">
        <v>1572</v>
      </c>
      <c r="J526" t="s">
        <v>59</v>
      </c>
      <c r="K526" t="s">
        <v>46</v>
      </c>
      <c r="L526" t="s">
        <v>1283</v>
      </c>
      <c r="M526">
        <v>999</v>
      </c>
    </row>
    <row r="527" spans="2:13" x14ac:dyDescent="0.2">
      <c r="B527">
        <v>991</v>
      </c>
      <c r="C527">
        <v>13</v>
      </c>
      <c r="D527">
        <v>10</v>
      </c>
      <c r="J527" t="s">
        <v>59</v>
      </c>
      <c r="K527" t="s">
        <v>1573</v>
      </c>
    </row>
    <row r="528" spans="2:13" x14ac:dyDescent="0.2">
      <c r="B528">
        <v>991</v>
      </c>
      <c r="C528">
        <v>13</v>
      </c>
      <c r="D528">
        <v>11</v>
      </c>
      <c r="F528" t="s">
        <v>1574</v>
      </c>
      <c r="G528" t="s">
        <v>1575</v>
      </c>
      <c r="H528" t="s">
        <v>82</v>
      </c>
      <c r="J528" t="s">
        <v>59</v>
      </c>
      <c r="K528" t="s">
        <v>1573</v>
      </c>
      <c r="L528" t="s">
        <v>1576</v>
      </c>
      <c r="M528">
        <v>999</v>
      </c>
    </row>
    <row r="529" spans="2:16" x14ac:dyDescent="0.2">
      <c r="B529">
        <v>991</v>
      </c>
      <c r="C529">
        <v>13</v>
      </c>
      <c r="D529">
        <v>12</v>
      </c>
      <c r="F529" t="s">
        <v>1577</v>
      </c>
      <c r="G529" t="s">
        <v>1578</v>
      </c>
      <c r="H529" t="s">
        <v>82</v>
      </c>
      <c r="J529" t="s">
        <v>59</v>
      </c>
      <c r="K529" t="s">
        <v>1573</v>
      </c>
      <c r="L529" t="s">
        <v>1579</v>
      </c>
      <c r="M529">
        <v>999</v>
      </c>
    </row>
    <row r="530" spans="2:16" x14ac:dyDescent="0.2">
      <c r="B530">
        <v>991</v>
      </c>
      <c r="C530">
        <v>13</v>
      </c>
      <c r="D530">
        <v>13</v>
      </c>
      <c r="F530" t="s">
        <v>1580</v>
      </c>
      <c r="G530" t="s">
        <v>1581</v>
      </c>
      <c r="H530" t="s">
        <v>82</v>
      </c>
      <c r="J530" t="s">
        <v>59</v>
      </c>
      <c r="K530" t="s">
        <v>1573</v>
      </c>
      <c r="L530" t="s">
        <v>1283</v>
      </c>
      <c r="M530">
        <v>999</v>
      </c>
    </row>
    <row r="531" spans="2:16" x14ac:dyDescent="0.2">
      <c r="B531">
        <v>991</v>
      </c>
      <c r="C531">
        <v>13</v>
      </c>
      <c r="D531">
        <v>13</v>
      </c>
      <c r="F531" t="s">
        <v>1582</v>
      </c>
      <c r="G531" t="s">
        <v>1583</v>
      </c>
      <c r="H531" t="s">
        <v>82</v>
      </c>
      <c r="J531" t="s">
        <v>59</v>
      </c>
      <c r="K531" t="s">
        <v>1573</v>
      </c>
      <c r="L531" t="s">
        <v>1283</v>
      </c>
      <c r="M531">
        <v>999</v>
      </c>
    </row>
    <row r="532" spans="2:16" x14ac:dyDescent="0.2">
      <c r="B532">
        <v>991</v>
      </c>
      <c r="C532">
        <v>13</v>
      </c>
      <c r="D532">
        <v>14</v>
      </c>
      <c r="F532" t="s">
        <v>1584</v>
      </c>
      <c r="G532" t="s">
        <v>1585</v>
      </c>
      <c r="I532" t="s">
        <v>1586</v>
      </c>
      <c r="J532" t="s">
        <v>59</v>
      </c>
      <c r="K532" t="s">
        <v>1573</v>
      </c>
      <c r="L532" t="s">
        <v>1587</v>
      </c>
      <c r="M532">
        <v>999</v>
      </c>
      <c r="N532">
        <v>999</v>
      </c>
      <c r="P532">
        <v>32</v>
      </c>
    </row>
    <row r="533" spans="2:16" x14ac:dyDescent="0.2">
      <c r="B533">
        <v>991</v>
      </c>
      <c r="C533">
        <v>13</v>
      </c>
      <c r="D533">
        <v>14</v>
      </c>
      <c r="F533" t="s">
        <v>1588</v>
      </c>
      <c r="G533" t="s">
        <v>1589</v>
      </c>
      <c r="I533" t="s">
        <v>1590</v>
      </c>
      <c r="J533" t="s">
        <v>59</v>
      </c>
      <c r="K533" t="s">
        <v>1573</v>
      </c>
      <c r="L533" t="s">
        <v>1587</v>
      </c>
      <c r="M533">
        <v>999</v>
      </c>
      <c r="N533">
        <v>999</v>
      </c>
      <c r="P533">
        <v>32</v>
      </c>
    </row>
    <row r="534" spans="2:16" x14ac:dyDescent="0.2">
      <c r="B534">
        <v>991</v>
      </c>
      <c r="C534">
        <v>13</v>
      </c>
      <c r="D534">
        <v>14</v>
      </c>
      <c r="F534" t="s">
        <v>1591</v>
      </c>
      <c r="G534" t="s">
        <v>1592</v>
      </c>
      <c r="I534" t="s">
        <v>1593</v>
      </c>
      <c r="J534" t="s">
        <v>59</v>
      </c>
      <c r="K534" t="s">
        <v>1573</v>
      </c>
      <c r="L534" t="s">
        <v>1587</v>
      </c>
      <c r="M534">
        <v>999</v>
      </c>
      <c r="N534">
        <v>999</v>
      </c>
      <c r="P534">
        <v>48</v>
      </c>
    </row>
    <row r="535" spans="2:16" x14ac:dyDescent="0.2">
      <c r="B535">
        <v>991</v>
      </c>
      <c r="C535">
        <v>13</v>
      </c>
      <c r="D535">
        <v>14</v>
      </c>
      <c r="F535" t="s">
        <v>1594</v>
      </c>
      <c r="G535" t="s">
        <v>1595</v>
      </c>
      <c r="I535" t="s">
        <v>1596</v>
      </c>
      <c r="J535" t="s">
        <v>59</v>
      </c>
      <c r="K535" t="s">
        <v>1573</v>
      </c>
      <c r="L535" t="s">
        <v>1587</v>
      </c>
      <c r="M535">
        <v>999</v>
      </c>
      <c r="N535">
        <v>999</v>
      </c>
      <c r="P535">
        <v>80</v>
      </c>
    </row>
    <row r="536" spans="2:16" x14ac:dyDescent="0.2">
      <c r="B536">
        <v>991</v>
      </c>
      <c r="C536">
        <v>13</v>
      </c>
      <c r="D536">
        <v>14</v>
      </c>
      <c r="F536" t="s">
        <v>1597</v>
      </c>
      <c r="G536" t="s">
        <v>1598</v>
      </c>
      <c r="I536" t="s">
        <v>1599</v>
      </c>
      <c r="J536" t="s">
        <v>59</v>
      </c>
      <c r="K536" t="s">
        <v>1573</v>
      </c>
      <c r="L536" t="s">
        <v>1587</v>
      </c>
      <c r="M536">
        <v>999</v>
      </c>
      <c r="N536">
        <v>999</v>
      </c>
      <c r="P536">
        <v>128</v>
      </c>
    </row>
    <row r="537" spans="2:16" x14ac:dyDescent="0.2">
      <c r="B537">
        <v>991</v>
      </c>
      <c r="C537">
        <v>13</v>
      </c>
      <c r="D537">
        <v>14</v>
      </c>
      <c r="F537" t="s">
        <v>1600</v>
      </c>
      <c r="G537" t="s">
        <v>1601</v>
      </c>
      <c r="I537" t="s">
        <v>1602</v>
      </c>
      <c r="J537" t="s">
        <v>59</v>
      </c>
      <c r="K537" t="s">
        <v>1573</v>
      </c>
      <c r="L537" t="s">
        <v>1587</v>
      </c>
      <c r="M537">
        <v>999</v>
      </c>
      <c r="N537">
        <v>999</v>
      </c>
    </row>
    <row r="538" spans="2:16" x14ac:dyDescent="0.2">
      <c r="B538">
        <v>991</v>
      </c>
      <c r="C538">
        <v>13</v>
      </c>
      <c r="D538">
        <v>14</v>
      </c>
      <c r="F538" t="s">
        <v>1603</v>
      </c>
      <c r="G538" t="s">
        <v>1604</v>
      </c>
      <c r="I538" t="s">
        <v>1605</v>
      </c>
      <c r="J538" t="s">
        <v>59</v>
      </c>
      <c r="K538" t="s">
        <v>1573</v>
      </c>
      <c r="L538" t="s">
        <v>1587</v>
      </c>
      <c r="M538">
        <v>999</v>
      </c>
      <c r="N538">
        <v>999</v>
      </c>
    </row>
    <row r="539" spans="2:16" x14ac:dyDescent="0.2">
      <c r="B539">
        <v>991</v>
      </c>
      <c r="C539">
        <v>13</v>
      </c>
      <c r="D539">
        <v>14</v>
      </c>
      <c r="F539" t="s">
        <v>1606</v>
      </c>
      <c r="G539" t="s">
        <v>1607</v>
      </c>
      <c r="I539" t="s">
        <v>1608</v>
      </c>
      <c r="J539" t="s">
        <v>59</v>
      </c>
      <c r="K539" t="s">
        <v>1573</v>
      </c>
      <c r="L539" t="s">
        <v>1587</v>
      </c>
      <c r="M539">
        <v>999</v>
      </c>
      <c r="N539">
        <v>999</v>
      </c>
    </row>
    <row r="540" spans="2:16" x14ac:dyDescent="0.2">
      <c r="B540">
        <v>991</v>
      </c>
      <c r="C540">
        <v>13</v>
      </c>
      <c r="D540">
        <v>14</v>
      </c>
      <c r="F540" t="s">
        <v>1609</v>
      </c>
      <c r="G540" t="s">
        <v>1610</v>
      </c>
      <c r="I540" t="s">
        <v>1611</v>
      </c>
      <c r="J540" t="s">
        <v>59</v>
      </c>
      <c r="K540" t="s">
        <v>1573</v>
      </c>
      <c r="L540" t="s">
        <v>1587</v>
      </c>
      <c r="M540">
        <v>999</v>
      </c>
      <c r="N540">
        <v>999</v>
      </c>
    </row>
    <row r="541" spans="2:16" x14ac:dyDescent="0.2">
      <c r="B541">
        <v>991</v>
      </c>
      <c r="C541">
        <v>13</v>
      </c>
      <c r="D541">
        <v>14</v>
      </c>
      <c r="F541" t="s">
        <v>1612</v>
      </c>
      <c r="G541" t="s">
        <v>1613</v>
      </c>
      <c r="I541" t="s">
        <v>1614</v>
      </c>
      <c r="J541" t="s">
        <v>59</v>
      </c>
      <c r="K541" t="s">
        <v>1573</v>
      </c>
      <c r="L541" t="s">
        <v>1587</v>
      </c>
      <c r="M541">
        <v>999</v>
      </c>
      <c r="N541">
        <v>999</v>
      </c>
    </row>
    <row r="542" spans="2:16" x14ac:dyDescent="0.2">
      <c r="B542">
        <v>991</v>
      </c>
      <c r="C542">
        <v>13</v>
      </c>
      <c r="D542">
        <v>14</v>
      </c>
      <c r="F542" t="s">
        <v>1615</v>
      </c>
      <c r="G542" t="s">
        <v>1616</v>
      </c>
      <c r="I542" t="s">
        <v>1617</v>
      </c>
      <c r="J542" t="s">
        <v>59</v>
      </c>
      <c r="K542" t="s">
        <v>1573</v>
      </c>
      <c r="L542" t="s">
        <v>1587</v>
      </c>
      <c r="M542">
        <v>999</v>
      </c>
      <c r="N542">
        <v>999</v>
      </c>
    </row>
    <row r="543" spans="2:16" x14ac:dyDescent="0.2">
      <c r="B543">
        <v>991</v>
      </c>
      <c r="C543">
        <v>13</v>
      </c>
      <c r="D543">
        <v>14</v>
      </c>
      <c r="F543" t="s">
        <v>1618</v>
      </c>
      <c r="G543" t="s">
        <v>1619</v>
      </c>
      <c r="I543" t="s">
        <v>1620</v>
      </c>
      <c r="J543" t="s">
        <v>59</v>
      </c>
      <c r="K543" t="s">
        <v>1573</v>
      </c>
      <c r="L543" t="s">
        <v>1587</v>
      </c>
      <c r="M543">
        <v>999</v>
      </c>
      <c r="N543">
        <v>999</v>
      </c>
    </row>
    <row r="544" spans="2:16" x14ac:dyDescent="0.2">
      <c r="B544">
        <v>991</v>
      </c>
      <c r="C544">
        <v>13</v>
      </c>
      <c r="D544">
        <v>14</v>
      </c>
      <c r="F544" t="s">
        <v>1621</v>
      </c>
      <c r="G544" t="s">
        <v>1622</v>
      </c>
      <c r="J544" t="s">
        <v>59</v>
      </c>
      <c r="K544" t="s">
        <v>1573</v>
      </c>
      <c r="L544" t="s">
        <v>1587</v>
      </c>
      <c r="M544">
        <v>999</v>
      </c>
    </row>
    <row r="545" spans="2:14" x14ac:dyDescent="0.2">
      <c r="B545">
        <v>991</v>
      </c>
      <c r="C545">
        <v>13</v>
      </c>
      <c r="D545">
        <v>14</v>
      </c>
      <c r="F545" t="s">
        <v>1623</v>
      </c>
      <c r="G545" t="s">
        <v>1624</v>
      </c>
      <c r="I545" t="s">
        <v>1625</v>
      </c>
      <c r="J545" t="s">
        <v>59</v>
      </c>
      <c r="K545" t="s">
        <v>1573</v>
      </c>
      <c r="L545" t="s">
        <v>1587</v>
      </c>
      <c r="M545">
        <v>999</v>
      </c>
      <c r="N545">
        <v>999</v>
      </c>
    </row>
    <row r="546" spans="2:14" x14ac:dyDescent="0.2">
      <c r="B546">
        <v>991</v>
      </c>
      <c r="C546">
        <v>13</v>
      </c>
      <c r="D546">
        <v>14</v>
      </c>
      <c r="F546" t="s">
        <v>1626</v>
      </c>
      <c r="G546" t="s">
        <v>1627</v>
      </c>
      <c r="I546" t="s">
        <v>1628</v>
      </c>
      <c r="J546" t="s">
        <v>59</v>
      </c>
      <c r="K546" t="s">
        <v>1573</v>
      </c>
      <c r="L546" t="s">
        <v>1587</v>
      </c>
      <c r="M546">
        <v>999</v>
      </c>
      <c r="N546">
        <v>999</v>
      </c>
    </row>
    <row r="547" spans="2:14" x14ac:dyDescent="0.2">
      <c r="B547">
        <v>991</v>
      </c>
      <c r="C547">
        <v>13</v>
      </c>
      <c r="D547">
        <v>14</v>
      </c>
      <c r="F547" t="s">
        <v>1629</v>
      </c>
      <c r="G547" t="s">
        <v>1630</v>
      </c>
      <c r="I547" t="s">
        <v>1631</v>
      </c>
      <c r="J547" t="s">
        <v>59</v>
      </c>
      <c r="K547" t="s">
        <v>1573</v>
      </c>
      <c r="L547" t="s">
        <v>1587</v>
      </c>
      <c r="M547">
        <v>999</v>
      </c>
      <c r="N547">
        <v>999</v>
      </c>
    </row>
    <row r="548" spans="2:14" x14ac:dyDescent="0.2">
      <c r="B548">
        <v>991</v>
      </c>
      <c r="C548">
        <v>13</v>
      </c>
      <c r="D548">
        <v>14</v>
      </c>
      <c r="F548" t="s">
        <v>1632</v>
      </c>
      <c r="G548" t="s">
        <v>1633</v>
      </c>
      <c r="J548" t="s">
        <v>59</v>
      </c>
      <c r="K548" t="s">
        <v>1573</v>
      </c>
      <c r="L548" t="s">
        <v>1587</v>
      </c>
      <c r="M548">
        <v>999</v>
      </c>
    </row>
    <row r="549" spans="2:14" x14ac:dyDescent="0.2">
      <c r="B549">
        <v>991</v>
      </c>
      <c r="C549">
        <v>13</v>
      </c>
      <c r="D549">
        <v>14</v>
      </c>
      <c r="F549" t="s">
        <v>1634</v>
      </c>
      <c r="G549" t="s">
        <v>1635</v>
      </c>
      <c r="I549" t="s">
        <v>1636</v>
      </c>
      <c r="J549" t="s">
        <v>59</v>
      </c>
      <c r="K549" t="s">
        <v>1573</v>
      </c>
      <c r="L549" t="s">
        <v>1587</v>
      </c>
      <c r="M549">
        <v>999</v>
      </c>
      <c r="N549">
        <v>999</v>
      </c>
    </row>
    <row r="550" spans="2:14" x14ac:dyDescent="0.2">
      <c r="B550">
        <v>991</v>
      </c>
      <c r="C550">
        <v>13</v>
      </c>
      <c r="D550">
        <v>14</v>
      </c>
      <c r="F550" t="s">
        <v>1637</v>
      </c>
      <c r="G550" t="s">
        <v>1638</v>
      </c>
      <c r="I550" t="s">
        <v>1639</v>
      </c>
      <c r="J550" t="s">
        <v>59</v>
      </c>
      <c r="K550" t="s">
        <v>1573</v>
      </c>
      <c r="L550" t="s">
        <v>1587</v>
      </c>
      <c r="M550">
        <v>999</v>
      </c>
      <c r="N550">
        <v>999</v>
      </c>
    </row>
    <row r="551" spans="2:14" x14ac:dyDescent="0.2">
      <c r="B551">
        <v>991</v>
      </c>
      <c r="C551">
        <v>13</v>
      </c>
      <c r="D551">
        <v>14</v>
      </c>
      <c r="F551" t="s">
        <v>1640</v>
      </c>
      <c r="G551" t="s">
        <v>1641</v>
      </c>
      <c r="I551" t="s">
        <v>1642</v>
      </c>
      <c r="J551" t="s">
        <v>59</v>
      </c>
      <c r="K551" t="s">
        <v>1573</v>
      </c>
      <c r="L551" t="s">
        <v>1587</v>
      </c>
      <c r="M551">
        <v>999</v>
      </c>
      <c r="N551">
        <v>999</v>
      </c>
    </row>
    <row r="552" spans="2:14" x14ac:dyDescent="0.2">
      <c r="B552">
        <v>991</v>
      </c>
      <c r="C552">
        <v>13</v>
      </c>
      <c r="D552">
        <v>14</v>
      </c>
      <c r="F552" t="s">
        <v>1643</v>
      </c>
      <c r="G552" t="s">
        <v>1644</v>
      </c>
      <c r="I552" t="s">
        <v>1645</v>
      </c>
      <c r="J552" t="s">
        <v>59</v>
      </c>
      <c r="K552" t="s">
        <v>1573</v>
      </c>
      <c r="L552" t="s">
        <v>1587</v>
      </c>
      <c r="M552">
        <v>999</v>
      </c>
      <c r="N552">
        <v>999</v>
      </c>
    </row>
    <row r="553" spans="2:14" x14ac:dyDescent="0.2">
      <c r="B553">
        <v>991</v>
      </c>
      <c r="C553">
        <v>13</v>
      </c>
      <c r="D553">
        <v>14</v>
      </c>
      <c r="F553" t="s">
        <v>1646</v>
      </c>
      <c r="G553" t="s">
        <v>1647</v>
      </c>
      <c r="I553" t="s">
        <v>1648</v>
      </c>
      <c r="J553" t="s">
        <v>59</v>
      </c>
      <c r="K553" t="s">
        <v>1573</v>
      </c>
      <c r="L553" t="s">
        <v>1587</v>
      </c>
      <c r="M553">
        <v>999</v>
      </c>
      <c r="N553">
        <v>999</v>
      </c>
    </row>
    <row r="554" spans="2:14" x14ac:dyDescent="0.2">
      <c r="B554">
        <v>991</v>
      </c>
      <c r="C554">
        <v>13</v>
      </c>
      <c r="D554">
        <v>14</v>
      </c>
      <c r="F554" t="s">
        <v>1649</v>
      </c>
      <c r="G554" t="s">
        <v>1650</v>
      </c>
      <c r="I554" t="s">
        <v>1651</v>
      </c>
      <c r="J554" t="s">
        <v>59</v>
      </c>
      <c r="K554" t="s">
        <v>1573</v>
      </c>
      <c r="L554" t="s">
        <v>1587</v>
      </c>
      <c r="M554">
        <v>999</v>
      </c>
      <c r="N554">
        <v>999</v>
      </c>
    </row>
    <row r="555" spans="2:14" x14ac:dyDescent="0.2">
      <c r="B555">
        <v>991</v>
      </c>
      <c r="C555">
        <v>13</v>
      </c>
      <c r="D555">
        <v>14</v>
      </c>
      <c r="F555" t="s">
        <v>1652</v>
      </c>
      <c r="G555" t="s">
        <v>1653</v>
      </c>
      <c r="I555" t="s">
        <v>1654</v>
      </c>
      <c r="J555" t="s">
        <v>59</v>
      </c>
      <c r="K555" t="s">
        <v>1573</v>
      </c>
      <c r="L555" t="s">
        <v>1587</v>
      </c>
      <c r="M555">
        <v>999</v>
      </c>
      <c r="N555">
        <v>999</v>
      </c>
    </row>
    <row r="556" spans="2:14" x14ac:dyDescent="0.2">
      <c r="B556">
        <v>991</v>
      </c>
      <c r="C556">
        <v>13</v>
      </c>
      <c r="D556">
        <v>14</v>
      </c>
      <c r="F556" t="s">
        <v>1655</v>
      </c>
      <c r="G556" t="s">
        <v>1656</v>
      </c>
      <c r="I556" t="s">
        <v>1657</v>
      </c>
      <c r="J556" t="s">
        <v>59</v>
      </c>
      <c r="K556" t="s">
        <v>1573</v>
      </c>
      <c r="L556" t="s">
        <v>1587</v>
      </c>
      <c r="M556">
        <v>999</v>
      </c>
      <c r="N556">
        <v>999</v>
      </c>
    </row>
    <row r="557" spans="2:14" x14ac:dyDescent="0.2">
      <c r="B557">
        <v>991</v>
      </c>
      <c r="C557">
        <v>13</v>
      </c>
      <c r="D557">
        <v>14</v>
      </c>
      <c r="F557" t="s">
        <v>1658</v>
      </c>
      <c r="G557" t="s">
        <v>1659</v>
      </c>
      <c r="I557" t="s">
        <v>1660</v>
      </c>
      <c r="J557" t="s">
        <v>59</v>
      </c>
      <c r="K557" t="s">
        <v>1573</v>
      </c>
      <c r="L557" t="s">
        <v>1587</v>
      </c>
      <c r="M557">
        <v>999</v>
      </c>
      <c r="N557">
        <v>999</v>
      </c>
    </row>
    <row r="558" spans="2:14" x14ac:dyDescent="0.2">
      <c r="B558">
        <v>991</v>
      </c>
      <c r="C558">
        <v>13</v>
      </c>
      <c r="D558">
        <v>14</v>
      </c>
      <c r="F558" t="s">
        <v>1661</v>
      </c>
      <c r="G558" t="s">
        <v>1662</v>
      </c>
      <c r="H558" t="s">
        <v>82</v>
      </c>
      <c r="J558" t="s">
        <v>59</v>
      </c>
      <c r="K558" t="s">
        <v>1573</v>
      </c>
      <c r="L558" t="s">
        <v>1587</v>
      </c>
      <c r="M558">
        <v>999</v>
      </c>
    </row>
    <row r="559" spans="2:14" x14ac:dyDescent="0.2">
      <c r="B559">
        <v>991</v>
      </c>
      <c r="C559">
        <v>13</v>
      </c>
      <c r="D559">
        <v>14</v>
      </c>
      <c r="F559" t="s">
        <v>1663</v>
      </c>
      <c r="G559" t="s">
        <v>1664</v>
      </c>
      <c r="H559" t="s">
        <v>82</v>
      </c>
      <c r="J559" t="s">
        <v>59</v>
      </c>
      <c r="K559" t="s">
        <v>1573</v>
      </c>
      <c r="L559" t="s">
        <v>1587</v>
      </c>
      <c r="M559">
        <v>999</v>
      </c>
    </row>
    <row r="560" spans="2:14" x14ac:dyDescent="0.2">
      <c r="B560">
        <v>991</v>
      </c>
      <c r="C560">
        <v>13</v>
      </c>
      <c r="D560">
        <v>14</v>
      </c>
      <c r="F560" t="s">
        <v>1665</v>
      </c>
      <c r="G560" t="s">
        <v>1666</v>
      </c>
      <c r="H560" t="s">
        <v>82</v>
      </c>
      <c r="J560" t="s">
        <v>59</v>
      </c>
      <c r="K560" t="s">
        <v>1573</v>
      </c>
      <c r="L560" t="s">
        <v>1587</v>
      </c>
      <c r="M560">
        <v>999</v>
      </c>
    </row>
    <row r="561" spans="2:16" x14ac:dyDescent="0.2">
      <c r="B561">
        <v>991</v>
      </c>
      <c r="C561">
        <v>13</v>
      </c>
      <c r="D561">
        <v>14</v>
      </c>
      <c r="F561">
        <v>5566</v>
      </c>
      <c r="G561" t="s">
        <v>1667</v>
      </c>
      <c r="H561" t="s">
        <v>82</v>
      </c>
      <c r="J561" t="s">
        <v>59</v>
      </c>
      <c r="K561" t="s">
        <v>1573</v>
      </c>
      <c r="L561" t="s">
        <v>1587</v>
      </c>
      <c r="M561">
        <v>999</v>
      </c>
    </row>
    <row r="562" spans="2:16" x14ac:dyDescent="0.2">
      <c r="B562">
        <v>991</v>
      </c>
      <c r="C562">
        <v>13</v>
      </c>
      <c r="D562">
        <v>14</v>
      </c>
      <c r="F562">
        <v>7999</v>
      </c>
      <c r="G562" t="s">
        <v>1668</v>
      </c>
      <c r="H562" t="s">
        <v>82</v>
      </c>
      <c r="J562" t="s">
        <v>59</v>
      </c>
      <c r="K562" t="s">
        <v>1573</v>
      </c>
      <c r="L562" t="s">
        <v>1587</v>
      </c>
      <c r="M562">
        <v>999</v>
      </c>
    </row>
    <row r="563" spans="2:16" x14ac:dyDescent="0.2">
      <c r="B563">
        <v>991</v>
      </c>
      <c r="C563">
        <v>13</v>
      </c>
      <c r="D563">
        <v>14</v>
      </c>
      <c r="F563" t="s">
        <v>1669</v>
      </c>
      <c r="G563" t="s">
        <v>1670</v>
      </c>
      <c r="H563" t="s">
        <v>82</v>
      </c>
      <c r="J563" t="s">
        <v>59</v>
      </c>
      <c r="K563" t="s">
        <v>1573</v>
      </c>
      <c r="L563" t="s">
        <v>1587</v>
      </c>
      <c r="M563">
        <v>999</v>
      </c>
    </row>
    <row r="564" spans="2:16" x14ac:dyDescent="0.2">
      <c r="B564">
        <v>991</v>
      </c>
      <c r="C564">
        <v>13</v>
      </c>
      <c r="D564">
        <v>14</v>
      </c>
      <c r="F564" t="s">
        <v>1671</v>
      </c>
      <c r="G564" t="s">
        <v>1672</v>
      </c>
      <c r="H564" t="s">
        <v>82</v>
      </c>
      <c r="J564" t="s">
        <v>59</v>
      </c>
      <c r="K564" t="s">
        <v>1573</v>
      </c>
      <c r="L564" t="s">
        <v>1587</v>
      </c>
      <c r="M564">
        <v>999</v>
      </c>
    </row>
    <row r="565" spans="2:16" x14ac:dyDescent="0.2">
      <c r="B565">
        <v>991</v>
      </c>
      <c r="C565">
        <v>13</v>
      </c>
      <c r="D565">
        <v>14</v>
      </c>
      <c r="F565" t="s">
        <v>1673</v>
      </c>
      <c r="G565" t="s">
        <v>1674</v>
      </c>
      <c r="H565" t="s">
        <v>82</v>
      </c>
      <c r="J565" t="s">
        <v>59</v>
      </c>
      <c r="K565" t="s">
        <v>1573</v>
      </c>
      <c r="L565" t="s">
        <v>1587</v>
      </c>
      <c r="M565">
        <v>999</v>
      </c>
    </row>
    <row r="566" spans="2:16" x14ac:dyDescent="0.2">
      <c r="B566">
        <v>991</v>
      </c>
      <c r="C566">
        <v>13</v>
      </c>
      <c r="D566">
        <v>14</v>
      </c>
      <c r="F566" t="s">
        <v>1675</v>
      </c>
      <c r="G566" t="s">
        <v>1676</v>
      </c>
      <c r="H566" t="s">
        <v>82</v>
      </c>
      <c r="J566" t="s">
        <v>59</v>
      </c>
      <c r="K566" t="s">
        <v>1573</v>
      </c>
      <c r="L566" t="s">
        <v>1587</v>
      </c>
      <c r="M566">
        <v>999</v>
      </c>
    </row>
    <row r="567" spans="2:16" x14ac:dyDescent="0.2">
      <c r="B567">
        <v>991</v>
      </c>
      <c r="C567">
        <v>13</v>
      </c>
      <c r="D567">
        <v>14</v>
      </c>
      <c r="J567" t="s">
        <v>59</v>
      </c>
      <c r="K567" t="s">
        <v>1573</v>
      </c>
      <c r="L567" t="s">
        <v>1587</v>
      </c>
    </row>
    <row r="568" spans="2:16" x14ac:dyDescent="0.2">
      <c r="B568">
        <v>991</v>
      </c>
      <c r="C568">
        <v>13</v>
      </c>
      <c r="D568" t="e">
        <v>#N/A</v>
      </c>
      <c r="F568" t="s">
        <v>1677</v>
      </c>
      <c r="G568" t="s">
        <v>1678</v>
      </c>
      <c r="J568" t="s">
        <v>59</v>
      </c>
      <c r="K568" t="s">
        <v>1573</v>
      </c>
      <c r="L568" t="s">
        <v>1587</v>
      </c>
      <c r="M568">
        <v>999</v>
      </c>
    </row>
    <row r="569" spans="2:16" x14ac:dyDescent="0.2">
      <c r="B569">
        <v>991</v>
      </c>
      <c r="C569">
        <v>14</v>
      </c>
      <c r="D569">
        <v>11</v>
      </c>
      <c r="F569" t="s">
        <v>1680</v>
      </c>
      <c r="G569" t="s">
        <v>1681</v>
      </c>
      <c r="H569" t="s">
        <v>1682</v>
      </c>
      <c r="I569" t="s">
        <v>1683</v>
      </c>
      <c r="J569" t="s">
        <v>59</v>
      </c>
      <c r="K569" t="s">
        <v>1679</v>
      </c>
      <c r="L569" t="s">
        <v>1684</v>
      </c>
      <c r="M569">
        <v>999</v>
      </c>
      <c r="N569">
        <v>999</v>
      </c>
      <c r="P569">
        <v>256</v>
      </c>
    </row>
    <row r="570" spans="2:16" x14ac:dyDescent="0.2">
      <c r="B570">
        <v>991</v>
      </c>
      <c r="C570">
        <v>14</v>
      </c>
      <c r="D570">
        <v>12</v>
      </c>
      <c r="F570" t="s">
        <v>1685</v>
      </c>
      <c r="G570" t="s">
        <v>1686</v>
      </c>
      <c r="H570" t="s">
        <v>1687</v>
      </c>
      <c r="I570" t="s">
        <v>1688</v>
      </c>
      <c r="J570" t="s">
        <v>59</v>
      </c>
      <c r="K570" t="s">
        <v>1679</v>
      </c>
      <c r="L570" t="s">
        <v>905</v>
      </c>
      <c r="M570">
        <v>999</v>
      </c>
      <c r="N570">
        <v>999</v>
      </c>
      <c r="P570">
        <v>32</v>
      </c>
    </row>
    <row r="571" spans="2:16" x14ac:dyDescent="0.2">
      <c r="B571">
        <v>991</v>
      </c>
      <c r="C571">
        <v>14</v>
      </c>
      <c r="D571" t="e">
        <v>#N/A</v>
      </c>
      <c r="F571" t="s">
        <v>1689</v>
      </c>
      <c r="G571" t="s">
        <v>1690</v>
      </c>
      <c r="H571" t="s">
        <v>1691</v>
      </c>
      <c r="I571" t="s">
        <v>1692</v>
      </c>
      <c r="J571" t="s">
        <v>59</v>
      </c>
      <c r="K571" t="s">
        <v>1679</v>
      </c>
      <c r="L571" t="s">
        <v>1693</v>
      </c>
      <c r="M571">
        <v>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1C90-31DF-46B8-9F7D-7C6080E126B5}">
  <dimension ref="A1:S570"/>
  <sheetViews>
    <sheetView topLeftCell="A525" workbookViewId="0">
      <selection activeCell="A2" sqref="A2:XFD570"/>
    </sheetView>
  </sheetViews>
  <sheetFormatPr defaultRowHeight="14.25" x14ac:dyDescent="0.2"/>
  <sheetData>
    <row r="1" spans="1:19" x14ac:dyDescent="0.2">
      <c r="A1" t="s">
        <v>70</v>
      </c>
      <c r="B1" t="s">
        <v>71</v>
      </c>
      <c r="C1" t="s">
        <v>72</v>
      </c>
      <c r="D1" t="s">
        <v>73</v>
      </c>
      <c r="E1" t="s">
        <v>8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</row>
    <row r="2" spans="1:19" x14ac:dyDescent="0.2">
      <c r="A2" t="e">
        <v>#REF!</v>
      </c>
      <c r="B2">
        <v>101</v>
      </c>
      <c r="C2" t="e">
        <v>#REF!</v>
      </c>
      <c r="D2" t="e">
        <v>#VALUE!</v>
      </c>
      <c r="E2">
        <v>10001</v>
      </c>
      <c r="F2" t="s">
        <v>74</v>
      </c>
      <c r="G2" t="s">
        <v>75</v>
      </c>
      <c r="H2" t="s">
        <v>76</v>
      </c>
      <c r="I2" t="s">
        <v>77</v>
      </c>
      <c r="J2" t="s">
        <v>29</v>
      </c>
      <c r="N2">
        <v>999</v>
      </c>
      <c r="O2">
        <v>999</v>
      </c>
      <c r="Q2">
        <v>16</v>
      </c>
    </row>
    <row r="3" spans="1:19" x14ac:dyDescent="0.2">
      <c r="A3" t="e">
        <v>#REF!</v>
      </c>
      <c r="B3">
        <v>101</v>
      </c>
      <c r="C3" t="e">
        <v>#REF!</v>
      </c>
      <c r="D3" t="e">
        <v>#VALUE!</v>
      </c>
      <c r="E3">
        <v>10002</v>
      </c>
      <c r="F3" t="s">
        <v>78</v>
      </c>
      <c r="J3" t="s">
        <v>29</v>
      </c>
      <c r="K3" t="s">
        <v>79</v>
      </c>
    </row>
    <row r="4" spans="1:19" x14ac:dyDescent="0.2">
      <c r="A4" t="e">
        <v>#REF!</v>
      </c>
      <c r="B4">
        <v>101</v>
      </c>
      <c r="C4" t="e">
        <v>#REF!</v>
      </c>
      <c r="D4" t="e">
        <v>#VALUE!</v>
      </c>
      <c r="E4">
        <v>10003</v>
      </c>
      <c r="F4" t="s">
        <v>80</v>
      </c>
      <c r="G4" t="s">
        <v>81</v>
      </c>
      <c r="H4" t="s">
        <v>82</v>
      </c>
      <c r="I4" t="s">
        <v>83</v>
      </c>
      <c r="J4" t="s">
        <v>29</v>
      </c>
      <c r="K4" t="s">
        <v>79</v>
      </c>
      <c r="L4" t="s">
        <v>84</v>
      </c>
      <c r="N4">
        <v>999</v>
      </c>
    </row>
    <row r="5" spans="1:19" x14ac:dyDescent="0.2">
      <c r="A5" t="e">
        <v>#REF!</v>
      </c>
      <c r="B5">
        <v>101</v>
      </c>
      <c r="C5" t="e">
        <v>#REF!</v>
      </c>
      <c r="D5" t="e">
        <v>#VALUE!</v>
      </c>
      <c r="E5">
        <v>10004</v>
      </c>
      <c r="F5" t="s">
        <v>85</v>
      </c>
      <c r="G5" t="s">
        <v>86</v>
      </c>
      <c r="H5" t="s">
        <v>82</v>
      </c>
      <c r="I5" t="s">
        <v>87</v>
      </c>
      <c r="J5" t="s">
        <v>29</v>
      </c>
      <c r="K5" t="s">
        <v>79</v>
      </c>
      <c r="L5" t="s">
        <v>84</v>
      </c>
      <c r="N5">
        <v>999</v>
      </c>
      <c r="Q5">
        <v>256</v>
      </c>
    </row>
    <row r="6" spans="1:19" x14ac:dyDescent="0.2">
      <c r="A6" t="e">
        <v>#REF!</v>
      </c>
      <c r="B6">
        <v>101</v>
      </c>
      <c r="C6" t="e">
        <v>#REF!</v>
      </c>
      <c r="D6" t="e">
        <v>#VALUE!</v>
      </c>
      <c r="E6">
        <v>10005</v>
      </c>
      <c r="F6" t="s">
        <v>88</v>
      </c>
      <c r="G6" t="s">
        <v>89</v>
      </c>
      <c r="H6" t="s">
        <v>82</v>
      </c>
      <c r="I6" t="s">
        <v>90</v>
      </c>
      <c r="J6" t="s">
        <v>29</v>
      </c>
      <c r="K6" t="s">
        <v>79</v>
      </c>
      <c r="L6" t="s">
        <v>84</v>
      </c>
      <c r="N6">
        <v>999</v>
      </c>
    </row>
    <row r="7" spans="1:19" x14ac:dyDescent="0.2">
      <c r="A7" t="e">
        <v>#REF!</v>
      </c>
      <c r="B7">
        <v>101</v>
      </c>
      <c r="C7" t="e">
        <v>#REF!</v>
      </c>
      <c r="D7" t="e">
        <v>#VALUE!</v>
      </c>
      <c r="E7">
        <v>10006</v>
      </c>
      <c r="F7" t="s">
        <v>91</v>
      </c>
      <c r="G7" t="s">
        <v>92</v>
      </c>
      <c r="H7" t="s">
        <v>82</v>
      </c>
      <c r="I7" t="s">
        <v>93</v>
      </c>
      <c r="J7" t="s">
        <v>29</v>
      </c>
      <c r="K7" t="s">
        <v>79</v>
      </c>
      <c r="L7" t="s">
        <v>84</v>
      </c>
      <c r="N7">
        <v>999</v>
      </c>
      <c r="Q7">
        <v>16</v>
      </c>
    </row>
    <row r="8" spans="1:19" x14ac:dyDescent="0.2">
      <c r="A8" t="e">
        <v>#REF!</v>
      </c>
      <c r="B8">
        <v>101</v>
      </c>
      <c r="C8" t="e">
        <v>#REF!</v>
      </c>
      <c r="D8" t="e">
        <v>#VALUE!</v>
      </c>
      <c r="E8">
        <v>10007</v>
      </c>
      <c r="F8" t="s">
        <v>94</v>
      </c>
      <c r="G8" t="s">
        <v>95</v>
      </c>
      <c r="H8" t="s">
        <v>82</v>
      </c>
      <c r="I8" t="s">
        <v>93</v>
      </c>
      <c r="J8" t="s">
        <v>29</v>
      </c>
      <c r="K8" t="s">
        <v>79</v>
      </c>
      <c r="L8" t="s">
        <v>84</v>
      </c>
      <c r="N8">
        <v>999</v>
      </c>
      <c r="Q8">
        <v>16</v>
      </c>
    </row>
    <row r="9" spans="1:19" x14ac:dyDescent="0.2">
      <c r="A9" t="e">
        <v>#REF!</v>
      </c>
      <c r="B9">
        <v>101</v>
      </c>
      <c r="C9" t="e">
        <v>#REF!</v>
      </c>
      <c r="D9" t="e">
        <v>#VALUE!</v>
      </c>
      <c r="E9">
        <v>10008</v>
      </c>
      <c r="F9" t="s">
        <v>96</v>
      </c>
      <c r="G9" t="s">
        <v>97</v>
      </c>
      <c r="H9" t="s">
        <v>82</v>
      </c>
      <c r="I9" t="s">
        <v>98</v>
      </c>
      <c r="J9" t="s">
        <v>29</v>
      </c>
      <c r="K9" t="s">
        <v>79</v>
      </c>
      <c r="L9" t="s">
        <v>84</v>
      </c>
      <c r="N9">
        <v>999</v>
      </c>
      <c r="Q9">
        <v>16</v>
      </c>
    </row>
    <row r="10" spans="1:19" x14ac:dyDescent="0.2">
      <c r="A10" t="e">
        <v>#REF!</v>
      </c>
      <c r="B10">
        <v>101</v>
      </c>
      <c r="C10" t="e">
        <v>#REF!</v>
      </c>
      <c r="D10" t="e">
        <v>#VALUE!</v>
      </c>
      <c r="E10">
        <v>10009</v>
      </c>
      <c r="F10" t="s">
        <v>99</v>
      </c>
      <c r="G10" t="s">
        <v>100</v>
      </c>
      <c r="H10" t="s">
        <v>82</v>
      </c>
      <c r="I10" t="s">
        <v>101</v>
      </c>
      <c r="J10" t="s">
        <v>29</v>
      </c>
      <c r="K10" t="s">
        <v>79</v>
      </c>
      <c r="L10" t="s">
        <v>84</v>
      </c>
      <c r="N10">
        <v>999</v>
      </c>
      <c r="O10">
        <v>999</v>
      </c>
      <c r="Q10">
        <v>32</v>
      </c>
    </row>
    <row r="11" spans="1:19" x14ac:dyDescent="0.2">
      <c r="A11" t="e">
        <v>#REF!</v>
      </c>
      <c r="B11">
        <v>101</v>
      </c>
      <c r="C11" t="e">
        <v>#REF!</v>
      </c>
      <c r="D11" t="e">
        <v>#VALUE!</v>
      </c>
      <c r="E11">
        <v>10010</v>
      </c>
      <c r="F11" t="s">
        <v>102</v>
      </c>
      <c r="G11" t="s">
        <v>103</v>
      </c>
      <c r="H11" t="s">
        <v>82</v>
      </c>
      <c r="I11" t="s">
        <v>104</v>
      </c>
      <c r="J11" t="s">
        <v>29</v>
      </c>
      <c r="K11" t="s">
        <v>79</v>
      </c>
      <c r="L11" t="s">
        <v>84</v>
      </c>
      <c r="N11">
        <v>999</v>
      </c>
    </row>
    <row r="12" spans="1:19" x14ac:dyDescent="0.2">
      <c r="A12" t="e">
        <v>#REF!</v>
      </c>
      <c r="B12">
        <v>101</v>
      </c>
      <c r="C12" t="e">
        <v>#REF!</v>
      </c>
      <c r="D12" t="e">
        <v>#VALUE!</v>
      </c>
      <c r="E12">
        <v>10011</v>
      </c>
      <c r="F12" t="s">
        <v>105</v>
      </c>
      <c r="G12" t="s">
        <v>106</v>
      </c>
      <c r="H12" t="s">
        <v>82</v>
      </c>
      <c r="I12" t="s">
        <v>107</v>
      </c>
      <c r="J12" t="s">
        <v>29</v>
      </c>
      <c r="K12" t="s">
        <v>79</v>
      </c>
      <c r="L12" t="s">
        <v>84</v>
      </c>
      <c r="N12">
        <v>999</v>
      </c>
    </row>
    <row r="13" spans="1:19" x14ac:dyDescent="0.2">
      <c r="A13" t="e">
        <v>#REF!</v>
      </c>
      <c r="B13">
        <v>101</v>
      </c>
      <c r="C13" t="e">
        <v>#REF!</v>
      </c>
      <c r="D13" t="e">
        <v>#VALUE!</v>
      </c>
      <c r="E13">
        <v>10012</v>
      </c>
      <c r="F13" t="s">
        <v>108</v>
      </c>
      <c r="G13" t="s">
        <v>109</v>
      </c>
      <c r="H13" t="s">
        <v>82</v>
      </c>
      <c r="I13" t="s">
        <v>110</v>
      </c>
      <c r="J13" t="s">
        <v>29</v>
      </c>
      <c r="K13" t="s">
        <v>79</v>
      </c>
      <c r="L13" t="s">
        <v>84</v>
      </c>
      <c r="N13">
        <v>999</v>
      </c>
      <c r="O13">
        <v>999</v>
      </c>
      <c r="Q13">
        <v>32</v>
      </c>
    </row>
    <row r="14" spans="1:19" x14ac:dyDescent="0.2">
      <c r="A14" t="e">
        <v>#REF!</v>
      </c>
      <c r="B14">
        <v>101</v>
      </c>
      <c r="C14" t="e">
        <v>#REF!</v>
      </c>
      <c r="D14" t="e">
        <v>#VALUE!</v>
      </c>
      <c r="E14">
        <v>10013</v>
      </c>
      <c r="F14" t="s">
        <v>111</v>
      </c>
      <c r="G14" t="s">
        <v>112</v>
      </c>
      <c r="H14" t="s">
        <v>82</v>
      </c>
      <c r="I14" t="s">
        <v>113</v>
      </c>
      <c r="J14" t="s">
        <v>29</v>
      </c>
      <c r="K14" t="s">
        <v>79</v>
      </c>
      <c r="L14" t="s">
        <v>84</v>
      </c>
      <c r="N14">
        <v>999</v>
      </c>
      <c r="O14">
        <v>999</v>
      </c>
      <c r="Q14">
        <v>16</v>
      </c>
    </row>
    <row r="15" spans="1:19" x14ac:dyDescent="0.2">
      <c r="A15" t="e">
        <v>#REF!</v>
      </c>
      <c r="B15">
        <v>101</v>
      </c>
      <c r="C15" t="e">
        <v>#REF!</v>
      </c>
      <c r="D15" t="e">
        <v>#VALUE!</v>
      </c>
      <c r="E15">
        <v>10014</v>
      </c>
      <c r="F15" t="s">
        <v>114</v>
      </c>
      <c r="H15" t="s">
        <v>82</v>
      </c>
      <c r="J15" t="s">
        <v>29</v>
      </c>
      <c r="K15" t="s">
        <v>79</v>
      </c>
      <c r="L15" t="s">
        <v>84</v>
      </c>
    </row>
    <row r="16" spans="1:19" x14ac:dyDescent="0.2">
      <c r="A16" t="e">
        <v>#REF!</v>
      </c>
      <c r="B16">
        <v>101</v>
      </c>
      <c r="C16" t="e">
        <v>#REF!</v>
      </c>
      <c r="D16" t="e">
        <v>#VALUE!</v>
      </c>
      <c r="E16">
        <v>10015</v>
      </c>
      <c r="F16" t="s">
        <v>115</v>
      </c>
      <c r="G16" t="s">
        <v>116</v>
      </c>
      <c r="H16" t="s">
        <v>82</v>
      </c>
      <c r="I16" t="s">
        <v>117</v>
      </c>
      <c r="J16" t="s">
        <v>29</v>
      </c>
      <c r="K16" t="s">
        <v>79</v>
      </c>
      <c r="L16" t="s">
        <v>84</v>
      </c>
      <c r="N16">
        <v>999</v>
      </c>
      <c r="Q16">
        <v>16</v>
      </c>
    </row>
    <row r="17" spans="1:17" x14ac:dyDescent="0.2">
      <c r="A17" t="e">
        <v>#REF!</v>
      </c>
      <c r="B17">
        <v>101</v>
      </c>
      <c r="C17" t="e">
        <v>#REF!</v>
      </c>
      <c r="D17" t="e">
        <v>#VALUE!</v>
      </c>
      <c r="E17">
        <v>10016</v>
      </c>
      <c r="F17" t="s">
        <v>118</v>
      </c>
      <c r="G17" t="s">
        <v>119</v>
      </c>
      <c r="H17" t="s">
        <v>82</v>
      </c>
      <c r="I17" t="s">
        <v>120</v>
      </c>
      <c r="J17" t="s">
        <v>29</v>
      </c>
      <c r="K17" t="s">
        <v>79</v>
      </c>
      <c r="L17" t="s">
        <v>84</v>
      </c>
      <c r="N17">
        <v>999</v>
      </c>
      <c r="Q17">
        <v>16</v>
      </c>
    </row>
    <row r="18" spans="1:17" x14ac:dyDescent="0.2">
      <c r="A18" t="e">
        <v>#REF!</v>
      </c>
      <c r="B18">
        <v>101</v>
      </c>
      <c r="C18" t="e">
        <v>#REF!</v>
      </c>
      <c r="D18" t="e">
        <v>#VALUE!</v>
      </c>
      <c r="E18">
        <v>10017</v>
      </c>
      <c r="F18" t="s">
        <v>121</v>
      </c>
      <c r="G18" t="s">
        <v>122</v>
      </c>
      <c r="H18" t="s">
        <v>82</v>
      </c>
      <c r="I18" t="s">
        <v>123</v>
      </c>
      <c r="J18" t="s">
        <v>29</v>
      </c>
      <c r="K18" t="s">
        <v>79</v>
      </c>
      <c r="L18" t="s">
        <v>84</v>
      </c>
      <c r="N18">
        <v>999</v>
      </c>
      <c r="Q18">
        <v>16</v>
      </c>
    </row>
    <row r="19" spans="1:17" x14ac:dyDescent="0.2">
      <c r="A19" t="e">
        <v>#REF!</v>
      </c>
      <c r="B19">
        <v>101</v>
      </c>
      <c r="C19" t="e">
        <v>#REF!</v>
      </c>
      <c r="D19" t="e">
        <v>#VALUE!</v>
      </c>
      <c r="E19">
        <v>10018</v>
      </c>
      <c r="F19" t="s">
        <v>124</v>
      </c>
      <c r="G19" t="s">
        <v>125</v>
      </c>
      <c r="H19" t="s">
        <v>82</v>
      </c>
      <c r="I19" t="s">
        <v>126</v>
      </c>
      <c r="J19" t="s">
        <v>29</v>
      </c>
      <c r="K19" t="s">
        <v>79</v>
      </c>
      <c r="L19" t="s">
        <v>84</v>
      </c>
      <c r="N19">
        <v>999</v>
      </c>
    </row>
    <row r="20" spans="1:17" x14ac:dyDescent="0.2">
      <c r="A20" t="e">
        <v>#REF!</v>
      </c>
      <c r="B20">
        <v>101</v>
      </c>
      <c r="C20" t="e">
        <v>#REF!</v>
      </c>
      <c r="D20" t="e">
        <v>#VALUE!</v>
      </c>
      <c r="E20">
        <v>10019</v>
      </c>
      <c r="F20" t="s">
        <v>127</v>
      </c>
      <c r="G20" t="s">
        <v>128</v>
      </c>
      <c r="H20" t="s">
        <v>82</v>
      </c>
      <c r="J20" t="s">
        <v>29</v>
      </c>
      <c r="K20" t="s">
        <v>79</v>
      </c>
      <c r="L20" t="s">
        <v>84</v>
      </c>
    </row>
    <row r="21" spans="1:17" x14ac:dyDescent="0.2">
      <c r="A21" t="e">
        <v>#REF!</v>
      </c>
      <c r="B21">
        <v>101</v>
      </c>
      <c r="C21" t="e">
        <v>#REF!</v>
      </c>
      <c r="D21" t="e">
        <v>#VALUE!</v>
      </c>
      <c r="E21">
        <v>10020</v>
      </c>
      <c r="F21" t="s">
        <v>129</v>
      </c>
      <c r="G21" t="s">
        <v>130</v>
      </c>
      <c r="H21" t="s">
        <v>82</v>
      </c>
      <c r="I21" t="s">
        <v>131</v>
      </c>
      <c r="J21" t="s">
        <v>29</v>
      </c>
      <c r="K21" t="s">
        <v>79</v>
      </c>
      <c r="L21" t="s">
        <v>84</v>
      </c>
      <c r="N21">
        <v>999</v>
      </c>
      <c r="O21">
        <v>999</v>
      </c>
      <c r="Q21">
        <v>16</v>
      </c>
    </row>
    <row r="22" spans="1:17" x14ac:dyDescent="0.2">
      <c r="A22" t="e">
        <v>#REF!</v>
      </c>
      <c r="B22">
        <v>101</v>
      </c>
      <c r="C22" t="e">
        <v>#REF!</v>
      </c>
      <c r="D22" t="e">
        <v>#VALUE!</v>
      </c>
      <c r="E22">
        <v>10021</v>
      </c>
      <c r="F22" t="s">
        <v>132</v>
      </c>
      <c r="G22" t="s">
        <v>133</v>
      </c>
      <c r="H22" t="s">
        <v>82</v>
      </c>
      <c r="I22" t="s">
        <v>134</v>
      </c>
      <c r="J22" t="s">
        <v>29</v>
      </c>
      <c r="K22" t="s">
        <v>79</v>
      </c>
      <c r="L22" t="s">
        <v>84</v>
      </c>
      <c r="N22">
        <v>999</v>
      </c>
      <c r="O22">
        <v>999</v>
      </c>
      <c r="Q22">
        <v>16</v>
      </c>
    </row>
    <row r="23" spans="1:17" x14ac:dyDescent="0.2">
      <c r="A23" t="e">
        <v>#REF!</v>
      </c>
      <c r="B23">
        <v>101</v>
      </c>
      <c r="C23" t="e">
        <v>#REF!</v>
      </c>
      <c r="D23" t="e">
        <v>#VALUE!</v>
      </c>
      <c r="E23">
        <v>10022</v>
      </c>
      <c r="F23" t="s">
        <v>135</v>
      </c>
      <c r="G23" t="s">
        <v>136</v>
      </c>
      <c r="H23" t="s">
        <v>82</v>
      </c>
      <c r="I23" t="s">
        <v>137</v>
      </c>
      <c r="J23" t="s">
        <v>29</v>
      </c>
      <c r="K23" t="s">
        <v>79</v>
      </c>
      <c r="L23" t="s">
        <v>84</v>
      </c>
      <c r="N23">
        <v>999</v>
      </c>
    </row>
    <row r="24" spans="1:17" x14ac:dyDescent="0.2">
      <c r="A24" t="e">
        <v>#REF!</v>
      </c>
      <c r="B24">
        <v>101</v>
      </c>
      <c r="C24" t="e">
        <v>#REF!</v>
      </c>
      <c r="D24" t="e">
        <v>#VALUE!</v>
      </c>
      <c r="E24">
        <v>10023</v>
      </c>
      <c r="F24" t="s">
        <v>138</v>
      </c>
      <c r="G24" t="s">
        <v>139</v>
      </c>
      <c r="H24" t="s">
        <v>82</v>
      </c>
      <c r="I24" t="s">
        <v>140</v>
      </c>
      <c r="J24" t="s">
        <v>29</v>
      </c>
      <c r="K24" t="s">
        <v>79</v>
      </c>
      <c r="L24" t="s">
        <v>84</v>
      </c>
      <c r="N24">
        <v>999</v>
      </c>
    </row>
    <row r="25" spans="1:17" x14ac:dyDescent="0.2">
      <c r="A25" t="e">
        <v>#REF!</v>
      </c>
      <c r="B25">
        <v>101</v>
      </c>
      <c r="C25" t="e">
        <v>#REF!</v>
      </c>
      <c r="D25" t="e">
        <v>#VALUE!</v>
      </c>
      <c r="E25">
        <v>10024</v>
      </c>
      <c r="F25" t="s">
        <v>141</v>
      </c>
      <c r="G25" t="s">
        <v>142</v>
      </c>
      <c r="H25" t="s">
        <v>82</v>
      </c>
      <c r="I25" t="s">
        <v>143</v>
      </c>
      <c r="J25" t="s">
        <v>29</v>
      </c>
      <c r="K25" t="s">
        <v>79</v>
      </c>
      <c r="L25" t="s">
        <v>84</v>
      </c>
      <c r="N25">
        <v>999</v>
      </c>
      <c r="Q25">
        <v>16</v>
      </c>
    </row>
    <row r="26" spans="1:17" x14ac:dyDescent="0.2">
      <c r="A26" t="e">
        <v>#REF!</v>
      </c>
      <c r="B26">
        <v>101</v>
      </c>
      <c r="C26" t="e">
        <v>#REF!</v>
      </c>
      <c r="D26" t="e">
        <v>#VALUE!</v>
      </c>
      <c r="E26">
        <v>10025</v>
      </c>
      <c r="F26" t="s">
        <v>144</v>
      </c>
      <c r="G26" t="s">
        <v>145</v>
      </c>
      <c r="H26" t="s">
        <v>82</v>
      </c>
      <c r="I26" t="s">
        <v>146</v>
      </c>
      <c r="J26" t="s">
        <v>29</v>
      </c>
      <c r="K26" t="s">
        <v>79</v>
      </c>
      <c r="L26" t="s">
        <v>84</v>
      </c>
      <c r="N26">
        <v>999</v>
      </c>
      <c r="Q26">
        <v>16</v>
      </c>
    </row>
    <row r="27" spans="1:17" x14ac:dyDescent="0.2">
      <c r="A27" t="e">
        <v>#REF!</v>
      </c>
      <c r="B27">
        <v>101</v>
      </c>
      <c r="C27" t="e">
        <v>#REF!</v>
      </c>
      <c r="D27" t="e">
        <v>#VALUE!</v>
      </c>
      <c r="E27">
        <v>10026</v>
      </c>
      <c r="F27" t="s">
        <v>147</v>
      </c>
      <c r="G27" t="s">
        <v>148</v>
      </c>
      <c r="H27" t="s">
        <v>82</v>
      </c>
      <c r="I27" t="s">
        <v>149</v>
      </c>
      <c r="J27" t="s">
        <v>29</v>
      </c>
      <c r="K27" t="s">
        <v>79</v>
      </c>
      <c r="L27" t="s">
        <v>84</v>
      </c>
      <c r="N27">
        <v>999</v>
      </c>
      <c r="Q27">
        <v>32</v>
      </c>
    </row>
    <row r="28" spans="1:17" x14ac:dyDescent="0.2">
      <c r="A28" t="e">
        <v>#REF!</v>
      </c>
      <c r="B28">
        <v>101</v>
      </c>
      <c r="C28" t="e">
        <v>#REF!</v>
      </c>
      <c r="D28" t="e">
        <v>#VALUE!</v>
      </c>
      <c r="E28">
        <v>10027</v>
      </c>
      <c r="F28" t="s">
        <v>150</v>
      </c>
      <c r="G28" t="s">
        <v>151</v>
      </c>
      <c r="H28" t="s">
        <v>82</v>
      </c>
      <c r="I28" t="s">
        <v>152</v>
      </c>
      <c r="J28" t="s">
        <v>29</v>
      </c>
      <c r="K28" t="s">
        <v>79</v>
      </c>
      <c r="L28" t="s">
        <v>84</v>
      </c>
      <c r="N28">
        <v>999</v>
      </c>
      <c r="O28">
        <v>999</v>
      </c>
      <c r="Q28">
        <v>32</v>
      </c>
    </row>
    <row r="29" spans="1:17" x14ac:dyDescent="0.2">
      <c r="A29" t="e">
        <v>#REF!</v>
      </c>
      <c r="B29">
        <v>101</v>
      </c>
      <c r="C29" t="e">
        <v>#REF!</v>
      </c>
      <c r="D29" t="e">
        <v>#VALUE!</v>
      </c>
      <c r="E29">
        <v>10028</v>
      </c>
      <c r="F29" t="s">
        <v>153</v>
      </c>
      <c r="G29" t="s">
        <v>154</v>
      </c>
      <c r="H29" t="s">
        <v>82</v>
      </c>
      <c r="I29" t="s">
        <v>155</v>
      </c>
      <c r="J29" t="s">
        <v>29</v>
      </c>
      <c r="K29" t="s">
        <v>79</v>
      </c>
      <c r="L29" t="s">
        <v>84</v>
      </c>
      <c r="N29">
        <v>999</v>
      </c>
    </row>
    <row r="30" spans="1:17" x14ac:dyDescent="0.2">
      <c r="A30" t="e">
        <v>#REF!</v>
      </c>
      <c r="B30">
        <v>101</v>
      </c>
      <c r="C30" t="e">
        <v>#REF!</v>
      </c>
      <c r="D30" t="e">
        <v>#VALUE!</v>
      </c>
      <c r="E30">
        <v>10029</v>
      </c>
      <c r="F30" t="s">
        <v>156</v>
      </c>
      <c r="G30" t="s">
        <v>151</v>
      </c>
      <c r="H30" t="s">
        <v>82</v>
      </c>
      <c r="I30" t="s">
        <v>157</v>
      </c>
      <c r="J30" t="s">
        <v>29</v>
      </c>
      <c r="K30" t="s">
        <v>79</v>
      </c>
      <c r="L30" t="s">
        <v>84</v>
      </c>
      <c r="N30">
        <v>999</v>
      </c>
      <c r="Q30">
        <v>16</v>
      </c>
    </row>
    <row r="31" spans="1:17" x14ac:dyDescent="0.2">
      <c r="A31" t="e">
        <v>#REF!</v>
      </c>
      <c r="B31">
        <v>101</v>
      </c>
      <c r="C31" t="e">
        <v>#REF!</v>
      </c>
      <c r="D31" t="e">
        <v>#VALUE!</v>
      </c>
      <c r="E31">
        <v>10030</v>
      </c>
      <c r="F31" t="s">
        <v>158</v>
      </c>
      <c r="G31" t="s">
        <v>159</v>
      </c>
      <c r="H31" t="s">
        <v>82</v>
      </c>
      <c r="I31" t="s">
        <v>160</v>
      </c>
      <c r="J31" t="s">
        <v>29</v>
      </c>
      <c r="K31" t="s">
        <v>79</v>
      </c>
      <c r="L31" t="s">
        <v>84</v>
      </c>
      <c r="N31">
        <v>999</v>
      </c>
      <c r="O31">
        <v>999</v>
      </c>
      <c r="Q31">
        <v>64</v>
      </c>
    </row>
    <row r="32" spans="1:17" x14ac:dyDescent="0.2">
      <c r="A32" t="e">
        <v>#REF!</v>
      </c>
      <c r="B32">
        <v>101</v>
      </c>
      <c r="C32" t="e">
        <v>#REF!</v>
      </c>
      <c r="D32" t="e">
        <v>#VALUE!</v>
      </c>
      <c r="E32">
        <v>10031</v>
      </c>
      <c r="F32" t="s">
        <v>161</v>
      </c>
      <c r="G32" t="s">
        <v>162</v>
      </c>
      <c r="H32" t="s">
        <v>82</v>
      </c>
      <c r="I32" t="s">
        <v>163</v>
      </c>
      <c r="J32" t="s">
        <v>29</v>
      </c>
      <c r="K32" t="s">
        <v>79</v>
      </c>
      <c r="L32" t="s">
        <v>84</v>
      </c>
      <c r="N32">
        <v>999</v>
      </c>
      <c r="Q32">
        <v>16</v>
      </c>
    </row>
    <row r="33" spans="1:17" x14ac:dyDescent="0.2">
      <c r="A33" t="e">
        <v>#REF!</v>
      </c>
      <c r="B33">
        <v>101</v>
      </c>
      <c r="C33" t="e">
        <v>#REF!</v>
      </c>
      <c r="D33" t="e">
        <v>#VALUE!</v>
      </c>
      <c r="E33">
        <v>10032</v>
      </c>
      <c r="F33" t="s">
        <v>164</v>
      </c>
      <c r="G33" t="s">
        <v>165</v>
      </c>
      <c r="H33" t="s">
        <v>82</v>
      </c>
      <c r="I33" t="s">
        <v>166</v>
      </c>
      <c r="J33" t="s">
        <v>29</v>
      </c>
      <c r="K33" t="s">
        <v>79</v>
      </c>
      <c r="L33" t="s">
        <v>84</v>
      </c>
      <c r="N33">
        <v>999</v>
      </c>
    </row>
    <row r="34" spans="1:17" x14ac:dyDescent="0.2">
      <c r="A34" t="e">
        <v>#REF!</v>
      </c>
      <c r="B34">
        <v>101</v>
      </c>
      <c r="C34" t="e">
        <v>#REF!</v>
      </c>
      <c r="D34" t="e">
        <v>#VALUE!</v>
      </c>
      <c r="E34">
        <v>10033</v>
      </c>
      <c r="F34" t="s">
        <v>167</v>
      </c>
      <c r="G34" t="s">
        <v>168</v>
      </c>
      <c r="H34" t="s">
        <v>169</v>
      </c>
      <c r="I34" t="s">
        <v>170</v>
      </c>
      <c r="J34" t="s">
        <v>29</v>
      </c>
      <c r="K34" t="s">
        <v>79</v>
      </c>
      <c r="L34" t="s">
        <v>171</v>
      </c>
      <c r="N34">
        <v>999</v>
      </c>
      <c r="Q34">
        <v>30</v>
      </c>
    </row>
    <row r="35" spans="1:17" x14ac:dyDescent="0.2">
      <c r="A35" t="e">
        <v>#REF!</v>
      </c>
      <c r="B35">
        <v>101</v>
      </c>
      <c r="C35" t="e">
        <v>#REF!</v>
      </c>
      <c r="D35" t="e">
        <v>#VALUE!</v>
      </c>
      <c r="E35">
        <v>10034</v>
      </c>
      <c r="F35" t="s">
        <v>172</v>
      </c>
      <c r="G35" t="s">
        <v>173</v>
      </c>
      <c r="H35" t="s">
        <v>82</v>
      </c>
      <c r="I35" t="s">
        <v>174</v>
      </c>
      <c r="J35" t="s">
        <v>29</v>
      </c>
      <c r="K35" t="s">
        <v>79</v>
      </c>
      <c r="L35" t="s">
        <v>175</v>
      </c>
      <c r="N35">
        <v>999</v>
      </c>
      <c r="O35">
        <v>999</v>
      </c>
    </row>
    <row r="36" spans="1:17" x14ac:dyDescent="0.2">
      <c r="A36" t="e">
        <v>#REF!</v>
      </c>
      <c r="B36">
        <v>101</v>
      </c>
      <c r="C36" t="e">
        <v>#REF!</v>
      </c>
      <c r="D36" t="e">
        <v>#VALUE!</v>
      </c>
      <c r="E36">
        <v>10035</v>
      </c>
      <c r="F36" t="s">
        <v>176</v>
      </c>
      <c r="G36" t="s">
        <v>177</v>
      </c>
      <c r="H36" t="s">
        <v>82</v>
      </c>
      <c r="I36" t="s">
        <v>178</v>
      </c>
      <c r="J36" t="s">
        <v>29</v>
      </c>
      <c r="K36" t="s">
        <v>79</v>
      </c>
      <c r="L36" t="s">
        <v>175</v>
      </c>
      <c r="N36">
        <v>999</v>
      </c>
    </row>
    <row r="37" spans="1:17" x14ac:dyDescent="0.2">
      <c r="A37" t="e">
        <v>#REF!</v>
      </c>
      <c r="B37">
        <v>101</v>
      </c>
      <c r="C37" t="e">
        <v>#REF!</v>
      </c>
      <c r="D37" t="e">
        <v>#VALUE!</v>
      </c>
      <c r="E37">
        <v>10036</v>
      </c>
      <c r="F37" t="s">
        <v>179</v>
      </c>
      <c r="G37" t="s">
        <v>180</v>
      </c>
      <c r="H37" t="s">
        <v>82</v>
      </c>
      <c r="I37" t="s">
        <v>181</v>
      </c>
      <c r="J37" t="s">
        <v>29</v>
      </c>
      <c r="K37" t="s">
        <v>79</v>
      </c>
      <c r="L37" t="s">
        <v>175</v>
      </c>
      <c r="N37">
        <v>999</v>
      </c>
      <c r="Q37">
        <v>16</v>
      </c>
    </row>
    <row r="38" spans="1:17" x14ac:dyDescent="0.2">
      <c r="A38" t="e">
        <v>#REF!</v>
      </c>
      <c r="B38">
        <v>101</v>
      </c>
      <c r="C38" t="e">
        <v>#REF!</v>
      </c>
      <c r="D38" t="e">
        <v>#VALUE!</v>
      </c>
      <c r="E38">
        <v>10037</v>
      </c>
      <c r="F38" t="s">
        <v>182</v>
      </c>
      <c r="G38" t="s">
        <v>183</v>
      </c>
      <c r="H38" t="s">
        <v>82</v>
      </c>
      <c r="I38" t="s">
        <v>184</v>
      </c>
      <c r="J38" t="s">
        <v>29</v>
      </c>
      <c r="K38" t="s">
        <v>79</v>
      </c>
      <c r="L38" t="s">
        <v>175</v>
      </c>
      <c r="N38">
        <v>999</v>
      </c>
      <c r="Q38">
        <v>16</v>
      </c>
    </row>
    <row r="39" spans="1:17" x14ac:dyDescent="0.2">
      <c r="A39" t="e">
        <v>#REF!</v>
      </c>
      <c r="B39">
        <v>101</v>
      </c>
      <c r="C39" t="e">
        <v>#REF!</v>
      </c>
      <c r="D39" t="e">
        <v>#VALUE!</v>
      </c>
      <c r="E39">
        <v>10038</v>
      </c>
      <c r="F39" t="s">
        <v>185</v>
      </c>
      <c r="G39" t="s">
        <v>186</v>
      </c>
      <c r="H39" t="s">
        <v>82</v>
      </c>
      <c r="I39" t="s">
        <v>187</v>
      </c>
      <c r="J39" t="s">
        <v>29</v>
      </c>
      <c r="K39" t="s">
        <v>79</v>
      </c>
      <c r="L39" t="s">
        <v>175</v>
      </c>
      <c r="N39">
        <v>999</v>
      </c>
      <c r="Q39">
        <v>16</v>
      </c>
    </row>
    <row r="40" spans="1:17" x14ac:dyDescent="0.2">
      <c r="A40" t="e">
        <v>#REF!</v>
      </c>
      <c r="B40">
        <v>101</v>
      </c>
      <c r="C40" t="e">
        <v>#REF!</v>
      </c>
      <c r="D40" t="e">
        <v>#VALUE!</v>
      </c>
      <c r="E40">
        <v>10039</v>
      </c>
      <c r="F40" t="s">
        <v>188</v>
      </c>
      <c r="G40" t="s">
        <v>189</v>
      </c>
      <c r="H40" t="s">
        <v>82</v>
      </c>
      <c r="I40" t="s">
        <v>190</v>
      </c>
      <c r="J40" t="s">
        <v>29</v>
      </c>
      <c r="K40" t="s">
        <v>79</v>
      </c>
      <c r="L40" t="s">
        <v>175</v>
      </c>
      <c r="N40">
        <v>999</v>
      </c>
      <c r="Q40">
        <v>32</v>
      </c>
    </row>
    <row r="41" spans="1:17" x14ac:dyDescent="0.2">
      <c r="A41" t="e">
        <v>#REF!</v>
      </c>
      <c r="B41">
        <v>101</v>
      </c>
      <c r="C41" t="e">
        <v>#REF!</v>
      </c>
      <c r="D41" t="e">
        <v>#VALUE!</v>
      </c>
      <c r="E41">
        <v>10040</v>
      </c>
      <c r="F41" t="s">
        <v>191</v>
      </c>
      <c r="G41" t="s">
        <v>192</v>
      </c>
      <c r="H41" t="s">
        <v>82</v>
      </c>
      <c r="I41" t="s">
        <v>193</v>
      </c>
      <c r="J41" t="s">
        <v>29</v>
      </c>
      <c r="K41" t="s">
        <v>79</v>
      </c>
      <c r="L41" t="s">
        <v>175</v>
      </c>
      <c r="N41">
        <v>999</v>
      </c>
    </row>
    <row r="42" spans="1:17" x14ac:dyDescent="0.2">
      <c r="A42" t="e">
        <v>#REF!</v>
      </c>
      <c r="B42">
        <v>101</v>
      </c>
      <c r="C42" t="e">
        <v>#REF!</v>
      </c>
      <c r="D42" t="e">
        <v>#VALUE!</v>
      </c>
      <c r="E42">
        <v>10041</v>
      </c>
      <c r="F42" t="s">
        <v>194</v>
      </c>
      <c r="G42" t="s">
        <v>195</v>
      </c>
      <c r="H42" t="s">
        <v>82</v>
      </c>
      <c r="I42" t="s">
        <v>196</v>
      </c>
      <c r="J42" t="s">
        <v>29</v>
      </c>
      <c r="K42" t="s">
        <v>79</v>
      </c>
      <c r="L42" t="s">
        <v>175</v>
      </c>
      <c r="N42">
        <v>999</v>
      </c>
      <c r="Q42">
        <v>16</v>
      </c>
    </row>
    <row r="43" spans="1:17" x14ac:dyDescent="0.2">
      <c r="A43" t="e">
        <v>#REF!</v>
      </c>
      <c r="B43">
        <v>101</v>
      </c>
      <c r="C43" t="e">
        <v>#REF!</v>
      </c>
      <c r="D43" t="e">
        <v>#VALUE!</v>
      </c>
      <c r="E43">
        <v>10042</v>
      </c>
      <c r="F43" t="s">
        <v>197</v>
      </c>
      <c r="G43" t="s">
        <v>198</v>
      </c>
      <c r="H43" t="s">
        <v>82</v>
      </c>
      <c r="I43" t="s">
        <v>199</v>
      </c>
      <c r="J43" t="s">
        <v>29</v>
      </c>
      <c r="K43" t="s">
        <v>79</v>
      </c>
      <c r="L43" t="s">
        <v>175</v>
      </c>
      <c r="N43">
        <v>999</v>
      </c>
      <c r="Q43">
        <v>16</v>
      </c>
    </row>
    <row r="44" spans="1:17" x14ac:dyDescent="0.2">
      <c r="A44" t="e">
        <v>#REF!</v>
      </c>
      <c r="B44">
        <v>101</v>
      </c>
      <c r="C44" t="e">
        <v>#REF!</v>
      </c>
      <c r="D44" t="e">
        <v>#VALUE!</v>
      </c>
      <c r="E44">
        <v>10043</v>
      </c>
      <c r="F44" t="s">
        <v>200</v>
      </c>
      <c r="G44" t="s">
        <v>201</v>
      </c>
      <c r="H44" t="s">
        <v>82</v>
      </c>
      <c r="I44" t="s">
        <v>202</v>
      </c>
      <c r="J44" t="s">
        <v>29</v>
      </c>
      <c r="K44" t="s">
        <v>79</v>
      </c>
      <c r="L44" t="s">
        <v>175</v>
      </c>
      <c r="N44">
        <v>999</v>
      </c>
      <c r="Q44">
        <v>19</v>
      </c>
    </row>
    <row r="45" spans="1:17" x14ac:dyDescent="0.2">
      <c r="A45" t="e">
        <v>#REF!</v>
      </c>
      <c r="B45">
        <v>101</v>
      </c>
      <c r="C45" t="e">
        <v>#REF!</v>
      </c>
      <c r="D45" t="e">
        <v>#VALUE!</v>
      </c>
      <c r="E45">
        <v>10044</v>
      </c>
      <c r="F45" t="s">
        <v>203</v>
      </c>
      <c r="G45" t="s">
        <v>204</v>
      </c>
      <c r="H45" t="s">
        <v>82</v>
      </c>
      <c r="I45" t="s">
        <v>205</v>
      </c>
      <c r="J45" t="s">
        <v>29</v>
      </c>
      <c r="K45" t="s">
        <v>79</v>
      </c>
      <c r="L45" t="s">
        <v>175</v>
      </c>
      <c r="N45">
        <v>999</v>
      </c>
    </row>
    <row r="46" spans="1:17" x14ac:dyDescent="0.2">
      <c r="A46" t="e">
        <v>#REF!</v>
      </c>
      <c r="B46">
        <v>101</v>
      </c>
      <c r="C46" t="e">
        <v>#REF!</v>
      </c>
      <c r="D46" t="e">
        <v>#VALUE!</v>
      </c>
      <c r="E46">
        <v>10045</v>
      </c>
      <c r="F46" t="s">
        <v>206</v>
      </c>
      <c r="G46" t="s">
        <v>207</v>
      </c>
      <c r="H46" t="s">
        <v>82</v>
      </c>
      <c r="I46" t="s">
        <v>208</v>
      </c>
      <c r="J46" t="s">
        <v>29</v>
      </c>
      <c r="K46" t="s">
        <v>79</v>
      </c>
      <c r="L46" t="s">
        <v>175</v>
      </c>
      <c r="N46">
        <v>999</v>
      </c>
    </row>
    <row r="47" spans="1:17" x14ac:dyDescent="0.2">
      <c r="A47" t="e">
        <v>#REF!</v>
      </c>
      <c r="B47">
        <v>101</v>
      </c>
      <c r="C47" t="e">
        <v>#REF!</v>
      </c>
      <c r="D47" t="e">
        <v>#VALUE!</v>
      </c>
      <c r="E47">
        <v>10046</v>
      </c>
      <c r="F47" t="s">
        <v>209</v>
      </c>
      <c r="G47" t="s">
        <v>210</v>
      </c>
      <c r="H47" t="s">
        <v>82</v>
      </c>
      <c r="I47" t="s">
        <v>211</v>
      </c>
      <c r="J47" t="s">
        <v>29</v>
      </c>
      <c r="K47" t="s">
        <v>79</v>
      </c>
      <c r="L47" t="s">
        <v>175</v>
      </c>
      <c r="N47">
        <v>999</v>
      </c>
      <c r="Q47">
        <v>32</v>
      </c>
    </row>
    <row r="48" spans="1:17" x14ac:dyDescent="0.2">
      <c r="A48" t="e">
        <v>#REF!</v>
      </c>
      <c r="B48">
        <v>101</v>
      </c>
      <c r="C48" t="e">
        <v>#REF!</v>
      </c>
      <c r="D48" t="e">
        <v>#VALUE!</v>
      </c>
      <c r="E48">
        <v>10047</v>
      </c>
      <c r="F48" t="s">
        <v>212</v>
      </c>
      <c r="G48" t="s">
        <v>213</v>
      </c>
      <c r="H48" t="s">
        <v>82</v>
      </c>
      <c r="I48" t="s">
        <v>214</v>
      </c>
      <c r="J48" t="s">
        <v>29</v>
      </c>
      <c r="K48" t="s">
        <v>79</v>
      </c>
      <c r="L48" t="s">
        <v>175</v>
      </c>
      <c r="N48">
        <v>999</v>
      </c>
    </row>
    <row r="49" spans="1:17" x14ac:dyDescent="0.2">
      <c r="A49" t="e">
        <v>#REF!</v>
      </c>
      <c r="B49">
        <v>101</v>
      </c>
      <c r="C49" t="e">
        <v>#REF!</v>
      </c>
      <c r="D49" t="e">
        <v>#VALUE!</v>
      </c>
      <c r="E49">
        <v>10048</v>
      </c>
      <c r="F49" t="s">
        <v>215</v>
      </c>
      <c r="G49" t="s">
        <v>216</v>
      </c>
      <c r="H49" t="s">
        <v>82</v>
      </c>
      <c r="I49" t="s">
        <v>217</v>
      </c>
      <c r="J49" t="s">
        <v>29</v>
      </c>
      <c r="K49" t="s">
        <v>79</v>
      </c>
      <c r="L49" t="s">
        <v>218</v>
      </c>
      <c r="N49">
        <v>999</v>
      </c>
    </row>
    <row r="50" spans="1:17" x14ac:dyDescent="0.2">
      <c r="A50" t="e">
        <v>#REF!</v>
      </c>
      <c r="B50">
        <v>101</v>
      </c>
      <c r="C50" t="e">
        <v>#REF!</v>
      </c>
      <c r="D50" t="e">
        <v>#VALUE!</v>
      </c>
      <c r="E50">
        <v>10049</v>
      </c>
      <c r="F50" t="s">
        <v>219</v>
      </c>
      <c r="G50" t="s">
        <v>220</v>
      </c>
      <c r="H50" t="s">
        <v>82</v>
      </c>
      <c r="I50" t="s">
        <v>77</v>
      </c>
      <c r="J50" t="s">
        <v>29</v>
      </c>
      <c r="K50" t="s">
        <v>79</v>
      </c>
      <c r="L50" t="s">
        <v>218</v>
      </c>
      <c r="N50">
        <v>999</v>
      </c>
      <c r="O50">
        <v>999</v>
      </c>
      <c r="Q50">
        <v>16</v>
      </c>
    </row>
    <row r="51" spans="1:17" x14ac:dyDescent="0.2">
      <c r="A51" t="e">
        <v>#REF!</v>
      </c>
      <c r="B51">
        <v>101</v>
      </c>
      <c r="C51" t="e">
        <v>#REF!</v>
      </c>
      <c r="D51" t="e">
        <v>#VALUE!</v>
      </c>
      <c r="E51">
        <v>10050</v>
      </c>
      <c r="F51" t="s">
        <v>221</v>
      </c>
      <c r="G51" t="s">
        <v>222</v>
      </c>
      <c r="H51" t="s">
        <v>82</v>
      </c>
      <c r="I51" t="s">
        <v>223</v>
      </c>
      <c r="J51" t="s">
        <v>29</v>
      </c>
      <c r="K51" t="s">
        <v>79</v>
      </c>
      <c r="L51" t="s">
        <v>218</v>
      </c>
      <c r="N51">
        <v>999</v>
      </c>
    </row>
    <row r="52" spans="1:17" x14ac:dyDescent="0.2">
      <c r="A52" t="e">
        <v>#REF!</v>
      </c>
      <c r="B52">
        <v>101</v>
      </c>
      <c r="C52" t="e">
        <v>#REF!</v>
      </c>
      <c r="D52" t="e">
        <v>#VALUE!</v>
      </c>
      <c r="E52">
        <v>10051</v>
      </c>
      <c r="F52" t="s">
        <v>224</v>
      </c>
      <c r="G52" t="s">
        <v>225</v>
      </c>
      <c r="H52" t="s">
        <v>82</v>
      </c>
      <c r="I52" t="s">
        <v>226</v>
      </c>
      <c r="J52" t="s">
        <v>29</v>
      </c>
      <c r="K52" t="s">
        <v>79</v>
      </c>
      <c r="L52" t="s">
        <v>218</v>
      </c>
      <c r="N52">
        <v>999</v>
      </c>
    </row>
    <row r="53" spans="1:17" x14ac:dyDescent="0.2">
      <c r="A53" t="e">
        <v>#REF!</v>
      </c>
      <c r="B53">
        <v>101</v>
      </c>
      <c r="C53" t="e">
        <v>#REF!</v>
      </c>
      <c r="D53" t="e">
        <v>#VALUE!</v>
      </c>
      <c r="E53">
        <v>10052</v>
      </c>
      <c r="F53" t="s">
        <v>227</v>
      </c>
      <c r="G53" t="s">
        <v>228</v>
      </c>
      <c r="H53" t="s">
        <v>82</v>
      </c>
      <c r="I53" t="s">
        <v>229</v>
      </c>
      <c r="J53" t="s">
        <v>29</v>
      </c>
      <c r="K53" t="s">
        <v>79</v>
      </c>
      <c r="L53" t="s">
        <v>218</v>
      </c>
      <c r="N53">
        <v>999</v>
      </c>
      <c r="Q53">
        <v>16</v>
      </c>
    </row>
    <row r="54" spans="1:17" x14ac:dyDescent="0.2">
      <c r="A54" t="e">
        <v>#REF!</v>
      </c>
      <c r="B54">
        <v>101</v>
      </c>
      <c r="C54" t="e">
        <v>#REF!</v>
      </c>
      <c r="D54" t="e">
        <v>#VALUE!</v>
      </c>
      <c r="E54">
        <v>10053</v>
      </c>
      <c r="F54" t="s">
        <v>230</v>
      </c>
      <c r="G54" t="s">
        <v>231</v>
      </c>
      <c r="H54" t="s">
        <v>82</v>
      </c>
      <c r="I54" t="s">
        <v>232</v>
      </c>
      <c r="J54" t="s">
        <v>29</v>
      </c>
      <c r="K54" t="s">
        <v>79</v>
      </c>
      <c r="L54" t="s">
        <v>218</v>
      </c>
      <c r="N54">
        <v>999</v>
      </c>
      <c r="Q54">
        <v>256</v>
      </c>
    </row>
    <row r="55" spans="1:17" x14ac:dyDescent="0.2">
      <c r="A55" t="e">
        <v>#REF!</v>
      </c>
      <c r="B55">
        <v>101</v>
      </c>
      <c r="C55" t="e">
        <v>#REF!</v>
      </c>
      <c r="D55" t="e">
        <v>#VALUE!</v>
      </c>
      <c r="E55">
        <v>10054</v>
      </c>
      <c r="F55" t="s">
        <v>233</v>
      </c>
      <c r="G55" t="s">
        <v>234</v>
      </c>
      <c r="H55" t="s">
        <v>82</v>
      </c>
      <c r="I55" t="s">
        <v>235</v>
      </c>
      <c r="J55" t="s">
        <v>29</v>
      </c>
      <c r="K55" t="s">
        <v>79</v>
      </c>
      <c r="L55" t="s">
        <v>236</v>
      </c>
      <c r="N55">
        <v>999</v>
      </c>
    </row>
    <row r="56" spans="1:17" x14ac:dyDescent="0.2">
      <c r="A56" t="e">
        <v>#REF!</v>
      </c>
      <c r="B56">
        <v>101</v>
      </c>
      <c r="C56" t="e">
        <v>#REF!</v>
      </c>
      <c r="D56" t="e">
        <v>#VALUE!</v>
      </c>
      <c r="E56">
        <v>10055</v>
      </c>
      <c r="F56" t="s">
        <v>237</v>
      </c>
      <c r="G56" t="s">
        <v>238</v>
      </c>
      <c r="H56" t="s">
        <v>82</v>
      </c>
      <c r="I56" t="s">
        <v>239</v>
      </c>
      <c r="J56" t="s">
        <v>29</v>
      </c>
      <c r="K56" t="s">
        <v>79</v>
      </c>
      <c r="L56" t="s">
        <v>236</v>
      </c>
      <c r="N56">
        <v>999</v>
      </c>
      <c r="O56">
        <v>999</v>
      </c>
      <c r="Q56">
        <v>64</v>
      </c>
    </row>
    <row r="57" spans="1:17" x14ac:dyDescent="0.2">
      <c r="A57" t="e">
        <v>#REF!</v>
      </c>
      <c r="B57">
        <v>101</v>
      </c>
      <c r="C57" t="e">
        <v>#REF!</v>
      </c>
      <c r="D57" t="e">
        <v>#VALUE!</v>
      </c>
      <c r="E57">
        <v>10056</v>
      </c>
      <c r="F57" t="s">
        <v>240</v>
      </c>
      <c r="G57" t="s">
        <v>241</v>
      </c>
      <c r="H57" t="s">
        <v>82</v>
      </c>
      <c r="I57" t="s">
        <v>242</v>
      </c>
      <c r="J57" t="s">
        <v>29</v>
      </c>
      <c r="K57" t="s">
        <v>79</v>
      </c>
      <c r="L57" t="s">
        <v>236</v>
      </c>
      <c r="N57">
        <v>999</v>
      </c>
      <c r="Q57">
        <v>16</v>
      </c>
    </row>
    <row r="58" spans="1:17" x14ac:dyDescent="0.2">
      <c r="A58" t="e">
        <v>#REF!</v>
      </c>
      <c r="B58">
        <v>101</v>
      </c>
      <c r="C58" t="e">
        <v>#REF!</v>
      </c>
      <c r="D58" t="e">
        <v>#VALUE!</v>
      </c>
      <c r="E58">
        <v>10057</v>
      </c>
      <c r="F58" t="s">
        <v>243</v>
      </c>
      <c r="G58" t="s">
        <v>244</v>
      </c>
      <c r="H58" t="s">
        <v>82</v>
      </c>
      <c r="I58" t="s">
        <v>245</v>
      </c>
      <c r="J58" t="s">
        <v>29</v>
      </c>
      <c r="K58" t="s">
        <v>79</v>
      </c>
      <c r="L58" t="s">
        <v>236</v>
      </c>
      <c r="N58">
        <v>999</v>
      </c>
      <c r="O58">
        <v>999</v>
      </c>
      <c r="Q58">
        <v>32</v>
      </c>
    </row>
    <row r="59" spans="1:17" x14ac:dyDescent="0.2">
      <c r="A59" t="e">
        <v>#REF!</v>
      </c>
      <c r="B59">
        <v>101</v>
      </c>
      <c r="C59" t="e">
        <v>#REF!</v>
      </c>
      <c r="D59" t="e">
        <v>#VALUE!</v>
      </c>
      <c r="E59">
        <v>10058</v>
      </c>
      <c r="F59" t="s">
        <v>246</v>
      </c>
      <c r="G59" t="s">
        <v>247</v>
      </c>
      <c r="H59" t="s">
        <v>82</v>
      </c>
      <c r="I59" t="s">
        <v>248</v>
      </c>
      <c r="J59" t="s">
        <v>29</v>
      </c>
      <c r="K59" t="s">
        <v>79</v>
      </c>
      <c r="L59" t="s">
        <v>236</v>
      </c>
      <c r="N59">
        <v>999</v>
      </c>
    </row>
    <row r="60" spans="1:17" x14ac:dyDescent="0.2">
      <c r="A60" t="e">
        <v>#REF!</v>
      </c>
      <c r="B60">
        <v>101</v>
      </c>
      <c r="C60" t="e">
        <v>#REF!</v>
      </c>
      <c r="D60" t="e">
        <v>#VALUE!</v>
      </c>
      <c r="E60">
        <v>10059</v>
      </c>
      <c r="F60" t="s">
        <v>249</v>
      </c>
      <c r="G60" t="s">
        <v>250</v>
      </c>
      <c r="H60" t="s">
        <v>82</v>
      </c>
      <c r="I60" t="s">
        <v>251</v>
      </c>
      <c r="J60" t="s">
        <v>29</v>
      </c>
      <c r="K60" t="s">
        <v>79</v>
      </c>
      <c r="L60" t="s">
        <v>236</v>
      </c>
      <c r="N60">
        <v>999</v>
      </c>
      <c r="O60">
        <v>999</v>
      </c>
      <c r="Q60">
        <v>16</v>
      </c>
    </row>
    <row r="61" spans="1:17" x14ac:dyDescent="0.2">
      <c r="A61" t="e">
        <v>#REF!</v>
      </c>
      <c r="B61">
        <v>101</v>
      </c>
      <c r="C61" t="e">
        <v>#REF!</v>
      </c>
      <c r="D61" t="e">
        <v>#VALUE!</v>
      </c>
      <c r="E61">
        <v>10060</v>
      </c>
      <c r="F61" t="s">
        <v>252</v>
      </c>
      <c r="G61" t="s">
        <v>253</v>
      </c>
      <c r="H61" t="s">
        <v>82</v>
      </c>
      <c r="I61" t="s">
        <v>254</v>
      </c>
      <c r="J61" t="s">
        <v>29</v>
      </c>
      <c r="K61" t="s">
        <v>79</v>
      </c>
      <c r="L61" t="s">
        <v>236</v>
      </c>
      <c r="N61">
        <v>999</v>
      </c>
      <c r="Q61">
        <v>16</v>
      </c>
    </row>
    <row r="62" spans="1:17" x14ac:dyDescent="0.2">
      <c r="A62" t="e">
        <v>#REF!</v>
      </c>
      <c r="B62">
        <v>101</v>
      </c>
      <c r="C62" t="e">
        <v>#REF!</v>
      </c>
      <c r="D62" t="e">
        <v>#VALUE!</v>
      </c>
      <c r="E62">
        <v>10061</v>
      </c>
      <c r="F62" t="s">
        <v>255</v>
      </c>
      <c r="G62" t="s">
        <v>256</v>
      </c>
      <c r="H62" t="s">
        <v>82</v>
      </c>
      <c r="I62" t="s">
        <v>257</v>
      </c>
      <c r="J62" t="s">
        <v>29</v>
      </c>
      <c r="K62" t="s">
        <v>79</v>
      </c>
      <c r="L62" t="s">
        <v>236</v>
      </c>
      <c r="N62">
        <v>999</v>
      </c>
      <c r="O62">
        <v>999</v>
      </c>
      <c r="Q62">
        <v>128</v>
      </c>
    </row>
    <row r="63" spans="1:17" x14ac:dyDescent="0.2">
      <c r="A63" t="e">
        <v>#REF!</v>
      </c>
      <c r="B63">
        <v>101</v>
      </c>
      <c r="C63" t="e">
        <v>#REF!</v>
      </c>
      <c r="D63" t="e">
        <v>#VALUE!</v>
      </c>
      <c r="E63">
        <v>10062</v>
      </c>
      <c r="F63" t="s">
        <v>258</v>
      </c>
      <c r="G63" t="s">
        <v>259</v>
      </c>
      <c r="H63" t="s">
        <v>82</v>
      </c>
      <c r="I63" t="s">
        <v>260</v>
      </c>
      <c r="J63" t="s">
        <v>29</v>
      </c>
      <c r="K63" t="s">
        <v>79</v>
      </c>
      <c r="L63" t="s">
        <v>236</v>
      </c>
      <c r="N63">
        <v>999</v>
      </c>
    </row>
    <row r="64" spans="1:17" x14ac:dyDescent="0.2">
      <c r="A64" t="e">
        <v>#REF!</v>
      </c>
      <c r="B64">
        <v>101</v>
      </c>
      <c r="C64" t="e">
        <v>#REF!</v>
      </c>
      <c r="D64" t="e">
        <v>#VALUE!</v>
      </c>
      <c r="E64">
        <v>10063</v>
      </c>
      <c r="F64" t="s">
        <v>261</v>
      </c>
      <c r="G64" t="s">
        <v>262</v>
      </c>
      <c r="H64" t="s">
        <v>82</v>
      </c>
      <c r="I64" t="s">
        <v>263</v>
      </c>
      <c r="J64" t="s">
        <v>29</v>
      </c>
      <c r="K64" t="s">
        <v>79</v>
      </c>
      <c r="L64" t="s">
        <v>264</v>
      </c>
      <c r="N64">
        <v>999</v>
      </c>
      <c r="O64">
        <v>999</v>
      </c>
      <c r="Q64">
        <v>32</v>
      </c>
    </row>
    <row r="65" spans="1:17" x14ac:dyDescent="0.2">
      <c r="A65" t="e">
        <v>#REF!</v>
      </c>
      <c r="B65">
        <v>101</v>
      </c>
      <c r="C65" t="e">
        <v>#REF!</v>
      </c>
      <c r="D65" t="e">
        <v>#VALUE!</v>
      </c>
      <c r="E65">
        <v>10064</v>
      </c>
      <c r="F65" t="s">
        <v>265</v>
      </c>
      <c r="G65" t="s">
        <v>266</v>
      </c>
      <c r="H65" t="s">
        <v>82</v>
      </c>
      <c r="I65" t="s">
        <v>267</v>
      </c>
      <c r="J65" t="s">
        <v>29</v>
      </c>
      <c r="K65" t="s">
        <v>79</v>
      </c>
      <c r="L65" t="s">
        <v>264</v>
      </c>
      <c r="N65">
        <v>999</v>
      </c>
      <c r="Q65">
        <v>16</v>
      </c>
    </row>
    <row r="66" spans="1:17" x14ac:dyDescent="0.2">
      <c r="A66" t="e">
        <v>#REF!</v>
      </c>
      <c r="B66">
        <v>101</v>
      </c>
      <c r="C66" t="e">
        <v>#REF!</v>
      </c>
      <c r="D66" t="e">
        <v>#VALUE!</v>
      </c>
      <c r="E66">
        <v>10065</v>
      </c>
      <c r="F66" t="s">
        <v>268</v>
      </c>
      <c r="G66" t="s">
        <v>269</v>
      </c>
      <c r="H66" t="s">
        <v>82</v>
      </c>
      <c r="I66" t="s">
        <v>270</v>
      </c>
      <c r="J66" t="s">
        <v>29</v>
      </c>
      <c r="K66" t="s">
        <v>79</v>
      </c>
      <c r="L66" t="s">
        <v>264</v>
      </c>
      <c r="N66">
        <v>999</v>
      </c>
    </row>
    <row r="67" spans="1:17" x14ac:dyDescent="0.2">
      <c r="A67" t="e">
        <v>#REF!</v>
      </c>
      <c r="B67">
        <v>101</v>
      </c>
      <c r="C67" t="e">
        <v>#REF!</v>
      </c>
      <c r="D67" t="e">
        <v>#VALUE!</v>
      </c>
      <c r="E67">
        <v>10066</v>
      </c>
      <c r="F67" t="s">
        <v>271</v>
      </c>
      <c r="G67" t="s">
        <v>272</v>
      </c>
      <c r="H67" t="s">
        <v>82</v>
      </c>
      <c r="I67" t="s">
        <v>273</v>
      </c>
      <c r="J67" t="s">
        <v>29</v>
      </c>
      <c r="K67" t="s">
        <v>79</v>
      </c>
      <c r="L67" t="s">
        <v>264</v>
      </c>
      <c r="N67">
        <v>999</v>
      </c>
    </row>
    <row r="68" spans="1:17" x14ac:dyDescent="0.2">
      <c r="A68" t="e">
        <v>#REF!</v>
      </c>
      <c r="B68">
        <v>101</v>
      </c>
      <c r="C68" t="e">
        <v>#REF!</v>
      </c>
      <c r="D68" t="e">
        <v>#VALUE!</v>
      </c>
      <c r="E68">
        <v>10067</v>
      </c>
      <c r="F68" t="s">
        <v>274</v>
      </c>
      <c r="G68" t="s">
        <v>275</v>
      </c>
      <c r="H68" t="s">
        <v>82</v>
      </c>
      <c r="I68" t="s">
        <v>276</v>
      </c>
      <c r="J68" t="s">
        <v>29</v>
      </c>
      <c r="K68" t="s">
        <v>79</v>
      </c>
      <c r="L68" t="s">
        <v>264</v>
      </c>
      <c r="N68">
        <v>999</v>
      </c>
    </row>
    <row r="69" spans="1:17" x14ac:dyDescent="0.2">
      <c r="A69" t="e">
        <v>#REF!</v>
      </c>
      <c r="B69">
        <v>101</v>
      </c>
      <c r="C69" t="e">
        <v>#REF!</v>
      </c>
      <c r="D69" t="e">
        <v>#VALUE!</v>
      </c>
      <c r="E69">
        <v>10068</v>
      </c>
      <c r="F69" t="s">
        <v>277</v>
      </c>
      <c r="G69" t="s">
        <v>278</v>
      </c>
      <c r="H69" t="s">
        <v>82</v>
      </c>
      <c r="I69" t="s">
        <v>279</v>
      </c>
      <c r="J69" t="s">
        <v>29</v>
      </c>
      <c r="K69" t="s">
        <v>79</v>
      </c>
      <c r="L69" t="s">
        <v>264</v>
      </c>
      <c r="N69">
        <v>999</v>
      </c>
      <c r="O69">
        <v>999</v>
      </c>
      <c r="Q69">
        <v>1024</v>
      </c>
    </row>
    <row r="70" spans="1:17" x14ac:dyDescent="0.2">
      <c r="A70" t="e">
        <v>#REF!</v>
      </c>
      <c r="B70">
        <v>101</v>
      </c>
      <c r="C70" t="e">
        <v>#REF!</v>
      </c>
      <c r="D70" t="e">
        <v>#VALUE!</v>
      </c>
      <c r="E70">
        <v>10069</v>
      </c>
      <c r="F70" t="s">
        <v>280</v>
      </c>
      <c r="G70" t="s">
        <v>281</v>
      </c>
      <c r="H70" t="s">
        <v>82</v>
      </c>
      <c r="I70" t="s">
        <v>282</v>
      </c>
      <c r="J70" t="s">
        <v>29</v>
      </c>
      <c r="K70" t="s">
        <v>79</v>
      </c>
      <c r="L70" t="s">
        <v>264</v>
      </c>
      <c r="N70">
        <v>999</v>
      </c>
      <c r="Q70">
        <v>53</v>
      </c>
    </row>
    <row r="71" spans="1:17" x14ac:dyDescent="0.2">
      <c r="A71" t="e">
        <v>#REF!</v>
      </c>
      <c r="B71">
        <v>101</v>
      </c>
      <c r="C71" t="e">
        <v>#REF!</v>
      </c>
      <c r="D71" t="e">
        <v>#VALUE!</v>
      </c>
      <c r="E71">
        <v>10070</v>
      </c>
      <c r="F71" t="s">
        <v>283</v>
      </c>
      <c r="G71" t="s">
        <v>281</v>
      </c>
      <c r="H71" t="s">
        <v>82</v>
      </c>
      <c r="I71" t="s">
        <v>282</v>
      </c>
      <c r="J71" t="s">
        <v>29</v>
      </c>
      <c r="K71" t="s">
        <v>79</v>
      </c>
      <c r="L71" t="s">
        <v>264</v>
      </c>
      <c r="N71">
        <v>999</v>
      </c>
      <c r="Q71">
        <v>53</v>
      </c>
    </row>
    <row r="72" spans="1:17" x14ac:dyDescent="0.2">
      <c r="A72" t="e">
        <v>#REF!</v>
      </c>
      <c r="B72">
        <v>101</v>
      </c>
      <c r="C72" t="e">
        <v>#REF!</v>
      </c>
      <c r="D72" t="e">
        <v>#VALUE!</v>
      </c>
      <c r="E72">
        <v>10071</v>
      </c>
      <c r="F72" t="s">
        <v>284</v>
      </c>
      <c r="G72" t="s">
        <v>285</v>
      </c>
      <c r="H72" t="s">
        <v>82</v>
      </c>
      <c r="I72" t="s">
        <v>286</v>
      </c>
      <c r="J72" t="s">
        <v>29</v>
      </c>
      <c r="K72" t="s">
        <v>79</v>
      </c>
      <c r="L72" t="s">
        <v>264</v>
      </c>
      <c r="N72">
        <v>999</v>
      </c>
    </row>
    <row r="73" spans="1:17" x14ac:dyDescent="0.2">
      <c r="A73" t="e">
        <v>#REF!</v>
      </c>
      <c r="B73">
        <v>101</v>
      </c>
      <c r="C73" t="e">
        <v>#REF!</v>
      </c>
      <c r="D73" t="e">
        <v>#VALUE!</v>
      </c>
      <c r="E73">
        <v>10072</v>
      </c>
      <c r="F73" t="s">
        <v>287</v>
      </c>
      <c r="G73" t="s">
        <v>288</v>
      </c>
      <c r="H73" t="s">
        <v>82</v>
      </c>
      <c r="I73" t="s">
        <v>289</v>
      </c>
      <c r="J73" t="s">
        <v>29</v>
      </c>
      <c r="K73" t="s">
        <v>79</v>
      </c>
      <c r="L73" t="s">
        <v>264</v>
      </c>
      <c r="N73">
        <v>999</v>
      </c>
      <c r="Q73">
        <v>197</v>
      </c>
    </row>
    <row r="74" spans="1:17" x14ac:dyDescent="0.2">
      <c r="A74" t="e">
        <v>#REF!</v>
      </c>
      <c r="B74">
        <v>101</v>
      </c>
      <c r="C74" t="e">
        <v>#REF!</v>
      </c>
      <c r="D74" t="e">
        <v>#VALUE!</v>
      </c>
      <c r="E74">
        <v>10073</v>
      </c>
      <c r="F74" t="s">
        <v>290</v>
      </c>
      <c r="G74" t="s">
        <v>291</v>
      </c>
      <c r="H74" t="s">
        <v>82</v>
      </c>
      <c r="I74" t="s">
        <v>292</v>
      </c>
      <c r="J74" t="s">
        <v>29</v>
      </c>
      <c r="K74" t="s">
        <v>79</v>
      </c>
      <c r="L74" t="s">
        <v>264</v>
      </c>
      <c r="N74">
        <v>999</v>
      </c>
    </row>
    <row r="75" spans="1:17" x14ac:dyDescent="0.2">
      <c r="A75" t="e">
        <v>#REF!</v>
      </c>
      <c r="B75">
        <v>101</v>
      </c>
      <c r="C75" t="e">
        <v>#REF!</v>
      </c>
      <c r="D75" t="e">
        <v>#VALUE!</v>
      </c>
      <c r="E75">
        <v>10074</v>
      </c>
      <c r="F75" t="s">
        <v>293</v>
      </c>
      <c r="G75" t="s">
        <v>294</v>
      </c>
      <c r="H75" t="s">
        <v>82</v>
      </c>
      <c r="I75" t="s">
        <v>295</v>
      </c>
      <c r="J75" t="s">
        <v>29</v>
      </c>
      <c r="K75" t="s">
        <v>79</v>
      </c>
      <c r="L75" t="s">
        <v>264</v>
      </c>
      <c r="N75">
        <v>999</v>
      </c>
    </row>
    <row r="76" spans="1:17" x14ac:dyDescent="0.2">
      <c r="A76" t="e">
        <v>#REF!</v>
      </c>
      <c r="B76">
        <v>101</v>
      </c>
      <c r="C76" t="e">
        <v>#REF!</v>
      </c>
      <c r="D76" t="e">
        <v>#VALUE!</v>
      </c>
      <c r="E76">
        <v>10075</v>
      </c>
      <c r="F76" t="s">
        <v>296</v>
      </c>
      <c r="G76" t="s">
        <v>297</v>
      </c>
      <c r="H76" t="s">
        <v>82</v>
      </c>
      <c r="I76" t="s">
        <v>298</v>
      </c>
      <c r="J76" t="s">
        <v>29</v>
      </c>
      <c r="K76" t="s">
        <v>79</v>
      </c>
      <c r="L76" t="s">
        <v>264</v>
      </c>
      <c r="N76">
        <v>999</v>
      </c>
      <c r="Q76">
        <v>256</v>
      </c>
    </row>
    <row r="77" spans="1:17" x14ac:dyDescent="0.2">
      <c r="A77" t="e">
        <v>#REF!</v>
      </c>
      <c r="B77">
        <v>101</v>
      </c>
      <c r="C77" t="e">
        <v>#REF!</v>
      </c>
      <c r="D77" t="e">
        <v>#VALUE!</v>
      </c>
      <c r="E77">
        <v>10076</v>
      </c>
      <c r="F77" t="s">
        <v>299</v>
      </c>
      <c r="G77" t="s">
        <v>300</v>
      </c>
      <c r="H77" t="s">
        <v>82</v>
      </c>
      <c r="J77" t="s">
        <v>29</v>
      </c>
      <c r="K77" t="s">
        <v>79</v>
      </c>
      <c r="L77" t="s">
        <v>264</v>
      </c>
      <c r="N77">
        <v>999</v>
      </c>
    </row>
    <row r="78" spans="1:17" x14ac:dyDescent="0.2">
      <c r="A78" t="e">
        <v>#REF!</v>
      </c>
      <c r="B78">
        <v>101</v>
      </c>
      <c r="C78" t="e">
        <v>#REF!</v>
      </c>
      <c r="D78" t="e">
        <v>#VALUE!</v>
      </c>
      <c r="E78">
        <v>10077</v>
      </c>
      <c r="F78" t="s">
        <v>301</v>
      </c>
      <c r="G78" t="s">
        <v>302</v>
      </c>
      <c r="H78" t="s">
        <v>82</v>
      </c>
      <c r="I78" t="s">
        <v>303</v>
      </c>
      <c r="J78" t="s">
        <v>29</v>
      </c>
      <c r="K78" t="s">
        <v>79</v>
      </c>
      <c r="L78" t="s">
        <v>264</v>
      </c>
      <c r="N78">
        <v>999</v>
      </c>
      <c r="Q78">
        <v>32</v>
      </c>
    </row>
    <row r="79" spans="1:17" x14ac:dyDescent="0.2">
      <c r="A79" t="e">
        <v>#REF!</v>
      </c>
      <c r="B79">
        <v>101</v>
      </c>
      <c r="C79" t="e">
        <v>#REF!</v>
      </c>
      <c r="D79" t="e">
        <v>#VALUE!</v>
      </c>
      <c r="E79">
        <v>10078</v>
      </c>
      <c r="F79" t="s">
        <v>304</v>
      </c>
      <c r="G79" t="s">
        <v>305</v>
      </c>
      <c r="H79" t="s">
        <v>82</v>
      </c>
      <c r="I79" t="s">
        <v>306</v>
      </c>
      <c r="J79" t="s">
        <v>29</v>
      </c>
      <c r="K79" t="s">
        <v>79</v>
      </c>
      <c r="L79" t="s">
        <v>264</v>
      </c>
      <c r="N79">
        <v>999</v>
      </c>
      <c r="O79">
        <v>999</v>
      </c>
      <c r="Q79">
        <v>16</v>
      </c>
    </row>
    <row r="80" spans="1:17" x14ac:dyDescent="0.2">
      <c r="A80" t="e">
        <v>#REF!</v>
      </c>
      <c r="B80">
        <v>101</v>
      </c>
      <c r="C80" t="e">
        <v>#REF!</v>
      </c>
      <c r="D80" t="e">
        <v>#VALUE!</v>
      </c>
      <c r="E80">
        <v>10079</v>
      </c>
      <c r="F80" t="s">
        <v>307</v>
      </c>
      <c r="G80" t="s">
        <v>308</v>
      </c>
      <c r="H80" t="s">
        <v>82</v>
      </c>
      <c r="I80" t="s">
        <v>309</v>
      </c>
      <c r="J80" t="s">
        <v>29</v>
      </c>
      <c r="K80" t="s">
        <v>79</v>
      </c>
      <c r="L80" t="s">
        <v>264</v>
      </c>
      <c r="N80">
        <v>999</v>
      </c>
      <c r="O80">
        <v>999</v>
      </c>
      <c r="Q80">
        <v>128</v>
      </c>
    </row>
    <row r="81" spans="1:17" x14ac:dyDescent="0.2">
      <c r="A81" t="e">
        <v>#REF!</v>
      </c>
      <c r="B81">
        <v>101</v>
      </c>
      <c r="C81" t="e">
        <v>#REF!</v>
      </c>
      <c r="D81" t="e">
        <v>#VALUE!</v>
      </c>
      <c r="E81">
        <v>10080</v>
      </c>
      <c r="F81" t="s">
        <v>310</v>
      </c>
      <c r="G81" t="s">
        <v>311</v>
      </c>
      <c r="H81" t="s">
        <v>82</v>
      </c>
      <c r="I81" t="s">
        <v>312</v>
      </c>
      <c r="J81" t="s">
        <v>29</v>
      </c>
      <c r="K81" t="s">
        <v>79</v>
      </c>
      <c r="L81" t="s">
        <v>264</v>
      </c>
      <c r="N81">
        <v>999</v>
      </c>
    </row>
    <row r="82" spans="1:17" x14ac:dyDescent="0.2">
      <c r="A82" t="e">
        <v>#REF!</v>
      </c>
      <c r="B82">
        <v>101</v>
      </c>
      <c r="C82" t="e">
        <v>#REF!</v>
      </c>
      <c r="D82" t="e">
        <v>#VALUE!</v>
      </c>
      <c r="E82">
        <v>10081</v>
      </c>
      <c r="F82" t="s">
        <v>313</v>
      </c>
      <c r="G82" t="s">
        <v>314</v>
      </c>
      <c r="H82" t="s">
        <v>82</v>
      </c>
      <c r="I82" t="s">
        <v>315</v>
      </c>
      <c r="J82" t="s">
        <v>29</v>
      </c>
      <c r="K82" t="s">
        <v>79</v>
      </c>
      <c r="L82" t="s">
        <v>264</v>
      </c>
      <c r="N82">
        <v>999</v>
      </c>
    </row>
    <row r="83" spans="1:17" x14ac:dyDescent="0.2">
      <c r="A83" t="e">
        <v>#REF!</v>
      </c>
      <c r="B83">
        <v>101</v>
      </c>
      <c r="C83" t="e">
        <v>#REF!</v>
      </c>
      <c r="D83" t="e">
        <v>#VALUE!</v>
      </c>
      <c r="E83">
        <v>10082</v>
      </c>
      <c r="F83" t="s">
        <v>316</v>
      </c>
      <c r="G83" t="s">
        <v>317</v>
      </c>
      <c r="H83" t="s">
        <v>82</v>
      </c>
      <c r="I83" t="s">
        <v>318</v>
      </c>
      <c r="J83" t="s">
        <v>29</v>
      </c>
      <c r="K83" t="s">
        <v>79</v>
      </c>
      <c r="L83" t="s">
        <v>264</v>
      </c>
      <c r="N83">
        <v>999</v>
      </c>
    </row>
    <row r="84" spans="1:17" x14ac:dyDescent="0.2">
      <c r="A84" t="e">
        <v>#REF!</v>
      </c>
      <c r="B84">
        <v>101</v>
      </c>
      <c r="C84" t="e">
        <v>#REF!</v>
      </c>
      <c r="D84" t="e">
        <v>#VALUE!</v>
      </c>
      <c r="E84">
        <v>10083</v>
      </c>
      <c r="F84" t="s">
        <v>319</v>
      </c>
      <c r="G84" t="s">
        <v>320</v>
      </c>
      <c r="H84" t="s">
        <v>321</v>
      </c>
      <c r="I84" t="s">
        <v>322</v>
      </c>
      <c r="J84" t="s">
        <v>29</v>
      </c>
      <c r="K84" t="s">
        <v>79</v>
      </c>
      <c r="L84" t="s">
        <v>323</v>
      </c>
      <c r="N84">
        <v>999</v>
      </c>
      <c r="Q84">
        <v>32</v>
      </c>
    </row>
    <row r="85" spans="1:17" x14ac:dyDescent="0.2">
      <c r="A85" t="e">
        <v>#REF!</v>
      </c>
      <c r="B85">
        <v>101</v>
      </c>
      <c r="C85" t="e">
        <v>#REF!</v>
      </c>
      <c r="D85" t="e">
        <v>#VALUE!</v>
      </c>
      <c r="E85">
        <v>10084</v>
      </c>
      <c r="F85" t="s">
        <v>324</v>
      </c>
      <c r="G85" t="s">
        <v>325</v>
      </c>
      <c r="H85" t="s">
        <v>326</v>
      </c>
      <c r="I85" t="s">
        <v>82</v>
      </c>
      <c r="J85" t="s">
        <v>29</v>
      </c>
      <c r="K85" t="s">
        <v>79</v>
      </c>
      <c r="L85" t="s">
        <v>323</v>
      </c>
      <c r="N85">
        <v>999</v>
      </c>
    </row>
    <row r="86" spans="1:17" x14ac:dyDescent="0.2">
      <c r="A86" t="e">
        <v>#REF!</v>
      </c>
      <c r="B86">
        <v>101</v>
      </c>
      <c r="C86" t="e">
        <v>#REF!</v>
      </c>
      <c r="D86" t="e">
        <v>#VALUE!</v>
      </c>
      <c r="E86">
        <v>10085</v>
      </c>
      <c r="F86" t="s">
        <v>327</v>
      </c>
      <c r="H86" t="s">
        <v>328</v>
      </c>
      <c r="I86" t="s">
        <v>82</v>
      </c>
      <c r="J86" t="s">
        <v>29</v>
      </c>
      <c r="K86" t="s">
        <v>79</v>
      </c>
      <c r="L86" t="s">
        <v>323</v>
      </c>
    </row>
    <row r="87" spans="1:17" x14ac:dyDescent="0.2">
      <c r="A87" t="e">
        <v>#REF!</v>
      </c>
      <c r="B87">
        <v>102</v>
      </c>
      <c r="C87" t="e">
        <v>#REF!</v>
      </c>
      <c r="D87">
        <v>300</v>
      </c>
      <c r="E87">
        <v>10001</v>
      </c>
      <c r="F87" t="s">
        <v>329</v>
      </c>
      <c r="G87" t="s">
        <v>330</v>
      </c>
      <c r="H87" t="s">
        <v>82</v>
      </c>
      <c r="I87" t="s">
        <v>331</v>
      </c>
      <c r="J87" t="s">
        <v>30</v>
      </c>
      <c r="K87">
        <v>1</v>
      </c>
      <c r="L87">
        <v>1</v>
      </c>
      <c r="N87">
        <v>999</v>
      </c>
      <c r="Q87">
        <v>16</v>
      </c>
    </row>
    <row r="88" spans="1:17" x14ac:dyDescent="0.2">
      <c r="A88" t="e">
        <v>#REF!</v>
      </c>
      <c r="B88">
        <v>102</v>
      </c>
      <c r="C88" t="e">
        <v>#REF!</v>
      </c>
      <c r="D88">
        <v>300</v>
      </c>
      <c r="E88">
        <v>10002</v>
      </c>
      <c r="F88" t="s">
        <v>332</v>
      </c>
      <c r="G88" t="s">
        <v>333</v>
      </c>
      <c r="H88" t="s">
        <v>82</v>
      </c>
      <c r="I88" t="s">
        <v>334</v>
      </c>
      <c r="J88" t="s">
        <v>30</v>
      </c>
      <c r="K88" t="s">
        <v>335</v>
      </c>
      <c r="L88">
        <v>1</v>
      </c>
      <c r="N88">
        <v>999</v>
      </c>
      <c r="Q88">
        <v>25</v>
      </c>
    </row>
    <row r="89" spans="1:17" x14ac:dyDescent="0.2">
      <c r="A89" t="e">
        <v>#REF!</v>
      </c>
      <c r="B89">
        <v>102</v>
      </c>
      <c r="C89" t="e">
        <v>#REF!</v>
      </c>
      <c r="D89">
        <v>300</v>
      </c>
      <c r="E89">
        <v>10003</v>
      </c>
      <c r="F89" t="s">
        <v>336</v>
      </c>
      <c r="G89" t="s">
        <v>337</v>
      </c>
      <c r="H89" t="s">
        <v>82</v>
      </c>
      <c r="I89" t="s">
        <v>338</v>
      </c>
      <c r="J89" t="s">
        <v>30</v>
      </c>
      <c r="K89" t="s">
        <v>339</v>
      </c>
      <c r="L89">
        <v>1</v>
      </c>
      <c r="N89">
        <v>999</v>
      </c>
    </row>
    <row r="90" spans="1:17" x14ac:dyDescent="0.2">
      <c r="A90" t="e">
        <v>#REF!</v>
      </c>
      <c r="B90">
        <v>102</v>
      </c>
      <c r="C90" t="e">
        <v>#REF!</v>
      </c>
      <c r="D90">
        <v>300</v>
      </c>
      <c r="E90">
        <v>10004</v>
      </c>
      <c r="F90" t="s">
        <v>340</v>
      </c>
      <c r="G90" t="s">
        <v>341</v>
      </c>
      <c r="H90" t="s">
        <v>82</v>
      </c>
      <c r="I90" t="s">
        <v>342</v>
      </c>
      <c r="J90" t="s">
        <v>30</v>
      </c>
      <c r="K90" t="s">
        <v>343</v>
      </c>
      <c r="L90">
        <v>1</v>
      </c>
      <c r="N90">
        <v>999</v>
      </c>
    </row>
    <row r="91" spans="1:17" x14ac:dyDescent="0.2">
      <c r="A91" t="e">
        <v>#REF!</v>
      </c>
      <c r="B91">
        <v>102</v>
      </c>
      <c r="C91" t="e">
        <v>#REF!</v>
      </c>
      <c r="D91">
        <v>300</v>
      </c>
      <c r="E91">
        <v>10005</v>
      </c>
      <c r="F91" t="s">
        <v>344</v>
      </c>
      <c r="G91" t="s">
        <v>345</v>
      </c>
      <c r="H91" t="s">
        <v>82</v>
      </c>
      <c r="I91" t="s">
        <v>346</v>
      </c>
      <c r="J91" t="s">
        <v>30</v>
      </c>
      <c r="K91" t="s">
        <v>347</v>
      </c>
      <c r="L91">
        <v>1</v>
      </c>
      <c r="N91">
        <v>999</v>
      </c>
    </row>
    <row r="92" spans="1:17" x14ac:dyDescent="0.2">
      <c r="A92" t="e">
        <v>#REF!</v>
      </c>
      <c r="B92">
        <v>102</v>
      </c>
      <c r="C92" t="e">
        <v>#REF!</v>
      </c>
      <c r="D92">
        <v>300</v>
      </c>
      <c r="E92">
        <v>10006</v>
      </c>
      <c r="F92" t="s">
        <v>348</v>
      </c>
      <c r="G92" t="s">
        <v>349</v>
      </c>
      <c r="H92" t="s">
        <v>82</v>
      </c>
      <c r="I92" t="s">
        <v>350</v>
      </c>
      <c r="J92" t="s">
        <v>30</v>
      </c>
      <c r="K92" t="s">
        <v>351</v>
      </c>
      <c r="L92">
        <v>1</v>
      </c>
      <c r="N92">
        <v>999</v>
      </c>
      <c r="Q92">
        <v>241</v>
      </c>
    </row>
    <row r="93" spans="1:17" x14ac:dyDescent="0.2">
      <c r="A93" t="e">
        <v>#REF!</v>
      </c>
      <c r="B93">
        <v>102</v>
      </c>
      <c r="C93" t="e">
        <v>#REF!</v>
      </c>
      <c r="D93">
        <v>300</v>
      </c>
      <c r="E93">
        <v>10007</v>
      </c>
      <c r="F93" t="s">
        <v>352</v>
      </c>
      <c r="G93" t="s">
        <v>353</v>
      </c>
      <c r="H93" t="s">
        <v>82</v>
      </c>
      <c r="I93" t="s">
        <v>354</v>
      </c>
      <c r="J93" t="s">
        <v>30</v>
      </c>
      <c r="K93" t="s">
        <v>355</v>
      </c>
      <c r="L93">
        <v>1</v>
      </c>
      <c r="N93">
        <v>999</v>
      </c>
      <c r="O93">
        <v>999</v>
      </c>
      <c r="Q93">
        <v>268</v>
      </c>
    </row>
    <row r="94" spans="1:17" x14ac:dyDescent="0.2">
      <c r="A94" t="e">
        <v>#REF!</v>
      </c>
      <c r="B94">
        <v>102</v>
      </c>
      <c r="C94" t="e">
        <v>#REF!</v>
      </c>
      <c r="D94">
        <v>300</v>
      </c>
      <c r="E94">
        <v>10008</v>
      </c>
      <c r="F94" t="s">
        <v>356</v>
      </c>
      <c r="G94" t="s">
        <v>357</v>
      </c>
      <c r="H94" t="s">
        <v>82</v>
      </c>
      <c r="I94" t="s">
        <v>358</v>
      </c>
      <c r="J94" t="s">
        <v>30</v>
      </c>
      <c r="K94" t="s">
        <v>359</v>
      </c>
      <c r="L94">
        <v>1</v>
      </c>
      <c r="N94">
        <v>999</v>
      </c>
    </row>
    <row r="95" spans="1:17" x14ac:dyDescent="0.2">
      <c r="A95" t="e">
        <v>#REF!</v>
      </c>
      <c r="B95">
        <v>102</v>
      </c>
      <c r="C95" t="e">
        <v>#REF!</v>
      </c>
      <c r="D95">
        <v>300</v>
      </c>
      <c r="E95">
        <v>10009</v>
      </c>
      <c r="F95" t="s">
        <v>360</v>
      </c>
      <c r="G95" t="s">
        <v>361</v>
      </c>
      <c r="H95" t="s">
        <v>82</v>
      </c>
      <c r="I95" t="s">
        <v>362</v>
      </c>
      <c r="J95" t="s">
        <v>30</v>
      </c>
      <c r="K95" t="s">
        <v>363</v>
      </c>
      <c r="L95">
        <v>1</v>
      </c>
      <c r="N95">
        <v>999</v>
      </c>
      <c r="Q95">
        <v>16</v>
      </c>
    </row>
    <row r="96" spans="1:17" x14ac:dyDescent="0.2">
      <c r="A96" t="e">
        <v>#REF!</v>
      </c>
      <c r="B96">
        <v>102</v>
      </c>
      <c r="C96" t="e">
        <v>#REF!</v>
      </c>
      <c r="D96">
        <v>300</v>
      </c>
      <c r="E96">
        <v>10010</v>
      </c>
      <c r="F96" t="s">
        <v>364</v>
      </c>
      <c r="G96" t="s">
        <v>365</v>
      </c>
      <c r="H96" t="s">
        <v>82</v>
      </c>
      <c r="I96" t="s">
        <v>366</v>
      </c>
      <c r="J96" t="s">
        <v>30</v>
      </c>
      <c r="K96" t="s">
        <v>367</v>
      </c>
      <c r="L96">
        <v>1</v>
      </c>
      <c r="N96">
        <v>999</v>
      </c>
    </row>
    <row r="97" spans="1:17" x14ac:dyDescent="0.2">
      <c r="A97" t="e">
        <v>#REF!</v>
      </c>
      <c r="B97">
        <v>102</v>
      </c>
      <c r="C97" t="e">
        <v>#REF!</v>
      </c>
      <c r="D97">
        <v>300</v>
      </c>
      <c r="E97">
        <v>10011</v>
      </c>
      <c r="F97" t="s">
        <v>368</v>
      </c>
      <c r="G97" t="s">
        <v>369</v>
      </c>
      <c r="H97" t="s">
        <v>82</v>
      </c>
      <c r="I97" t="s">
        <v>370</v>
      </c>
      <c r="J97" t="s">
        <v>30</v>
      </c>
      <c r="K97" t="s">
        <v>371</v>
      </c>
      <c r="L97">
        <v>1</v>
      </c>
      <c r="N97">
        <v>999</v>
      </c>
    </row>
    <row r="98" spans="1:17" x14ac:dyDescent="0.2">
      <c r="A98" t="e">
        <v>#REF!</v>
      </c>
      <c r="B98">
        <v>102</v>
      </c>
      <c r="C98" t="e">
        <v>#REF!</v>
      </c>
      <c r="D98">
        <v>300</v>
      </c>
      <c r="E98">
        <v>10012</v>
      </c>
      <c r="F98" t="s">
        <v>372</v>
      </c>
      <c r="G98" t="s">
        <v>373</v>
      </c>
      <c r="H98" t="s">
        <v>82</v>
      </c>
      <c r="I98" t="s">
        <v>374</v>
      </c>
      <c r="J98" t="s">
        <v>30</v>
      </c>
      <c r="K98" t="s">
        <v>375</v>
      </c>
      <c r="L98">
        <v>1</v>
      </c>
      <c r="N98">
        <v>999</v>
      </c>
      <c r="Q98">
        <v>25</v>
      </c>
    </row>
    <row r="99" spans="1:17" x14ac:dyDescent="0.2">
      <c r="A99" t="e">
        <v>#REF!</v>
      </c>
      <c r="B99">
        <v>102</v>
      </c>
      <c r="C99" t="e">
        <v>#REF!</v>
      </c>
      <c r="D99">
        <v>300</v>
      </c>
      <c r="E99">
        <v>10013</v>
      </c>
      <c r="F99" t="s">
        <v>376</v>
      </c>
      <c r="G99" t="s">
        <v>377</v>
      </c>
      <c r="H99" t="s">
        <v>82</v>
      </c>
      <c r="I99" t="s">
        <v>378</v>
      </c>
      <c r="J99" t="s">
        <v>30</v>
      </c>
      <c r="K99" t="s">
        <v>379</v>
      </c>
      <c r="L99">
        <v>1</v>
      </c>
      <c r="N99">
        <v>999</v>
      </c>
      <c r="Q99">
        <v>32</v>
      </c>
    </row>
    <row r="100" spans="1:17" x14ac:dyDescent="0.2">
      <c r="A100" t="e">
        <v>#REF!</v>
      </c>
      <c r="B100">
        <v>102</v>
      </c>
      <c r="C100" t="e">
        <v>#REF!</v>
      </c>
      <c r="D100">
        <v>300</v>
      </c>
      <c r="E100">
        <v>10014</v>
      </c>
      <c r="F100" t="s">
        <v>380</v>
      </c>
      <c r="G100" t="s">
        <v>381</v>
      </c>
      <c r="H100" t="s">
        <v>82</v>
      </c>
      <c r="I100" t="s">
        <v>382</v>
      </c>
      <c r="J100" t="s">
        <v>30</v>
      </c>
      <c r="K100" t="s">
        <v>383</v>
      </c>
      <c r="L100">
        <v>1</v>
      </c>
      <c r="N100">
        <v>999</v>
      </c>
      <c r="Q100">
        <v>32</v>
      </c>
    </row>
    <row r="101" spans="1:17" x14ac:dyDescent="0.2">
      <c r="A101" t="e">
        <v>#REF!</v>
      </c>
      <c r="B101">
        <v>102</v>
      </c>
      <c r="C101" t="e">
        <v>#REF!</v>
      </c>
      <c r="D101">
        <v>301</v>
      </c>
      <c r="E101">
        <v>10015</v>
      </c>
      <c r="F101" t="s">
        <v>384</v>
      </c>
      <c r="G101" t="s">
        <v>385</v>
      </c>
      <c r="H101" t="s">
        <v>82</v>
      </c>
      <c r="I101" t="s">
        <v>386</v>
      </c>
      <c r="J101" t="s">
        <v>30</v>
      </c>
      <c r="K101" t="s">
        <v>383</v>
      </c>
      <c r="L101" t="s">
        <v>387</v>
      </c>
      <c r="N101">
        <v>999</v>
      </c>
      <c r="O101">
        <v>999</v>
      </c>
      <c r="Q101">
        <v>40</v>
      </c>
    </row>
    <row r="102" spans="1:17" x14ac:dyDescent="0.2">
      <c r="A102" t="e">
        <v>#REF!</v>
      </c>
      <c r="B102">
        <v>102</v>
      </c>
      <c r="C102" t="e">
        <v>#REF!</v>
      </c>
      <c r="D102">
        <v>302</v>
      </c>
      <c r="E102">
        <v>10016</v>
      </c>
      <c r="F102" t="s">
        <v>388</v>
      </c>
      <c r="G102" t="s">
        <v>389</v>
      </c>
      <c r="H102" t="s">
        <v>82</v>
      </c>
      <c r="I102" t="s">
        <v>390</v>
      </c>
      <c r="J102" t="s">
        <v>30</v>
      </c>
      <c r="K102" t="s">
        <v>383</v>
      </c>
      <c r="L102" t="s">
        <v>391</v>
      </c>
      <c r="N102">
        <v>999</v>
      </c>
    </row>
    <row r="103" spans="1:17" x14ac:dyDescent="0.2">
      <c r="A103" t="e">
        <v>#REF!</v>
      </c>
      <c r="B103">
        <v>102</v>
      </c>
      <c r="C103" t="e">
        <v>#REF!</v>
      </c>
      <c r="D103">
        <v>303</v>
      </c>
      <c r="E103">
        <v>10017</v>
      </c>
      <c r="F103" t="s">
        <v>392</v>
      </c>
      <c r="G103" t="s">
        <v>393</v>
      </c>
      <c r="H103" t="s">
        <v>82</v>
      </c>
      <c r="I103" t="s">
        <v>394</v>
      </c>
      <c r="J103" t="s">
        <v>30</v>
      </c>
      <c r="K103" t="s">
        <v>383</v>
      </c>
      <c r="L103" t="s">
        <v>395</v>
      </c>
      <c r="N103">
        <v>999</v>
      </c>
    </row>
    <row r="104" spans="1:17" x14ac:dyDescent="0.2">
      <c r="A104" t="e">
        <v>#REF!</v>
      </c>
      <c r="B104">
        <v>102</v>
      </c>
      <c r="C104" t="e">
        <v>#REF!</v>
      </c>
      <c r="D104">
        <v>304</v>
      </c>
      <c r="E104">
        <v>10018</v>
      </c>
      <c r="F104" t="s">
        <v>396</v>
      </c>
      <c r="G104" t="s">
        <v>397</v>
      </c>
      <c r="H104" t="s">
        <v>82</v>
      </c>
      <c r="I104" t="s">
        <v>398</v>
      </c>
      <c r="J104" t="s">
        <v>30</v>
      </c>
      <c r="K104" t="s">
        <v>383</v>
      </c>
      <c r="L104" t="s">
        <v>399</v>
      </c>
      <c r="N104">
        <v>999</v>
      </c>
    </row>
    <row r="105" spans="1:17" x14ac:dyDescent="0.2">
      <c r="A105" t="e">
        <v>#REF!</v>
      </c>
      <c r="B105">
        <v>102</v>
      </c>
      <c r="C105" t="e">
        <v>#REF!</v>
      </c>
      <c r="D105">
        <v>304</v>
      </c>
      <c r="E105">
        <v>10019</v>
      </c>
      <c r="F105" t="s">
        <v>400</v>
      </c>
      <c r="G105" t="s">
        <v>401</v>
      </c>
      <c r="H105" t="s">
        <v>82</v>
      </c>
      <c r="I105" t="s">
        <v>402</v>
      </c>
      <c r="J105" t="s">
        <v>30</v>
      </c>
      <c r="K105" t="s">
        <v>383</v>
      </c>
      <c r="L105" t="s">
        <v>399</v>
      </c>
      <c r="N105">
        <v>999</v>
      </c>
      <c r="O105">
        <v>999</v>
      </c>
      <c r="Q105">
        <v>16</v>
      </c>
    </row>
    <row r="106" spans="1:17" x14ac:dyDescent="0.2">
      <c r="A106" t="e">
        <v>#REF!</v>
      </c>
      <c r="B106">
        <v>102</v>
      </c>
      <c r="C106" t="e">
        <v>#REF!</v>
      </c>
      <c r="D106">
        <v>305</v>
      </c>
      <c r="E106">
        <v>10020</v>
      </c>
      <c r="F106" t="s">
        <v>403</v>
      </c>
      <c r="G106" t="s">
        <v>404</v>
      </c>
      <c r="H106" t="s">
        <v>82</v>
      </c>
      <c r="I106" t="s">
        <v>405</v>
      </c>
      <c r="J106" t="s">
        <v>30</v>
      </c>
      <c r="K106" t="s">
        <v>383</v>
      </c>
      <c r="L106" t="s">
        <v>406</v>
      </c>
      <c r="N106">
        <v>999</v>
      </c>
    </row>
    <row r="107" spans="1:17" x14ac:dyDescent="0.2">
      <c r="A107" t="e">
        <v>#REF!</v>
      </c>
      <c r="B107">
        <v>102</v>
      </c>
      <c r="C107" t="e">
        <v>#REF!</v>
      </c>
      <c r="D107">
        <v>306</v>
      </c>
      <c r="E107">
        <v>10021</v>
      </c>
      <c r="F107" t="s">
        <v>407</v>
      </c>
      <c r="G107" t="s">
        <v>408</v>
      </c>
      <c r="H107" t="s">
        <v>82</v>
      </c>
      <c r="I107" t="s">
        <v>409</v>
      </c>
      <c r="J107" t="s">
        <v>30</v>
      </c>
      <c r="K107" t="s">
        <v>383</v>
      </c>
      <c r="L107" t="s">
        <v>410</v>
      </c>
      <c r="N107">
        <v>999</v>
      </c>
    </row>
    <row r="108" spans="1:17" x14ac:dyDescent="0.2">
      <c r="A108" t="e">
        <v>#REF!</v>
      </c>
      <c r="B108">
        <v>102</v>
      </c>
      <c r="C108" t="e">
        <v>#REF!</v>
      </c>
      <c r="D108">
        <v>307</v>
      </c>
      <c r="E108">
        <v>10022</v>
      </c>
      <c r="F108" t="s">
        <v>411</v>
      </c>
      <c r="G108" t="s">
        <v>412</v>
      </c>
      <c r="H108" t="s">
        <v>82</v>
      </c>
      <c r="I108" t="s">
        <v>413</v>
      </c>
      <c r="J108" t="s">
        <v>30</v>
      </c>
      <c r="K108" t="s">
        <v>383</v>
      </c>
      <c r="L108" t="s">
        <v>414</v>
      </c>
      <c r="N108">
        <v>999</v>
      </c>
    </row>
    <row r="109" spans="1:17" x14ac:dyDescent="0.2">
      <c r="A109" t="e">
        <v>#REF!</v>
      </c>
      <c r="B109">
        <v>102</v>
      </c>
      <c r="C109" t="e">
        <v>#REF!</v>
      </c>
      <c r="D109">
        <v>308</v>
      </c>
      <c r="E109">
        <v>10023</v>
      </c>
      <c r="F109" t="s">
        <v>415</v>
      </c>
      <c r="G109" t="s">
        <v>416</v>
      </c>
      <c r="H109" t="s">
        <v>82</v>
      </c>
      <c r="I109" t="s">
        <v>417</v>
      </c>
      <c r="J109" t="s">
        <v>30</v>
      </c>
      <c r="K109" t="s">
        <v>383</v>
      </c>
      <c r="L109" t="s">
        <v>418</v>
      </c>
      <c r="N109">
        <v>999</v>
      </c>
    </row>
    <row r="110" spans="1:17" x14ac:dyDescent="0.2">
      <c r="A110" t="e">
        <v>#REF!</v>
      </c>
      <c r="B110">
        <v>102</v>
      </c>
      <c r="C110" t="e">
        <v>#REF!</v>
      </c>
      <c r="D110">
        <v>309</v>
      </c>
      <c r="E110">
        <v>10024</v>
      </c>
      <c r="F110" t="s">
        <v>419</v>
      </c>
      <c r="G110" t="s">
        <v>420</v>
      </c>
      <c r="H110" t="s">
        <v>82</v>
      </c>
      <c r="I110" t="s">
        <v>421</v>
      </c>
      <c r="J110" t="s">
        <v>30</v>
      </c>
      <c r="K110" t="s">
        <v>383</v>
      </c>
      <c r="L110" t="s">
        <v>422</v>
      </c>
      <c r="N110">
        <v>999</v>
      </c>
    </row>
    <row r="111" spans="1:17" x14ac:dyDescent="0.2">
      <c r="A111" t="e">
        <v>#REF!</v>
      </c>
      <c r="B111">
        <v>102</v>
      </c>
      <c r="C111" t="e">
        <v>#REF!</v>
      </c>
      <c r="D111">
        <v>310</v>
      </c>
      <c r="E111">
        <v>10025</v>
      </c>
      <c r="F111" t="s">
        <v>423</v>
      </c>
      <c r="G111" t="s">
        <v>424</v>
      </c>
      <c r="H111" t="s">
        <v>82</v>
      </c>
      <c r="I111" t="s">
        <v>425</v>
      </c>
      <c r="J111" t="s">
        <v>30</v>
      </c>
      <c r="K111" t="s">
        <v>383</v>
      </c>
      <c r="L111" t="s">
        <v>426</v>
      </c>
      <c r="N111">
        <v>999</v>
      </c>
    </row>
    <row r="112" spans="1:17" x14ac:dyDescent="0.2">
      <c r="A112" t="e">
        <v>#REF!</v>
      </c>
      <c r="B112">
        <v>102</v>
      </c>
      <c r="C112" t="e">
        <v>#REF!</v>
      </c>
      <c r="D112">
        <v>311</v>
      </c>
      <c r="E112">
        <v>10026</v>
      </c>
      <c r="F112" t="s">
        <v>427</v>
      </c>
      <c r="G112" t="s">
        <v>428</v>
      </c>
      <c r="H112" t="s">
        <v>82</v>
      </c>
      <c r="I112" t="s">
        <v>429</v>
      </c>
      <c r="J112" t="s">
        <v>30</v>
      </c>
      <c r="K112" t="s">
        <v>383</v>
      </c>
      <c r="L112" t="s">
        <v>430</v>
      </c>
      <c r="N112">
        <v>999</v>
      </c>
    </row>
    <row r="113" spans="1:17" x14ac:dyDescent="0.2">
      <c r="A113" t="e">
        <v>#REF!</v>
      </c>
      <c r="B113">
        <v>102</v>
      </c>
      <c r="C113" t="e">
        <v>#REF!</v>
      </c>
      <c r="D113">
        <v>312</v>
      </c>
      <c r="E113">
        <v>10027</v>
      </c>
      <c r="F113" t="s">
        <v>431</v>
      </c>
      <c r="G113" t="s">
        <v>432</v>
      </c>
      <c r="H113" t="s">
        <v>82</v>
      </c>
      <c r="I113" t="s">
        <v>433</v>
      </c>
      <c r="J113" t="s">
        <v>30</v>
      </c>
      <c r="K113" t="s">
        <v>383</v>
      </c>
      <c r="L113" t="s">
        <v>434</v>
      </c>
      <c r="N113">
        <v>999</v>
      </c>
    </row>
    <row r="114" spans="1:17" x14ac:dyDescent="0.2">
      <c r="A114" t="e">
        <v>#REF!</v>
      </c>
      <c r="B114">
        <v>102</v>
      </c>
      <c r="C114" t="e">
        <v>#REF!</v>
      </c>
      <c r="D114">
        <v>313</v>
      </c>
      <c r="E114">
        <v>10028</v>
      </c>
      <c r="F114" t="s">
        <v>435</v>
      </c>
      <c r="G114" t="s">
        <v>436</v>
      </c>
      <c r="H114" t="s">
        <v>82</v>
      </c>
      <c r="I114" t="s">
        <v>437</v>
      </c>
      <c r="J114" t="s">
        <v>30</v>
      </c>
      <c r="K114" t="s">
        <v>383</v>
      </c>
      <c r="L114" t="s">
        <v>438</v>
      </c>
      <c r="N114">
        <v>999</v>
      </c>
    </row>
    <row r="115" spans="1:17" x14ac:dyDescent="0.2">
      <c r="A115" t="e">
        <v>#REF!</v>
      </c>
      <c r="B115">
        <v>102</v>
      </c>
      <c r="C115" t="e">
        <v>#REF!</v>
      </c>
      <c r="D115">
        <v>314</v>
      </c>
      <c r="E115">
        <v>10029</v>
      </c>
      <c r="F115" t="s">
        <v>439</v>
      </c>
      <c r="G115" t="s">
        <v>440</v>
      </c>
      <c r="H115" t="s">
        <v>82</v>
      </c>
      <c r="I115" t="s">
        <v>441</v>
      </c>
      <c r="J115" t="s">
        <v>30</v>
      </c>
      <c r="K115" t="s">
        <v>383</v>
      </c>
      <c r="L115" t="s">
        <v>442</v>
      </c>
      <c r="N115">
        <v>999</v>
      </c>
    </row>
    <row r="116" spans="1:17" x14ac:dyDescent="0.2">
      <c r="A116" t="e">
        <v>#REF!</v>
      </c>
      <c r="B116">
        <v>102</v>
      </c>
      <c r="C116" t="e">
        <v>#REF!</v>
      </c>
      <c r="D116">
        <v>315</v>
      </c>
      <c r="E116">
        <v>10030</v>
      </c>
      <c r="F116" t="s">
        <v>443</v>
      </c>
      <c r="G116" t="s">
        <v>444</v>
      </c>
      <c r="H116" t="s">
        <v>82</v>
      </c>
      <c r="I116" t="s">
        <v>445</v>
      </c>
      <c r="J116" t="s">
        <v>30</v>
      </c>
      <c r="K116" t="s">
        <v>383</v>
      </c>
      <c r="L116" t="s">
        <v>446</v>
      </c>
      <c r="N116">
        <v>999</v>
      </c>
      <c r="O116">
        <v>999</v>
      </c>
    </row>
    <row r="117" spans="1:17" x14ac:dyDescent="0.2">
      <c r="A117" t="e">
        <v>#REF!</v>
      </c>
      <c r="B117">
        <v>102</v>
      </c>
      <c r="C117" t="e">
        <v>#REF!</v>
      </c>
      <c r="D117">
        <v>316</v>
      </c>
      <c r="E117">
        <v>10031</v>
      </c>
      <c r="F117" t="s">
        <v>447</v>
      </c>
      <c r="G117" t="s">
        <v>448</v>
      </c>
      <c r="H117" t="s">
        <v>82</v>
      </c>
      <c r="I117" t="s">
        <v>449</v>
      </c>
      <c r="J117" t="s">
        <v>30</v>
      </c>
      <c r="K117" t="s">
        <v>383</v>
      </c>
      <c r="L117" t="s">
        <v>450</v>
      </c>
      <c r="N117">
        <v>999</v>
      </c>
    </row>
    <row r="118" spans="1:17" x14ac:dyDescent="0.2">
      <c r="A118" t="e">
        <v>#REF!</v>
      </c>
      <c r="B118">
        <v>102</v>
      </c>
      <c r="C118" t="e">
        <v>#REF!</v>
      </c>
      <c r="D118">
        <v>317</v>
      </c>
      <c r="E118">
        <v>10032</v>
      </c>
      <c r="F118" t="s">
        <v>451</v>
      </c>
      <c r="G118" t="s">
        <v>452</v>
      </c>
      <c r="H118" t="s">
        <v>82</v>
      </c>
      <c r="I118" t="s">
        <v>453</v>
      </c>
      <c r="J118" t="s">
        <v>30</v>
      </c>
      <c r="K118" t="s">
        <v>383</v>
      </c>
      <c r="L118" t="s">
        <v>454</v>
      </c>
      <c r="N118">
        <v>999</v>
      </c>
    </row>
    <row r="119" spans="1:17" x14ac:dyDescent="0.2">
      <c r="A119" t="e">
        <v>#REF!</v>
      </c>
      <c r="B119">
        <v>102</v>
      </c>
      <c r="C119" t="e">
        <v>#REF!</v>
      </c>
      <c r="D119">
        <v>318</v>
      </c>
      <c r="E119">
        <v>10033</v>
      </c>
      <c r="F119" t="s">
        <v>455</v>
      </c>
      <c r="G119" t="s">
        <v>456</v>
      </c>
      <c r="H119" t="s">
        <v>82</v>
      </c>
      <c r="I119" t="s">
        <v>457</v>
      </c>
      <c r="J119" t="s">
        <v>30</v>
      </c>
      <c r="K119" t="s">
        <v>383</v>
      </c>
      <c r="L119" t="s">
        <v>458</v>
      </c>
      <c r="N119">
        <v>999</v>
      </c>
    </row>
    <row r="120" spans="1:17" x14ac:dyDescent="0.2">
      <c r="A120" t="e">
        <v>#REF!</v>
      </c>
      <c r="B120">
        <v>102</v>
      </c>
      <c r="C120" t="e">
        <v>#REF!</v>
      </c>
      <c r="D120">
        <v>319</v>
      </c>
      <c r="E120">
        <v>10034</v>
      </c>
      <c r="F120" t="s">
        <v>459</v>
      </c>
      <c r="G120" t="s">
        <v>460</v>
      </c>
      <c r="H120" t="s">
        <v>82</v>
      </c>
      <c r="I120" t="s">
        <v>461</v>
      </c>
      <c r="J120" t="s">
        <v>30</v>
      </c>
      <c r="K120" t="s">
        <v>383</v>
      </c>
      <c r="L120" t="s">
        <v>462</v>
      </c>
      <c r="N120">
        <v>999</v>
      </c>
    </row>
    <row r="121" spans="1:17" x14ac:dyDescent="0.2">
      <c r="A121" t="e">
        <v>#REF!</v>
      </c>
      <c r="B121">
        <v>102</v>
      </c>
      <c r="C121" t="e">
        <v>#REF!</v>
      </c>
      <c r="D121">
        <v>320</v>
      </c>
      <c r="E121">
        <v>10035</v>
      </c>
      <c r="F121" t="s">
        <v>463</v>
      </c>
      <c r="G121" t="s">
        <v>464</v>
      </c>
      <c r="H121" t="s">
        <v>82</v>
      </c>
      <c r="I121" t="s">
        <v>465</v>
      </c>
      <c r="J121" t="s">
        <v>30</v>
      </c>
      <c r="K121" t="s">
        <v>383</v>
      </c>
      <c r="L121" t="s">
        <v>466</v>
      </c>
      <c r="N121">
        <v>999</v>
      </c>
    </row>
    <row r="122" spans="1:17" x14ac:dyDescent="0.2">
      <c r="A122" t="e">
        <v>#REF!</v>
      </c>
      <c r="B122">
        <v>102</v>
      </c>
      <c r="C122" t="e">
        <v>#REF!</v>
      </c>
      <c r="D122">
        <v>300</v>
      </c>
      <c r="E122">
        <v>10036</v>
      </c>
      <c r="F122" t="s">
        <v>467</v>
      </c>
      <c r="G122" t="s">
        <v>468</v>
      </c>
      <c r="H122" t="s">
        <v>82</v>
      </c>
      <c r="I122" t="s">
        <v>469</v>
      </c>
      <c r="J122" t="s">
        <v>30</v>
      </c>
      <c r="K122" t="s">
        <v>470</v>
      </c>
      <c r="L122">
        <v>1</v>
      </c>
      <c r="N122">
        <v>999</v>
      </c>
    </row>
    <row r="123" spans="1:17" x14ac:dyDescent="0.2">
      <c r="A123" t="e">
        <v>#REF!</v>
      </c>
      <c r="B123">
        <v>102</v>
      </c>
      <c r="C123" t="e">
        <v>#REF!</v>
      </c>
      <c r="D123">
        <v>300</v>
      </c>
      <c r="E123">
        <v>10037</v>
      </c>
      <c r="F123" t="s">
        <v>471</v>
      </c>
      <c r="G123" t="s">
        <v>472</v>
      </c>
      <c r="H123" t="s">
        <v>82</v>
      </c>
      <c r="I123" t="s">
        <v>473</v>
      </c>
      <c r="J123" t="s">
        <v>30</v>
      </c>
      <c r="K123" t="s">
        <v>474</v>
      </c>
      <c r="L123">
        <v>1</v>
      </c>
      <c r="N123">
        <v>999</v>
      </c>
    </row>
    <row r="124" spans="1:17" x14ac:dyDescent="0.2">
      <c r="A124" t="e">
        <v>#REF!</v>
      </c>
      <c r="B124">
        <v>102</v>
      </c>
      <c r="C124" t="e">
        <v>#REF!</v>
      </c>
      <c r="D124">
        <v>300</v>
      </c>
      <c r="E124">
        <v>10038</v>
      </c>
      <c r="F124" t="s">
        <v>475</v>
      </c>
      <c r="G124" t="s">
        <v>476</v>
      </c>
      <c r="H124" t="s">
        <v>82</v>
      </c>
      <c r="I124" t="s">
        <v>477</v>
      </c>
      <c r="J124" t="s">
        <v>30</v>
      </c>
      <c r="K124" t="s">
        <v>478</v>
      </c>
      <c r="L124">
        <v>1</v>
      </c>
      <c r="N124">
        <v>999</v>
      </c>
    </row>
    <row r="125" spans="1:17" x14ac:dyDescent="0.2">
      <c r="A125" t="e">
        <v>#REF!</v>
      </c>
      <c r="B125">
        <v>102</v>
      </c>
      <c r="C125" t="e">
        <v>#REF!</v>
      </c>
      <c r="D125">
        <v>300</v>
      </c>
      <c r="E125">
        <v>10039</v>
      </c>
      <c r="F125" t="s">
        <v>479</v>
      </c>
      <c r="G125" t="s">
        <v>480</v>
      </c>
      <c r="H125" t="s">
        <v>82</v>
      </c>
      <c r="I125" t="s">
        <v>481</v>
      </c>
      <c r="J125" t="s">
        <v>30</v>
      </c>
      <c r="K125" t="s">
        <v>482</v>
      </c>
      <c r="L125">
        <v>1</v>
      </c>
      <c r="N125">
        <v>999</v>
      </c>
      <c r="O125">
        <v>999</v>
      </c>
    </row>
    <row r="126" spans="1:17" x14ac:dyDescent="0.2">
      <c r="A126" t="e">
        <v>#REF!</v>
      </c>
      <c r="B126">
        <v>102</v>
      </c>
      <c r="C126" t="e">
        <v>#REF!</v>
      </c>
      <c r="D126">
        <v>300</v>
      </c>
      <c r="E126">
        <v>10040</v>
      </c>
      <c r="F126" t="s">
        <v>483</v>
      </c>
      <c r="G126" t="s">
        <v>484</v>
      </c>
      <c r="H126" t="s">
        <v>82</v>
      </c>
      <c r="I126" t="s">
        <v>485</v>
      </c>
      <c r="J126" t="s">
        <v>30</v>
      </c>
      <c r="K126" t="s">
        <v>486</v>
      </c>
      <c r="L126">
        <v>1</v>
      </c>
      <c r="N126">
        <v>999</v>
      </c>
    </row>
    <row r="127" spans="1:17" x14ac:dyDescent="0.2">
      <c r="A127" t="e">
        <v>#REF!</v>
      </c>
      <c r="B127">
        <v>102</v>
      </c>
      <c r="C127" t="e">
        <v>#REF!</v>
      </c>
      <c r="D127">
        <v>301</v>
      </c>
      <c r="E127">
        <v>10041</v>
      </c>
      <c r="F127" t="s">
        <v>487</v>
      </c>
      <c r="G127" t="s">
        <v>488</v>
      </c>
      <c r="H127" t="s">
        <v>82</v>
      </c>
      <c r="I127" t="s">
        <v>489</v>
      </c>
      <c r="J127" t="s">
        <v>30</v>
      </c>
      <c r="K127" t="s">
        <v>486</v>
      </c>
      <c r="L127" t="s">
        <v>490</v>
      </c>
      <c r="N127">
        <v>999</v>
      </c>
    </row>
    <row r="128" spans="1:17" x14ac:dyDescent="0.2">
      <c r="A128" t="e">
        <v>#REF!</v>
      </c>
      <c r="B128">
        <v>102</v>
      </c>
      <c r="C128" t="e">
        <v>#REF!</v>
      </c>
      <c r="D128">
        <v>300</v>
      </c>
      <c r="E128">
        <v>10042</v>
      </c>
      <c r="F128" t="s">
        <v>491</v>
      </c>
      <c r="G128" t="s">
        <v>492</v>
      </c>
      <c r="H128" t="s">
        <v>82</v>
      </c>
      <c r="I128" t="s">
        <v>493</v>
      </c>
      <c r="J128" t="s">
        <v>30</v>
      </c>
      <c r="K128" t="s">
        <v>494</v>
      </c>
      <c r="L128">
        <v>1</v>
      </c>
      <c r="N128">
        <v>999</v>
      </c>
      <c r="O128">
        <v>999</v>
      </c>
      <c r="Q128">
        <v>32</v>
      </c>
    </row>
    <row r="129" spans="1:19" x14ac:dyDescent="0.2">
      <c r="A129" t="e">
        <v>#REF!</v>
      </c>
      <c r="B129">
        <v>102</v>
      </c>
      <c r="C129" t="e">
        <v>#REF!</v>
      </c>
      <c r="D129">
        <v>301</v>
      </c>
      <c r="E129">
        <v>10043</v>
      </c>
      <c r="F129" t="s">
        <v>495</v>
      </c>
      <c r="G129" t="s">
        <v>496</v>
      </c>
      <c r="H129" t="s">
        <v>82</v>
      </c>
      <c r="I129" t="s">
        <v>497</v>
      </c>
      <c r="J129" t="s">
        <v>30</v>
      </c>
      <c r="K129" t="s">
        <v>494</v>
      </c>
      <c r="L129" t="s">
        <v>498</v>
      </c>
      <c r="N129">
        <v>999</v>
      </c>
    </row>
    <row r="130" spans="1:19" x14ac:dyDescent="0.2">
      <c r="A130" t="e">
        <v>#REF!</v>
      </c>
      <c r="B130">
        <v>102</v>
      </c>
      <c r="C130" t="e">
        <v>#REF!</v>
      </c>
      <c r="D130">
        <v>300</v>
      </c>
      <c r="E130">
        <v>10044</v>
      </c>
      <c r="F130" t="s">
        <v>499</v>
      </c>
      <c r="G130" t="s">
        <v>500</v>
      </c>
      <c r="H130" t="s">
        <v>82</v>
      </c>
      <c r="I130" t="s">
        <v>501</v>
      </c>
      <c r="J130" t="s">
        <v>30</v>
      </c>
      <c r="K130" t="s">
        <v>502</v>
      </c>
      <c r="L130">
        <v>1</v>
      </c>
      <c r="N130">
        <v>999</v>
      </c>
    </row>
    <row r="131" spans="1:19" x14ac:dyDescent="0.2">
      <c r="A131" t="e">
        <v>#REF!</v>
      </c>
      <c r="B131">
        <v>102</v>
      </c>
      <c r="C131" t="e">
        <v>#REF!</v>
      </c>
      <c r="D131">
        <v>300</v>
      </c>
      <c r="E131">
        <v>10045</v>
      </c>
      <c r="F131" t="s">
        <v>503</v>
      </c>
      <c r="G131" t="s">
        <v>504</v>
      </c>
      <c r="H131" t="s">
        <v>82</v>
      </c>
      <c r="I131" t="s">
        <v>505</v>
      </c>
      <c r="J131" t="s">
        <v>30</v>
      </c>
      <c r="K131" t="s">
        <v>506</v>
      </c>
      <c r="L131">
        <v>1</v>
      </c>
      <c r="N131">
        <v>999</v>
      </c>
    </row>
    <row r="132" spans="1:19" x14ac:dyDescent="0.2">
      <c r="A132" t="e">
        <v>#REF!</v>
      </c>
      <c r="B132">
        <v>102</v>
      </c>
      <c r="C132" t="e">
        <v>#REF!</v>
      </c>
      <c r="D132">
        <v>300</v>
      </c>
      <c r="E132">
        <v>10046</v>
      </c>
      <c r="F132" t="s">
        <v>507</v>
      </c>
      <c r="G132" t="s">
        <v>508</v>
      </c>
      <c r="H132" t="s">
        <v>82</v>
      </c>
      <c r="I132" t="s">
        <v>509</v>
      </c>
      <c r="J132" t="s">
        <v>30</v>
      </c>
      <c r="K132" t="s">
        <v>510</v>
      </c>
      <c r="L132">
        <v>1</v>
      </c>
      <c r="N132">
        <v>999</v>
      </c>
    </row>
    <row r="133" spans="1:19" x14ac:dyDescent="0.2">
      <c r="A133" t="e">
        <v>#REF!</v>
      </c>
      <c r="B133">
        <v>102</v>
      </c>
      <c r="C133" t="e">
        <v>#REF!</v>
      </c>
      <c r="D133">
        <v>300</v>
      </c>
      <c r="E133">
        <v>10047</v>
      </c>
      <c r="F133" t="s">
        <v>511</v>
      </c>
      <c r="G133" t="s">
        <v>512</v>
      </c>
      <c r="H133" t="s">
        <v>82</v>
      </c>
      <c r="I133" t="s">
        <v>513</v>
      </c>
      <c r="J133" t="s">
        <v>30</v>
      </c>
      <c r="K133" t="s">
        <v>514</v>
      </c>
      <c r="L133">
        <v>1</v>
      </c>
      <c r="N133">
        <v>999</v>
      </c>
    </row>
    <row r="134" spans="1:19" x14ac:dyDescent="0.2">
      <c r="A134" t="e">
        <v>#REF!</v>
      </c>
      <c r="B134">
        <v>102</v>
      </c>
      <c r="C134" t="e">
        <v>#REF!</v>
      </c>
      <c r="D134">
        <v>300</v>
      </c>
      <c r="E134">
        <v>10048</v>
      </c>
      <c r="F134" t="s">
        <v>515</v>
      </c>
      <c r="G134" t="s">
        <v>516</v>
      </c>
      <c r="H134" t="s">
        <v>82</v>
      </c>
      <c r="I134" t="s">
        <v>517</v>
      </c>
      <c r="J134" t="s">
        <v>30</v>
      </c>
      <c r="K134" t="s">
        <v>518</v>
      </c>
      <c r="L134">
        <v>1</v>
      </c>
      <c r="N134">
        <v>999</v>
      </c>
    </row>
    <row r="135" spans="1:19" x14ac:dyDescent="0.2">
      <c r="A135" t="e">
        <v>#REF!</v>
      </c>
      <c r="B135">
        <v>102</v>
      </c>
      <c r="C135" t="e">
        <v>#REF!</v>
      </c>
      <c r="D135">
        <v>300</v>
      </c>
      <c r="E135">
        <v>10049</v>
      </c>
      <c r="F135" t="s">
        <v>519</v>
      </c>
      <c r="G135" t="s">
        <v>520</v>
      </c>
      <c r="H135" t="s">
        <v>82</v>
      </c>
      <c r="I135" t="s">
        <v>521</v>
      </c>
      <c r="J135" t="s">
        <v>30</v>
      </c>
      <c r="K135" t="s">
        <v>522</v>
      </c>
      <c r="L135">
        <v>1</v>
      </c>
      <c r="N135">
        <v>999</v>
      </c>
    </row>
    <row r="136" spans="1:19" x14ac:dyDescent="0.2">
      <c r="A136" t="e">
        <v>#REF!</v>
      </c>
      <c r="B136">
        <v>102</v>
      </c>
      <c r="C136" t="e">
        <v>#REF!</v>
      </c>
      <c r="D136">
        <v>300</v>
      </c>
      <c r="E136">
        <v>10050</v>
      </c>
      <c r="F136" t="s">
        <v>523</v>
      </c>
      <c r="G136" t="s">
        <v>524</v>
      </c>
      <c r="H136" t="s">
        <v>82</v>
      </c>
      <c r="I136" t="s">
        <v>525</v>
      </c>
      <c r="J136" t="s">
        <v>30</v>
      </c>
      <c r="K136" t="s">
        <v>526</v>
      </c>
      <c r="L136">
        <v>1</v>
      </c>
      <c r="N136">
        <v>999</v>
      </c>
    </row>
    <row r="137" spans="1:19" x14ac:dyDescent="0.2">
      <c r="A137" t="e">
        <v>#REF!</v>
      </c>
      <c r="B137">
        <v>102</v>
      </c>
      <c r="C137" t="e">
        <v>#REF!</v>
      </c>
      <c r="D137">
        <v>300</v>
      </c>
      <c r="E137">
        <v>10051</v>
      </c>
      <c r="F137" t="s">
        <v>527</v>
      </c>
      <c r="G137" t="s">
        <v>528</v>
      </c>
      <c r="H137" t="s">
        <v>82</v>
      </c>
      <c r="I137" t="s">
        <v>529</v>
      </c>
      <c r="J137" t="s">
        <v>30</v>
      </c>
      <c r="K137" t="s">
        <v>530</v>
      </c>
      <c r="L137">
        <v>1</v>
      </c>
      <c r="N137">
        <v>999</v>
      </c>
    </row>
    <row r="138" spans="1:19" x14ac:dyDescent="0.2">
      <c r="A138" t="e">
        <v>#REF!</v>
      </c>
      <c r="B138">
        <v>102</v>
      </c>
      <c r="C138" t="e">
        <v>#REF!</v>
      </c>
      <c r="D138">
        <v>300</v>
      </c>
      <c r="E138">
        <v>10052</v>
      </c>
      <c r="F138" t="s">
        <v>531</v>
      </c>
      <c r="G138" t="s">
        <v>532</v>
      </c>
      <c r="H138" t="s">
        <v>82</v>
      </c>
      <c r="I138" t="s">
        <v>533</v>
      </c>
      <c r="J138" t="s">
        <v>30</v>
      </c>
      <c r="K138" t="s">
        <v>534</v>
      </c>
      <c r="L138">
        <v>1</v>
      </c>
      <c r="N138">
        <v>999</v>
      </c>
      <c r="Q138">
        <v>32</v>
      </c>
    </row>
    <row r="139" spans="1:19" x14ac:dyDescent="0.2">
      <c r="A139" t="e">
        <v>#REF!</v>
      </c>
      <c r="B139">
        <v>102</v>
      </c>
      <c r="C139" t="e">
        <v>#REF!</v>
      </c>
      <c r="D139">
        <v>300</v>
      </c>
      <c r="E139">
        <v>10053</v>
      </c>
      <c r="F139" t="s">
        <v>535</v>
      </c>
      <c r="G139" t="s">
        <v>536</v>
      </c>
      <c r="H139" t="s">
        <v>82</v>
      </c>
      <c r="I139" t="s">
        <v>537</v>
      </c>
      <c r="J139" t="s">
        <v>30</v>
      </c>
      <c r="K139" t="s">
        <v>538</v>
      </c>
      <c r="L139">
        <v>1</v>
      </c>
      <c r="N139">
        <v>999</v>
      </c>
    </row>
    <row r="140" spans="1:19" x14ac:dyDescent="0.2">
      <c r="A140" t="e">
        <v>#REF!</v>
      </c>
      <c r="B140">
        <v>102</v>
      </c>
      <c r="C140" t="e">
        <v>#REF!</v>
      </c>
      <c r="D140">
        <v>300</v>
      </c>
      <c r="E140">
        <v>10054</v>
      </c>
      <c r="F140" t="s">
        <v>539</v>
      </c>
      <c r="G140" t="s">
        <v>540</v>
      </c>
      <c r="H140" t="s">
        <v>82</v>
      </c>
      <c r="I140" t="s">
        <v>541</v>
      </c>
      <c r="J140" t="s">
        <v>30</v>
      </c>
      <c r="K140" t="s">
        <v>542</v>
      </c>
      <c r="L140">
        <v>1</v>
      </c>
      <c r="N140">
        <v>999</v>
      </c>
    </row>
    <row r="141" spans="1:19" x14ac:dyDescent="0.2">
      <c r="A141" t="e">
        <v>#REF!</v>
      </c>
      <c r="B141">
        <v>102</v>
      </c>
      <c r="C141" t="e">
        <v>#REF!</v>
      </c>
      <c r="D141">
        <v>300</v>
      </c>
      <c r="E141">
        <v>10055</v>
      </c>
      <c r="F141" t="s">
        <v>543</v>
      </c>
      <c r="G141" t="s">
        <v>544</v>
      </c>
      <c r="H141" t="s">
        <v>82</v>
      </c>
      <c r="I141" t="s">
        <v>545</v>
      </c>
      <c r="J141" t="s">
        <v>30</v>
      </c>
      <c r="K141" t="s">
        <v>546</v>
      </c>
      <c r="L141">
        <v>1</v>
      </c>
      <c r="N141">
        <v>999</v>
      </c>
      <c r="Q141">
        <v>32</v>
      </c>
    </row>
    <row r="142" spans="1:19" x14ac:dyDescent="0.2">
      <c r="A142" t="e">
        <v>#REF!</v>
      </c>
      <c r="B142">
        <v>111</v>
      </c>
      <c r="C142" t="e">
        <v>#REF!</v>
      </c>
      <c r="D142">
        <v>300</v>
      </c>
      <c r="E142">
        <v>10001</v>
      </c>
      <c r="F142" t="s">
        <v>547</v>
      </c>
      <c r="G142" t="s">
        <v>548</v>
      </c>
      <c r="H142" t="s">
        <v>82</v>
      </c>
      <c r="I142" t="s">
        <v>549</v>
      </c>
      <c r="J142" t="s">
        <v>31</v>
      </c>
      <c r="K142">
        <v>1</v>
      </c>
      <c r="L142">
        <v>1</v>
      </c>
      <c r="N142">
        <v>999</v>
      </c>
      <c r="O142">
        <v>999</v>
      </c>
      <c r="Q142">
        <v>64</v>
      </c>
    </row>
    <row r="143" spans="1:19" x14ac:dyDescent="0.2">
      <c r="A143" t="e">
        <v>#REF!</v>
      </c>
      <c r="B143">
        <v>111</v>
      </c>
      <c r="C143" t="e">
        <v>#REF!</v>
      </c>
      <c r="D143">
        <v>300</v>
      </c>
      <c r="E143">
        <v>10002</v>
      </c>
      <c r="F143" t="s">
        <v>550</v>
      </c>
      <c r="G143" t="s">
        <v>551</v>
      </c>
      <c r="H143" t="s">
        <v>82</v>
      </c>
      <c r="I143" t="s">
        <v>552</v>
      </c>
      <c r="J143" t="s">
        <v>31</v>
      </c>
      <c r="K143" t="s">
        <v>553</v>
      </c>
      <c r="L143">
        <v>1</v>
      </c>
      <c r="N143">
        <v>999</v>
      </c>
      <c r="O143">
        <v>999</v>
      </c>
      <c r="Q143">
        <v>32</v>
      </c>
    </row>
    <row r="144" spans="1:19" x14ac:dyDescent="0.2">
      <c r="A144" t="e">
        <v>#REF!</v>
      </c>
      <c r="B144">
        <v>111</v>
      </c>
      <c r="C144" t="e">
        <v>#REF!</v>
      </c>
      <c r="D144">
        <v>300</v>
      </c>
      <c r="E144">
        <v>10003</v>
      </c>
      <c r="F144" t="s">
        <v>554</v>
      </c>
      <c r="G144" t="s">
        <v>555</v>
      </c>
      <c r="H144" t="s">
        <v>82</v>
      </c>
      <c r="I144" t="s">
        <v>556</v>
      </c>
      <c r="J144" t="s">
        <v>31</v>
      </c>
      <c r="K144" t="s">
        <v>553</v>
      </c>
      <c r="L144">
        <v>1</v>
      </c>
      <c r="N144">
        <v>999</v>
      </c>
      <c r="Q144">
        <v>16</v>
      </c>
      <c r="R144" t="s">
        <v>557</v>
      </c>
      <c r="S144" t="s">
        <v>558</v>
      </c>
    </row>
    <row r="145" spans="1:19" x14ac:dyDescent="0.2">
      <c r="A145" t="e">
        <v>#REF!</v>
      </c>
      <c r="B145">
        <v>111</v>
      </c>
      <c r="C145" t="e">
        <v>#REF!</v>
      </c>
      <c r="D145">
        <v>300</v>
      </c>
      <c r="E145">
        <v>10004</v>
      </c>
      <c r="F145" t="s">
        <v>559</v>
      </c>
      <c r="G145" t="s">
        <v>560</v>
      </c>
      <c r="H145" t="s">
        <v>82</v>
      </c>
      <c r="I145" t="s">
        <v>561</v>
      </c>
      <c r="J145" t="s">
        <v>31</v>
      </c>
      <c r="K145" t="s">
        <v>553</v>
      </c>
      <c r="L145">
        <v>1</v>
      </c>
      <c r="N145">
        <v>999</v>
      </c>
      <c r="Q145">
        <v>16</v>
      </c>
      <c r="R145" t="s">
        <v>557</v>
      </c>
      <c r="S145" t="s">
        <v>558</v>
      </c>
    </row>
    <row r="146" spans="1:19" x14ac:dyDescent="0.2">
      <c r="A146" t="e">
        <v>#REF!</v>
      </c>
      <c r="B146">
        <v>111</v>
      </c>
      <c r="C146" t="e">
        <v>#REF!</v>
      </c>
      <c r="D146">
        <v>300</v>
      </c>
      <c r="E146">
        <v>10005</v>
      </c>
      <c r="F146" t="s">
        <v>562</v>
      </c>
      <c r="G146" t="s">
        <v>563</v>
      </c>
      <c r="H146" t="s">
        <v>82</v>
      </c>
      <c r="I146" t="s">
        <v>564</v>
      </c>
      <c r="J146" t="s">
        <v>31</v>
      </c>
      <c r="K146" t="s">
        <v>553</v>
      </c>
      <c r="L146">
        <v>1</v>
      </c>
      <c r="N146">
        <v>999</v>
      </c>
      <c r="Q146">
        <v>32</v>
      </c>
      <c r="R146" t="s">
        <v>557</v>
      </c>
      <c r="S146" t="s">
        <v>558</v>
      </c>
    </row>
    <row r="147" spans="1:19" x14ac:dyDescent="0.2">
      <c r="A147" t="e">
        <v>#REF!</v>
      </c>
      <c r="B147">
        <v>111</v>
      </c>
      <c r="C147" t="e">
        <v>#REF!</v>
      </c>
      <c r="D147">
        <v>300</v>
      </c>
      <c r="E147">
        <v>10006</v>
      </c>
      <c r="F147" t="s">
        <v>565</v>
      </c>
      <c r="G147" t="s">
        <v>566</v>
      </c>
      <c r="H147" t="s">
        <v>82</v>
      </c>
      <c r="I147" t="s">
        <v>567</v>
      </c>
      <c r="J147" t="s">
        <v>31</v>
      </c>
      <c r="K147" t="s">
        <v>553</v>
      </c>
      <c r="L147">
        <v>1</v>
      </c>
      <c r="N147">
        <v>999</v>
      </c>
      <c r="O147">
        <v>999</v>
      </c>
      <c r="Q147">
        <v>16</v>
      </c>
      <c r="R147" t="s">
        <v>557</v>
      </c>
      <c r="S147" t="s">
        <v>558</v>
      </c>
    </row>
    <row r="148" spans="1:19" x14ac:dyDescent="0.2">
      <c r="A148" t="e">
        <v>#REF!</v>
      </c>
      <c r="B148">
        <v>111</v>
      </c>
      <c r="C148" t="e">
        <v>#REF!</v>
      </c>
      <c r="D148">
        <v>300</v>
      </c>
      <c r="E148">
        <v>10007</v>
      </c>
      <c r="F148" t="s">
        <v>568</v>
      </c>
      <c r="G148" t="s">
        <v>250</v>
      </c>
      <c r="H148" t="s">
        <v>82</v>
      </c>
      <c r="I148" t="s">
        <v>251</v>
      </c>
      <c r="J148" t="s">
        <v>31</v>
      </c>
      <c r="K148" t="s">
        <v>553</v>
      </c>
      <c r="L148">
        <v>1</v>
      </c>
      <c r="N148">
        <v>999</v>
      </c>
      <c r="O148">
        <v>999</v>
      </c>
      <c r="Q148">
        <v>16</v>
      </c>
      <c r="R148" t="s">
        <v>557</v>
      </c>
      <c r="S148" t="s">
        <v>558</v>
      </c>
    </row>
    <row r="149" spans="1:19" x14ac:dyDescent="0.2">
      <c r="A149" t="e">
        <v>#REF!</v>
      </c>
      <c r="B149">
        <v>111</v>
      </c>
      <c r="C149" t="e">
        <v>#REF!</v>
      </c>
      <c r="D149">
        <v>300</v>
      </c>
      <c r="E149">
        <v>10008</v>
      </c>
      <c r="F149" t="s">
        <v>550</v>
      </c>
      <c r="G149" t="s">
        <v>551</v>
      </c>
      <c r="H149" t="s">
        <v>82</v>
      </c>
      <c r="I149" t="s">
        <v>552</v>
      </c>
      <c r="J149" t="s">
        <v>31</v>
      </c>
      <c r="K149" t="s">
        <v>553</v>
      </c>
      <c r="L149">
        <v>1</v>
      </c>
      <c r="N149">
        <v>999</v>
      </c>
      <c r="O149">
        <v>999</v>
      </c>
      <c r="Q149">
        <v>32</v>
      </c>
      <c r="R149" t="s">
        <v>557</v>
      </c>
      <c r="S149" t="s">
        <v>558</v>
      </c>
    </row>
    <row r="150" spans="1:19" x14ac:dyDescent="0.2">
      <c r="A150" t="e">
        <v>#REF!</v>
      </c>
      <c r="B150">
        <v>111</v>
      </c>
      <c r="C150" t="e">
        <v>#REF!</v>
      </c>
      <c r="D150">
        <v>300</v>
      </c>
      <c r="E150">
        <v>10009</v>
      </c>
      <c r="F150" t="s">
        <v>547</v>
      </c>
      <c r="G150" t="s">
        <v>548</v>
      </c>
      <c r="H150" t="s">
        <v>82</v>
      </c>
      <c r="I150" t="s">
        <v>549</v>
      </c>
      <c r="J150" t="s">
        <v>31</v>
      </c>
      <c r="K150" t="s">
        <v>553</v>
      </c>
      <c r="L150">
        <v>1</v>
      </c>
      <c r="N150">
        <v>999</v>
      </c>
      <c r="O150">
        <v>999</v>
      </c>
      <c r="Q150">
        <v>64</v>
      </c>
      <c r="R150" t="s">
        <v>557</v>
      </c>
      <c r="S150" t="s">
        <v>558</v>
      </c>
    </row>
    <row r="151" spans="1:19" x14ac:dyDescent="0.2">
      <c r="A151" t="e">
        <v>#REF!</v>
      </c>
      <c r="B151">
        <v>111</v>
      </c>
      <c r="C151" t="e">
        <v>#REF!</v>
      </c>
      <c r="D151">
        <v>300</v>
      </c>
      <c r="E151">
        <v>10010</v>
      </c>
      <c r="F151" t="s">
        <v>569</v>
      </c>
      <c r="G151" t="s">
        <v>570</v>
      </c>
      <c r="H151" t="s">
        <v>82</v>
      </c>
      <c r="I151" t="s">
        <v>571</v>
      </c>
      <c r="J151" t="s">
        <v>31</v>
      </c>
      <c r="K151" t="s">
        <v>553</v>
      </c>
      <c r="L151">
        <v>1</v>
      </c>
      <c r="N151">
        <v>999</v>
      </c>
      <c r="Q151">
        <v>16</v>
      </c>
      <c r="R151" t="s">
        <v>557</v>
      </c>
      <c r="S151" t="s">
        <v>558</v>
      </c>
    </row>
    <row r="152" spans="1:19" x14ac:dyDescent="0.2">
      <c r="A152" t="e">
        <v>#REF!</v>
      </c>
      <c r="B152">
        <v>111</v>
      </c>
      <c r="C152" t="e">
        <v>#REF!</v>
      </c>
      <c r="D152">
        <v>300</v>
      </c>
      <c r="E152">
        <v>10011</v>
      </c>
      <c r="F152" t="s">
        <v>572</v>
      </c>
      <c r="G152" t="s">
        <v>573</v>
      </c>
      <c r="H152" t="s">
        <v>82</v>
      </c>
      <c r="I152" t="s">
        <v>574</v>
      </c>
      <c r="J152" t="s">
        <v>31</v>
      </c>
      <c r="K152" t="s">
        <v>553</v>
      </c>
      <c r="L152">
        <v>1</v>
      </c>
      <c r="N152">
        <v>999</v>
      </c>
      <c r="R152" t="s">
        <v>557</v>
      </c>
      <c r="S152" t="s">
        <v>558</v>
      </c>
    </row>
    <row r="153" spans="1:19" x14ac:dyDescent="0.2">
      <c r="A153" t="e">
        <v>#REF!</v>
      </c>
      <c r="B153">
        <v>111</v>
      </c>
      <c r="C153" t="e">
        <v>#REF!</v>
      </c>
      <c r="D153">
        <v>300</v>
      </c>
      <c r="E153">
        <v>10012</v>
      </c>
      <c r="F153" t="s">
        <v>575</v>
      </c>
      <c r="G153" t="s">
        <v>576</v>
      </c>
      <c r="H153" t="s">
        <v>82</v>
      </c>
      <c r="I153" t="s">
        <v>577</v>
      </c>
      <c r="J153" t="s">
        <v>31</v>
      </c>
      <c r="K153" t="s">
        <v>553</v>
      </c>
      <c r="L153">
        <v>1</v>
      </c>
      <c r="N153">
        <v>999</v>
      </c>
      <c r="Q153">
        <v>16</v>
      </c>
      <c r="R153" t="s">
        <v>557</v>
      </c>
      <c r="S153" t="s">
        <v>558</v>
      </c>
    </row>
    <row r="154" spans="1:19" x14ac:dyDescent="0.2">
      <c r="A154" t="e">
        <v>#REF!</v>
      </c>
      <c r="B154">
        <v>111</v>
      </c>
      <c r="C154" t="e">
        <v>#REF!</v>
      </c>
      <c r="D154">
        <v>300</v>
      </c>
      <c r="E154">
        <v>10013</v>
      </c>
      <c r="F154" t="s">
        <v>578</v>
      </c>
      <c r="G154" t="s">
        <v>579</v>
      </c>
      <c r="H154" t="s">
        <v>82</v>
      </c>
      <c r="I154" t="s">
        <v>580</v>
      </c>
      <c r="J154" t="s">
        <v>31</v>
      </c>
      <c r="K154" t="s">
        <v>553</v>
      </c>
      <c r="L154">
        <v>1</v>
      </c>
      <c r="N154">
        <v>999</v>
      </c>
      <c r="O154">
        <v>999</v>
      </c>
      <c r="Q154">
        <v>16</v>
      </c>
      <c r="R154" t="s">
        <v>557</v>
      </c>
      <c r="S154" t="s">
        <v>558</v>
      </c>
    </row>
    <row r="155" spans="1:19" x14ac:dyDescent="0.2">
      <c r="A155" t="e">
        <v>#REF!</v>
      </c>
      <c r="B155">
        <v>111</v>
      </c>
      <c r="C155" t="e">
        <v>#REF!</v>
      </c>
      <c r="D155">
        <v>300</v>
      </c>
      <c r="E155">
        <v>10014</v>
      </c>
      <c r="F155" t="s">
        <v>581</v>
      </c>
      <c r="G155" t="s">
        <v>582</v>
      </c>
      <c r="H155" t="s">
        <v>82</v>
      </c>
      <c r="I155" t="s">
        <v>583</v>
      </c>
      <c r="J155" t="s">
        <v>31</v>
      </c>
      <c r="K155" t="s">
        <v>553</v>
      </c>
      <c r="L155">
        <v>1</v>
      </c>
      <c r="N155">
        <v>999</v>
      </c>
      <c r="Q155">
        <v>32</v>
      </c>
      <c r="R155" t="s">
        <v>557</v>
      </c>
      <c r="S155" t="s">
        <v>558</v>
      </c>
    </row>
    <row r="156" spans="1:19" x14ac:dyDescent="0.2">
      <c r="A156" t="e">
        <v>#REF!</v>
      </c>
      <c r="B156">
        <v>111</v>
      </c>
      <c r="C156" t="e">
        <v>#REF!</v>
      </c>
      <c r="D156">
        <v>300</v>
      </c>
      <c r="E156">
        <v>10015</v>
      </c>
      <c r="F156" t="s">
        <v>584</v>
      </c>
      <c r="G156" t="s">
        <v>585</v>
      </c>
      <c r="H156" t="s">
        <v>82</v>
      </c>
      <c r="I156" t="s">
        <v>586</v>
      </c>
      <c r="J156" t="s">
        <v>31</v>
      </c>
      <c r="K156" t="s">
        <v>553</v>
      </c>
      <c r="L156">
        <v>1</v>
      </c>
      <c r="N156">
        <v>999</v>
      </c>
      <c r="Q156">
        <v>32</v>
      </c>
      <c r="R156" t="s">
        <v>557</v>
      </c>
      <c r="S156" t="s">
        <v>558</v>
      </c>
    </row>
    <row r="157" spans="1:19" x14ac:dyDescent="0.2">
      <c r="A157" t="e">
        <v>#REF!</v>
      </c>
      <c r="B157">
        <v>111</v>
      </c>
      <c r="C157" t="e">
        <v>#REF!</v>
      </c>
      <c r="D157">
        <v>300</v>
      </c>
      <c r="E157">
        <v>10016</v>
      </c>
      <c r="F157" t="s">
        <v>587</v>
      </c>
      <c r="G157" t="s">
        <v>588</v>
      </c>
      <c r="H157" t="s">
        <v>82</v>
      </c>
      <c r="I157" t="s">
        <v>589</v>
      </c>
      <c r="J157" t="s">
        <v>31</v>
      </c>
      <c r="K157" t="s">
        <v>553</v>
      </c>
      <c r="L157">
        <v>1</v>
      </c>
      <c r="N157">
        <v>999</v>
      </c>
      <c r="Q157">
        <v>72</v>
      </c>
      <c r="R157" t="s">
        <v>557</v>
      </c>
      <c r="S157" t="s">
        <v>558</v>
      </c>
    </row>
    <row r="158" spans="1:19" x14ac:dyDescent="0.2">
      <c r="A158" t="e">
        <v>#REF!</v>
      </c>
      <c r="B158">
        <v>111</v>
      </c>
      <c r="C158" t="e">
        <v>#REF!</v>
      </c>
      <c r="D158">
        <v>300</v>
      </c>
      <c r="E158">
        <v>10017</v>
      </c>
      <c r="F158" t="s">
        <v>590</v>
      </c>
      <c r="G158" t="s">
        <v>591</v>
      </c>
      <c r="H158" t="s">
        <v>82</v>
      </c>
      <c r="I158" t="s">
        <v>592</v>
      </c>
      <c r="J158" t="s">
        <v>31</v>
      </c>
      <c r="K158" t="s">
        <v>553</v>
      </c>
      <c r="L158">
        <v>1</v>
      </c>
      <c r="N158">
        <v>999</v>
      </c>
      <c r="Q158">
        <v>16</v>
      </c>
      <c r="R158" t="s">
        <v>557</v>
      </c>
      <c r="S158" t="s">
        <v>558</v>
      </c>
    </row>
    <row r="159" spans="1:19" x14ac:dyDescent="0.2">
      <c r="A159" t="e">
        <v>#REF!</v>
      </c>
      <c r="B159">
        <v>201</v>
      </c>
      <c r="C159" t="e">
        <v>#REF!</v>
      </c>
      <c r="D159">
        <v>300</v>
      </c>
      <c r="E159">
        <v>10001</v>
      </c>
      <c r="F159" t="s">
        <v>593</v>
      </c>
      <c r="G159" t="s">
        <v>594</v>
      </c>
      <c r="H159" t="s">
        <v>82</v>
      </c>
      <c r="I159" t="s">
        <v>595</v>
      </c>
      <c r="J159" t="s">
        <v>32</v>
      </c>
      <c r="K159">
        <v>1</v>
      </c>
      <c r="L159">
        <v>1</v>
      </c>
      <c r="N159">
        <v>999</v>
      </c>
      <c r="O159">
        <v>999</v>
      </c>
      <c r="Q159">
        <v>64</v>
      </c>
      <c r="R159" t="s">
        <v>557</v>
      </c>
      <c r="S159" t="s">
        <v>558</v>
      </c>
    </row>
    <row r="160" spans="1:19" x14ac:dyDescent="0.2">
      <c r="A160" t="e">
        <v>#REF!</v>
      </c>
      <c r="B160">
        <v>201</v>
      </c>
      <c r="C160" t="e">
        <v>#REF!</v>
      </c>
      <c r="D160">
        <v>300</v>
      </c>
      <c r="E160">
        <v>10002</v>
      </c>
      <c r="F160" t="s">
        <v>596</v>
      </c>
      <c r="G160" t="s">
        <v>597</v>
      </c>
      <c r="H160" t="s">
        <v>82</v>
      </c>
      <c r="I160" t="s">
        <v>598</v>
      </c>
      <c r="J160" t="s">
        <v>32</v>
      </c>
      <c r="K160">
        <v>1</v>
      </c>
      <c r="L160">
        <v>1</v>
      </c>
      <c r="N160">
        <v>999</v>
      </c>
      <c r="O160">
        <v>999</v>
      </c>
      <c r="Q160">
        <v>32</v>
      </c>
    </row>
    <row r="161" spans="1:19" x14ac:dyDescent="0.2">
      <c r="A161" t="e">
        <v>#REF!</v>
      </c>
      <c r="B161">
        <v>201</v>
      </c>
      <c r="C161" t="e">
        <v>#REF!</v>
      </c>
      <c r="D161">
        <v>300</v>
      </c>
      <c r="E161">
        <v>10003</v>
      </c>
      <c r="F161" t="s">
        <v>599</v>
      </c>
      <c r="G161" t="s">
        <v>600</v>
      </c>
      <c r="H161" t="s">
        <v>82</v>
      </c>
      <c r="I161" t="s">
        <v>601</v>
      </c>
      <c r="J161" t="s">
        <v>32</v>
      </c>
      <c r="K161">
        <v>1</v>
      </c>
      <c r="L161">
        <v>1</v>
      </c>
      <c r="N161">
        <v>999</v>
      </c>
      <c r="O161">
        <v>999</v>
      </c>
      <c r="Q161">
        <v>32</v>
      </c>
      <c r="R161" t="s">
        <v>557</v>
      </c>
      <c r="S161" t="s">
        <v>558</v>
      </c>
    </row>
    <row r="162" spans="1:19" x14ac:dyDescent="0.2">
      <c r="A162" t="e">
        <v>#REF!</v>
      </c>
      <c r="B162">
        <v>201</v>
      </c>
      <c r="C162" t="e">
        <v>#REF!</v>
      </c>
      <c r="D162">
        <v>300</v>
      </c>
      <c r="E162">
        <v>10004</v>
      </c>
      <c r="F162" t="s">
        <v>602</v>
      </c>
      <c r="G162" t="s">
        <v>603</v>
      </c>
      <c r="H162" t="s">
        <v>82</v>
      </c>
      <c r="I162" t="s">
        <v>604</v>
      </c>
      <c r="J162" t="s">
        <v>32</v>
      </c>
      <c r="K162" t="s">
        <v>52</v>
      </c>
      <c r="L162">
        <v>1</v>
      </c>
      <c r="N162">
        <v>999</v>
      </c>
      <c r="O162">
        <v>999</v>
      </c>
      <c r="Q162">
        <v>16</v>
      </c>
    </row>
    <row r="163" spans="1:19" x14ac:dyDescent="0.2">
      <c r="A163" t="e">
        <v>#REF!</v>
      </c>
      <c r="B163">
        <v>201</v>
      </c>
      <c r="C163" t="e">
        <v>#REF!</v>
      </c>
      <c r="D163">
        <v>300</v>
      </c>
      <c r="E163">
        <v>10005</v>
      </c>
      <c r="F163" t="s">
        <v>605</v>
      </c>
      <c r="G163" t="s">
        <v>606</v>
      </c>
      <c r="H163" t="s">
        <v>82</v>
      </c>
      <c r="I163" t="s">
        <v>607</v>
      </c>
      <c r="J163" t="s">
        <v>32</v>
      </c>
      <c r="K163" t="s">
        <v>608</v>
      </c>
      <c r="L163">
        <v>1</v>
      </c>
      <c r="N163">
        <v>999</v>
      </c>
      <c r="O163">
        <v>999</v>
      </c>
      <c r="Q163">
        <v>20</v>
      </c>
    </row>
    <row r="164" spans="1:19" x14ac:dyDescent="0.2">
      <c r="A164" t="e">
        <v>#REF!</v>
      </c>
      <c r="B164">
        <v>201</v>
      </c>
      <c r="C164" t="e">
        <v>#REF!</v>
      </c>
      <c r="D164">
        <v>300</v>
      </c>
      <c r="E164">
        <v>10006</v>
      </c>
      <c r="F164" t="s">
        <v>609</v>
      </c>
      <c r="G164" t="s">
        <v>610</v>
      </c>
      <c r="H164" t="s">
        <v>82</v>
      </c>
      <c r="I164" t="s">
        <v>611</v>
      </c>
      <c r="J164" t="s">
        <v>32</v>
      </c>
      <c r="K164" t="s">
        <v>612</v>
      </c>
      <c r="L164">
        <v>1</v>
      </c>
      <c r="N164">
        <v>999</v>
      </c>
      <c r="O164">
        <v>999</v>
      </c>
      <c r="Q164">
        <v>32</v>
      </c>
    </row>
    <row r="165" spans="1:19" x14ac:dyDescent="0.2">
      <c r="A165" t="e">
        <v>#REF!</v>
      </c>
      <c r="B165">
        <v>201</v>
      </c>
      <c r="C165" t="e">
        <v>#REF!</v>
      </c>
      <c r="D165">
        <v>300</v>
      </c>
      <c r="E165">
        <v>10007</v>
      </c>
      <c r="F165" t="s">
        <v>613</v>
      </c>
      <c r="G165" t="s">
        <v>614</v>
      </c>
      <c r="H165" t="s">
        <v>615</v>
      </c>
      <c r="I165" t="s">
        <v>616</v>
      </c>
      <c r="J165" t="s">
        <v>32</v>
      </c>
      <c r="K165" t="s">
        <v>617</v>
      </c>
      <c r="L165">
        <v>1</v>
      </c>
      <c r="N165">
        <v>999</v>
      </c>
      <c r="O165">
        <v>999</v>
      </c>
    </row>
    <row r="166" spans="1:19" x14ac:dyDescent="0.2">
      <c r="A166" t="e">
        <v>#REF!</v>
      </c>
      <c r="B166">
        <v>202</v>
      </c>
      <c r="C166" t="e">
        <v>#REF!</v>
      </c>
      <c r="D166">
        <v>300</v>
      </c>
      <c r="E166">
        <v>10001</v>
      </c>
      <c r="F166" t="s">
        <v>618</v>
      </c>
      <c r="G166" t="s">
        <v>619</v>
      </c>
      <c r="H166" t="s">
        <v>82</v>
      </c>
      <c r="I166" t="s">
        <v>620</v>
      </c>
      <c r="J166" t="s">
        <v>33</v>
      </c>
      <c r="K166">
        <v>1</v>
      </c>
      <c r="L166">
        <v>1</v>
      </c>
      <c r="N166">
        <v>999</v>
      </c>
      <c r="O166">
        <v>999</v>
      </c>
      <c r="Q166">
        <v>256</v>
      </c>
    </row>
    <row r="167" spans="1:19" x14ac:dyDescent="0.2">
      <c r="A167" t="e">
        <v>#REF!</v>
      </c>
      <c r="B167">
        <v>202</v>
      </c>
      <c r="C167" t="e">
        <v>#REF!</v>
      </c>
      <c r="D167">
        <v>300</v>
      </c>
      <c r="E167">
        <v>10002</v>
      </c>
      <c r="F167" t="s">
        <v>621</v>
      </c>
      <c r="G167" t="s">
        <v>622</v>
      </c>
      <c r="H167" t="s">
        <v>82</v>
      </c>
      <c r="I167" t="s">
        <v>623</v>
      </c>
      <c r="J167" t="s">
        <v>33</v>
      </c>
      <c r="K167">
        <v>1</v>
      </c>
      <c r="L167">
        <v>1</v>
      </c>
      <c r="N167">
        <v>999</v>
      </c>
      <c r="O167">
        <v>999</v>
      </c>
      <c r="Q167">
        <v>32</v>
      </c>
      <c r="R167" t="s">
        <v>557</v>
      </c>
      <c r="S167" t="s">
        <v>558</v>
      </c>
    </row>
    <row r="168" spans="1:19" x14ac:dyDescent="0.2">
      <c r="A168" t="e">
        <v>#REF!</v>
      </c>
      <c r="B168">
        <v>202</v>
      </c>
      <c r="C168" t="e">
        <v>#REF!</v>
      </c>
      <c r="D168">
        <v>300</v>
      </c>
      <c r="E168">
        <v>10003</v>
      </c>
      <c r="F168" t="s">
        <v>624</v>
      </c>
      <c r="G168" t="s">
        <v>625</v>
      </c>
      <c r="H168" t="s">
        <v>82</v>
      </c>
      <c r="I168" t="s">
        <v>626</v>
      </c>
      <c r="J168" t="s">
        <v>33</v>
      </c>
      <c r="K168">
        <v>1</v>
      </c>
      <c r="L168">
        <v>1</v>
      </c>
      <c r="N168">
        <v>999</v>
      </c>
      <c r="Q168">
        <v>16</v>
      </c>
      <c r="R168" t="s">
        <v>557</v>
      </c>
      <c r="S168" t="s">
        <v>558</v>
      </c>
    </row>
    <row r="169" spans="1:19" x14ac:dyDescent="0.2">
      <c r="A169" t="e">
        <v>#REF!</v>
      </c>
      <c r="B169">
        <v>202</v>
      </c>
      <c r="C169" t="e">
        <v>#REF!</v>
      </c>
      <c r="D169">
        <v>300</v>
      </c>
      <c r="E169">
        <v>10004</v>
      </c>
      <c r="F169" t="s">
        <v>627</v>
      </c>
      <c r="G169" t="s">
        <v>628</v>
      </c>
      <c r="H169" t="s">
        <v>82</v>
      </c>
      <c r="I169" t="s">
        <v>629</v>
      </c>
      <c r="J169" t="s">
        <v>33</v>
      </c>
      <c r="K169">
        <v>1</v>
      </c>
      <c r="L169">
        <v>1</v>
      </c>
      <c r="N169">
        <v>999</v>
      </c>
      <c r="O169">
        <v>999</v>
      </c>
      <c r="Q169">
        <v>16</v>
      </c>
      <c r="R169" t="s">
        <v>557</v>
      </c>
      <c r="S169" t="s">
        <v>558</v>
      </c>
    </row>
    <row r="170" spans="1:19" x14ac:dyDescent="0.2">
      <c r="A170" t="e">
        <v>#REF!</v>
      </c>
      <c r="B170">
        <v>202</v>
      </c>
      <c r="C170" t="e">
        <v>#REF!</v>
      </c>
      <c r="D170">
        <v>300</v>
      </c>
      <c r="E170">
        <v>10005</v>
      </c>
      <c r="F170" t="s">
        <v>630</v>
      </c>
      <c r="G170" t="s">
        <v>631</v>
      </c>
      <c r="H170" t="s">
        <v>82</v>
      </c>
      <c r="I170" t="s">
        <v>632</v>
      </c>
      <c r="J170" t="s">
        <v>33</v>
      </c>
      <c r="K170">
        <v>1</v>
      </c>
      <c r="L170">
        <v>1</v>
      </c>
      <c r="N170">
        <v>999</v>
      </c>
      <c r="O170">
        <v>999</v>
      </c>
      <c r="Q170">
        <v>16</v>
      </c>
      <c r="R170" t="s">
        <v>557</v>
      </c>
      <c r="S170" t="s">
        <v>558</v>
      </c>
    </row>
    <row r="171" spans="1:19" x14ac:dyDescent="0.2">
      <c r="A171" t="e">
        <v>#REF!</v>
      </c>
      <c r="B171">
        <v>202</v>
      </c>
      <c r="C171" t="e">
        <v>#REF!</v>
      </c>
      <c r="D171">
        <v>300</v>
      </c>
      <c r="E171">
        <v>10006</v>
      </c>
      <c r="F171" t="s">
        <v>633</v>
      </c>
      <c r="G171" t="s">
        <v>634</v>
      </c>
      <c r="H171" t="s">
        <v>82</v>
      </c>
      <c r="I171" t="s">
        <v>635</v>
      </c>
      <c r="J171" t="s">
        <v>33</v>
      </c>
      <c r="K171">
        <v>1</v>
      </c>
      <c r="L171">
        <v>1</v>
      </c>
      <c r="N171">
        <v>999</v>
      </c>
      <c r="O171">
        <v>999</v>
      </c>
      <c r="Q171">
        <v>16</v>
      </c>
      <c r="R171" t="s">
        <v>557</v>
      </c>
      <c r="S171" t="s">
        <v>558</v>
      </c>
    </row>
    <row r="172" spans="1:19" x14ac:dyDescent="0.2">
      <c r="A172" t="e">
        <v>#REF!</v>
      </c>
      <c r="B172">
        <v>202</v>
      </c>
      <c r="C172" t="e">
        <v>#REF!</v>
      </c>
      <c r="D172">
        <v>300</v>
      </c>
      <c r="E172">
        <v>10007</v>
      </c>
      <c r="F172" t="s">
        <v>636</v>
      </c>
      <c r="G172" t="s">
        <v>637</v>
      </c>
      <c r="H172" t="s">
        <v>82</v>
      </c>
      <c r="J172" t="s">
        <v>33</v>
      </c>
      <c r="K172">
        <v>1</v>
      </c>
      <c r="L172">
        <v>1</v>
      </c>
      <c r="N172">
        <v>999</v>
      </c>
      <c r="R172" t="s">
        <v>557</v>
      </c>
    </row>
    <row r="173" spans="1:19" x14ac:dyDescent="0.2">
      <c r="A173" t="e">
        <v>#REF!</v>
      </c>
      <c r="B173">
        <v>900</v>
      </c>
      <c r="C173" t="e">
        <v>#REF!</v>
      </c>
      <c r="D173">
        <v>300</v>
      </c>
      <c r="E173">
        <v>10001</v>
      </c>
      <c r="F173" t="s">
        <v>638</v>
      </c>
      <c r="G173" t="s">
        <v>639</v>
      </c>
      <c r="H173" t="s">
        <v>82</v>
      </c>
      <c r="I173" t="s">
        <v>640</v>
      </c>
      <c r="J173" t="s">
        <v>50</v>
      </c>
      <c r="K173">
        <v>1</v>
      </c>
      <c r="L173">
        <v>1</v>
      </c>
      <c r="N173">
        <v>999</v>
      </c>
      <c r="O173">
        <v>999</v>
      </c>
      <c r="Q173" t="s">
        <v>641</v>
      </c>
    </row>
    <row r="174" spans="1:19" x14ac:dyDescent="0.2">
      <c r="A174" t="e">
        <v>#REF!</v>
      </c>
      <c r="B174">
        <v>900</v>
      </c>
      <c r="C174" t="e">
        <v>#REF!</v>
      </c>
      <c r="D174">
        <v>300</v>
      </c>
      <c r="E174">
        <v>10002</v>
      </c>
      <c r="F174" t="s">
        <v>642</v>
      </c>
      <c r="G174" t="s">
        <v>643</v>
      </c>
      <c r="H174" t="s">
        <v>82</v>
      </c>
      <c r="I174" t="s">
        <v>644</v>
      </c>
      <c r="J174" t="s">
        <v>50</v>
      </c>
      <c r="K174">
        <v>1</v>
      </c>
      <c r="L174">
        <v>1</v>
      </c>
      <c r="N174">
        <v>999</v>
      </c>
      <c r="O174">
        <v>999</v>
      </c>
      <c r="Q174">
        <v>16</v>
      </c>
      <c r="R174" t="s">
        <v>557</v>
      </c>
      <c r="S174" t="s">
        <v>558</v>
      </c>
    </row>
    <row r="175" spans="1:19" x14ac:dyDescent="0.2">
      <c r="A175" t="e">
        <v>#REF!</v>
      </c>
      <c r="B175">
        <v>900</v>
      </c>
      <c r="C175" t="e">
        <v>#REF!</v>
      </c>
      <c r="D175">
        <v>300</v>
      </c>
      <c r="E175">
        <v>10003</v>
      </c>
      <c r="F175" t="s">
        <v>645</v>
      </c>
      <c r="G175" t="s">
        <v>646</v>
      </c>
      <c r="H175" t="s">
        <v>82</v>
      </c>
      <c r="I175" t="s">
        <v>647</v>
      </c>
      <c r="J175" t="s">
        <v>50</v>
      </c>
      <c r="K175">
        <v>1</v>
      </c>
      <c r="L175">
        <v>1</v>
      </c>
      <c r="N175">
        <v>999</v>
      </c>
      <c r="O175">
        <v>999</v>
      </c>
      <c r="Q175">
        <v>48</v>
      </c>
      <c r="R175" t="s">
        <v>557</v>
      </c>
      <c r="S175" t="s">
        <v>558</v>
      </c>
    </row>
    <row r="176" spans="1:19" x14ac:dyDescent="0.2">
      <c r="A176" t="e">
        <v>#REF!</v>
      </c>
      <c r="B176">
        <v>900</v>
      </c>
      <c r="C176" t="e">
        <v>#REF!</v>
      </c>
      <c r="D176">
        <v>300</v>
      </c>
      <c r="E176">
        <v>10004</v>
      </c>
      <c r="F176" t="s">
        <v>648</v>
      </c>
      <c r="G176" t="s">
        <v>649</v>
      </c>
      <c r="H176" t="s">
        <v>82</v>
      </c>
      <c r="I176" t="s">
        <v>650</v>
      </c>
      <c r="J176" t="s">
        <v>50</v>
      </c>
      <c r="K176">
        <v>1</v>
      </c>
      <c r="L176">
        <v>1</v>
      </c>
      <c r="N176">
        <v>999</v>
      </c>
      <c r="O176">
        <v>999</v>
      </c>
      <c r="Q176">
        <v>16</v>
      </c>
      <c r="R176" t="s">
        <v>557</v>
      </c>
      <c r="S176" t="s">
        <v>558</v>
      </c>
    </row>
    <row r="177" spans="1:19" x14ac:dyDescent="0.2">
      <c r="A177" t="e">
        <v>#REF!</v>
      </c>
      <c r="B177">
        <v>900</v>
      </c>
      <c r="C177" t="e">
        <v>#REF!</v>
      </c>
      <c r="D177">
        <v>300</v>
      </c>
      <c r="E177">
        <v>10005</v>
      </c>
      <c r="F177" t="s">
        <v>651</v>
      </c>
      <c r="G177" t="s">
        <v>652</v>
      </c>
      <c r="H177" t="s">
        <v>82</v>
      </c>
      <c r="I177" t="s">
        <v>653</v>
      </c>
      <c r="J177" t="s">
        <v>50</v>
      </c>
      <c r="K177">
        <v>1</v>
      </c>
      <c r="L177">
        <v>1</v>
      </c>
      <c r="N177">
        <v>999</v>
      </c>
      <c r="O177">
        <v>999</v>
      </c>
      <c r="Q177">
        <v>48</v>
      </c>
      <c r="R177" t="s">
        <v>557</v>
      </c>
      <c r="S177" t="s">
        <v>558</v>
      </c>
    </row>
    <row r="178" spans="1:19" x14ac:dyDescent="0.2">
      <c r="A178" t="e">
        <v>#REF!</v>
      </c>
      <c r="B178">
        <v>900</v>
      </c>
      <c r="C178" t="e">
        <v>#REF!</v>
      </c>
      <c r="D178">
        <v>300</v>
      </c>
      <c r="E178">
        <v>10006</v>
      </c>
      <c r="F178" t="s">
        <v>654</v>
      </c>
      <c r="G178" t="s">
        <v>655</v>
      </c>
      <c r="I178" t="s">
        <v>656</v>
      </c>
      <c r="J178" t="s">
        <v>50</v>
      </c>
      <c r="K178">
        <v>1</v>
      </c>
      <c r="L178">
        <v>1</v>
      </c>
      <c r="N178">
        <v>999</v>
      </c>
      <c r="O178">
        <v>999</v>
      </c>
      <c r="Q178">
        <v>16</v>
      </c>
      <c r="R178" t="s">
        <v>557</v>
      </c>
      <c r="S178" t="s">
        <v>558</v>
      </c>
    </row>
    <row r="179" spans="1:19" x14ac:dyDescent="0.2">
      <c r="A179" t="e">
        <v>#REF!</v>
      </c>
      <c r="B179">
        <v>900</v>
      </c>
      <c r="C179" t="e">
        <v>#REF!</v>
      </c>
      <c r="D179">
        <v>300</v>
      </c>
      <c r="E179">
        <v>10007</v>
      </c>
      <c r="F179">
        <v>1688</v>
      </c>
      <c r="G179" t="s">
        <v>657</v>
      </c>
      <c r="I179" t="s">
        <v>658</v>
      </c>
      <c r="J179" t="s">
        <v>50</v>
      </c>
      <c r="K179">
        <v>1</v>
      </c>
      <c r="L179">
        <v>1</v>
      </c>
      <c r="N179">
        <v>999</v>
      </c>
      <c r="O179">
        <v>999</v>
      </c>
      <c r="Q179">
        <v>16</v>
      </c>
      <c r="R179" t="s">
        <v>557</v>
      </c>
      <c r="S179" t="s">
        <v>558</v>
      </c>
    </row>
    <row r="180" spans="1:19" x14ac:dyDescent="0.2">
      <c r="A180" t="e">
        <v>#REF!</v>
      </c>
      <c r="B180">
        <v>900</v>
      </c>
      <c r="C180" t="e">
        <v>#REF!</v>
      </c>
      <c r="D180">
        <v>300</v>
      </c>
      <c r="E180">
        <v>10008</v>
      </c>
      <c r="F180" t="s">
        <v>659</v>
      </c>
      <c r="G180" t="s">
        <v>660</v>
      </c>
      <c r="I180" t="s">
        <v>661</v>
      </c>
      <c r="J180" t="s">
        <v>50</v>
      </c>
      <c r="K180">
        <v>1</v>
      </c>
      <c r="L180">
        <v>1</v>
      </c>
      <c r="N180">
        <v>999</v>
      </c>
      <c r="O180">
        <v>999</v>
      </c>
      <c r="Q180">
        <v>16</v>
      </c>
      <c r="R180" t="s">
        <v>557</v>
      </c>
      <c r="S180" t="s">
        <v>558</v>
      </c>
    </row>
    <row r="181" spans="1:19" x14ac:dyDescent="0.2">
      <c r="A181" t="e">
        <v>#REF!</v>
      </c>
      <c r="B181">
        <v>900</v>
      </c>
      <c r="C181" t="e">
        <v>#REF!</v>
      </c>
      <c r="D181">
        <v>300</v>
      </c>
      <c r="E181">
        <v>10009</v>
      </c>
      <c r="F181" t="s">
        <v>662</v>
      </c>
      <c r="G181" t="s">
        <v>663</v>
      </c>
      <c r="I181" t="s">
        <v>664</v>
      </c>
      <c r="J181" t="s">
        <v>50</v>
      </c>
      <c r="K181">
        <v>1</v>
      </c>
      <c r="L181">
        <v>1</v>
      </c>
      <c r="N181">
        <v>999</v>
      </c>
      <c r="O181">
        <v>999</v>
      </c>
      <c r="Q181">
        <v>16</v>
      </c>
      <c r="R181" t="s">
        <v>557</v>
      </c>
      <c r="S181" t="s">
        <v>558</v>
      </c>
    </row>
    <row r="182" spans="1:19" x14ac:dyDescent="0.2">
      <c r="A182" t="e">
        <v>#REF!</v>
      </c>
      <c r="B182">
        <v>900</v>
      </c>
      <c r="C182" t="e">
        <v>#REF!</v>
      </c>
      <c r="D182">
        <v>300</v>
      </c>
      <c r="E182">
        <v>10010</v>
      </c>
      <c r="F182" t="s">
        <v>665</v>
      </c>
      <c r="G182" t="s">
        <v>666</v>
      </c>
      <c r="I182" t="s">
        <v>667</v>
      </c>
      <c r="J182" t="s">
        <v>50</v>
      </c>
      <c r="K182">
        <v>1</v>
      </c>
      <c r="L182">
        <v>1</v>
      </c>
      <c r="N182">
        <v>999</v>
      </c>
      <c r="O182">
        <v>999</v>
      </c>
      <c r="Q182">
        <v>16</v>
      </c>
      <c r="R182" t="s">
        <v>557</v>
      </c>
      <c r="S182" t="s">
        <v>558</v>
      </c>
    </row>
    <row r="183" spans="1:19" x14ac:dyDescent="0.2">
      <c r="A183" t="e">
        <v>#REF!</v>
      </c>
      <c r="B183">
        <v>900</v>
      </c>
      <c r="C183" t="e">
        <v>#REF!</v>
      </c>
      <c r="D183">
        <v>300</v>
      </c>
      <c r="E183">
        <v>10011</v>
      </c>
      <c r="F183" t="s">
        <v>668</v>
      </c>
      <c r="G183" t="s">
        <v>669</v>
      </c>
      <c r="I183" t="s">
        <v>670</v>
      </c>
      <c r="J183" t="s">
        <v>50</v>
      </c>
      <c r="K183">
        <v>1</v>
      </c>
      <c r="L183">
        <v>1</v>
      </c>
      <c r="N183">
        <v>999</v>
      </c>
      <c r="O183">
        <v>999</v>
      </c>
      <c r="Q183">
        <v>48</v>
      </c>
      <c r="R183" t="s">
        <v>557</v>
      </c>
      <c r="S183" t="s">
        <v>558</v>
      </c>
    </row>
    <row r="184" spans="1:19" x14ac:dyDescent="0.2">
      <c r="A184" t="e">
        <v>#REF!</v>
      </c>
      <c r="B184">
        <v>301</v>
      </c>
      <c r="C184" t="e">
        <v>#REF!</v>
      </c>
      <c r="D184">
        <v>300</v>
      </c>
      <c r="E184">
        <v>10001</v>
      </c>
      <c r="F184" t="s">
        <v>671</v>
      </c>
      <c r="G184" t="s">
        <v>672</v>
      </c>
      <c r="H184" t="s">
        <v>82</v>
      </c>
      <c r="I184" t="s">
        <v>673</v>
      </c>
      <c r="J184" t="s">
        <v>39</v>
      </c>
      <c r="K184">
        <v>1</v>
      </c>
      <c r="L184">
        <v>1</v>
      </c>
      <c r="N184">
        <v>999</v>
      </c>
      <c r="O184">
        <v>999</v>
      </c>
    </row>
    <row r="185" spans="1:19" x14ac:dyDescent="0.2">
      <c r="A185" t="e">
        <v>#REF!</v>
      </c>
      <c r="B185">
        <v>301</v>
      </c>
      <c r="C185" t="e">
        <v>#REF!</v>
      </c>
      <c r="D185">
        <v>300</v>
      </c>
      <c r="E185">
        <v>10002</v>
      </c>
      <c r="F185" t="s">
        <v>161</v>
      </c>
      <c r="G185" t="s">
        <v>162</v>
      </c>
      <c r="H185" t="s">
        <v>82</v>
      </c>
      <c r="I185" t="s">
        <v>163</v>
      </c>
      <c r="J185" t="s">
        <v>39</v>
      </c>
      <c r="K185" t="s">
        <v>674</v>
      </c>
      <c r="L185">
        <v>1</v>
      </c>
      <c r="N185">
        <v>999</v>
      </c>
      <c r="Q185">
        <v>16</v>
      </c>
      <c r="R185" t="s">
        <v>557</v>
      </c>
    </row>
    <row r="186" spans="1:19" x14ac:dyDescent="0.2">
      <c r="A186" t="e">
        <v>#REF!</v>
      </c>
      <c r="B186">
        <v>301</v>
      </c>
      <c r="C186" t="e">
        <v>#REF!</v>
      </c>
      <c r="D186">
        <v>300</v>
      </c>
      <c r="E186">
        <v>10003</v>
      </c>
      <c r="F186" t="s">
        <v>675</v>
      </c>
      <c r="G186" t="s">
        <v>676</v>
      </c>
      <c r="H186" t="s">
        <v>82</v>
      </c>
      <c r="I186" t="s">
        <v>677</v>
      </c>
      <c r="J186" t="s">
        <v>39</v>
      </c>
      <c r="K186" t="s">
        <v>678</v>
      </c>
      <c r="L186">
        <v>1</v>
      </c>
      <c r="N186">
        <v>999</v>
      </c>
      <c r="Q186">
        <v>64</v>
      </c>
      <c r="R186" t="s">
        <v>557</v>
      </c>
    </row>
    <row r="187" spans="1:19" x14ac:dyDescent="0.2">
      <c r="A187" t="e">
        <v>#REF!</v>
      </c>
      <c r="B187">
        <v>301</v>
      </c>
      <c r="C187" t="e">
        <v>#REF!</v>
      </c>
      <c r="D187">
        <v>300</v>
      </c>
      <c r="E187">
        <v>10004</v>
      </c>
      <c r="F187" t="s">
        <v>679</v>
      </c>
      <c r="G187" t="s">
        <v>680</v>
      </c>
      <c r="H187" t="s">
        <v>82</v>
      </c>
      <c r="J187" t="s">
        <v>39</v>
      </c>
      <c r="K187" t="s">
        <v>678</v>
      </c>
      <c r="L187">
        <v>1</v>
      </c>
      <c r="N187">
        <v>999</v>
      </c>
      <c r="R187" t="s">
        <v>557</v>
      </c>
    </row>
    <row r="188" spans="1:19" x14ac:dyDescent="0.2">
      <c r="A188" t="e">
        <v>#REF!</v>
      </c>
      <c r="B188">
        <v>301</v>
      </c>
      <c r="C188" t="e">
        <v>#REF!</v>
      </c>
      <c r="D188">
        <v>300</v>
      </c>
      <c r="E188">
        <v>10005</v>
      </c>
      <c r="F188" t="s">
        <v>681</v>
      </c>
      <c r="G188" t="s">
        <v>682</v>
      </c>
      <c r="H188" t="s">
        <v>82</v>
      </c>
      <c r="J188" t="s">
        <v>39</v>
      </c>
      <c r="K188" t="s">
        <v>678</v>
      </c>
      <c r="L188">
        <v>1</v>
      </c>
      <c r="N188">
        <v>999</v>
      </c>
      <c r="R188" t="s">
        <v>557</v>
      </c>
    </row>
    <row r="189" spans="1:19" x14ac:dyDescent="0.2">
      <c r="A189" t="e">
        <v>#REF!</v>
      </c>
      <c r="B189">
        <v>301</v>
      </c>
      <c r="C189" t="e">
        <v>#REF!</v>
      </c>
      <c r="D189">
        <v>300</v>
      </c>
      <c r="E189">
        <v>10006</v>
      </c>
      <c r="F189" t="s">
        <v>683</v>
      </c>
      <c r="G189" t="s">
        <v>684</v>
      </c>
      <c r="H189" t="s">
        <v>82</v>
      </c>
      <c r="I189" t="s">
        <v>685</v>
      </c>
      <c r="J189" t="s">
        <v>39</v>
      </c>
      <c r="K189" t="s">
        <v>686</v>
      </c>
      <c r="L189">
        <v>1</v>
      </c>
      <c r="N189">
        <v>999</v>
      </c>
      <c r="O189">
        <v>999</v>
      </c>
      <c r="Q189">
        <v>16</v>
      </c>
      <c r="R189" t="s">
        <v>557</v>
      </c>
    </row>
    <row r="190" spans="1:19" x14ac:dyDescent="0.2">
      <c r="A190" t="e">
        <v>#REF!</v>
      </c>
      <c r="B190">
        <v>301</v>
      </c>
      <c r="C190" t="e">
        <v>#REF!</v>
      </c>
      <c r="D190">
        <v>300</v>
      </c>
      <c r="E190">
        <v>10007</v>
      </c>
      <c r="F190" t="s">
        <v>687</v>
      </c>
      <c r="G190" t="s">
        <v>688</v>
      </c>
      <c r="H190" t="s">
        <v>82</v>
      </c>
      <c r="I190" t="s">
        <v>689</v>
      </c>
      <c r="J190" t="s">
        <v>39</v>
      </c>
      <c r="K190" t="s">
        <v>686</v>
      </c>
      <c r="L190">
        <v>1</v>
      </c>
      <c r="N190">
        <v>999</v>
      </c>
      <c r="R190" t="s">
        <v>557</v>
      </c>
    </row>
    <row r="191" spans="1:19" x14ac:dyDescent="0.2">
      <c r="A191" t="e">
        <v>#REF!</v>
      </c>
      <c r="B191">
        <v>301</v>
      </c>
      <c r="C191" t="e">
        <v>#REF!</v>
      </c>
      <c r="D191">
        <v>300</v>
      </c>
      <c r="E191">
        <v>10008</v>
      </c>
      <c r="F191" t="s">
        <v>690</v>
      </c>
      <c r="G191" t="s">
        <v>691</v>
      </c>
      <c r="H191" t="s">
        <v>82</v>
      </c>
      <c r="I191" t="s">
        <v>692</v>
      </c>
      <c r="J191" t="s">
        <v>39</v>
      </c>
      <c r="K191" t="s">
        <v>686</v>
      </c>
      <c r="L191">
        <v>1</v>
      </c>
      <c r="N191">
        <v>999</v>
      </c>
      <c r="Q191">
        <v>16</v>
      </c>
      <c r="R191" t="s">
        <v>557</v>
      </c>
    </row>
    <row r="192" spans="1:19" x14ac:dyDescent="0.2">
      <c r="A192" t="e">
        <v>#REF!</v>
      </c>
      <c r="B192">
        <v>301</v>
      </c>
      <c r="C192" t="e">
        <v>#REF!</v>
      </c>
      <c r="D192">
        <v>300</v>
      </c>
      <c r="E192">
        <v>10009</v>
      </c>
      <c r="F192" t="s">
        <v>693</v>
      </c>
      <c r="G192" t="s">
        <v>694</v>
      </c>
      <c r="H192" t="s">
        <v>82</v>
      </c>
      <c r="I192" t="s">
        <v>695</v>
      </c>
      <c r="J192" t="s">
        <v>39</v>
      </c>
      <c r="K192" t="s">
        <v>686</v>
      </c>
      <c r="L192">
        <v>1</v>
      </c>
      <c r="N192">
        <v>999</v>
      </c>
      <c r="Q192">
        <v>16</v>
      </c>
      <c r="R192" t="s">
        <v>557</v>
      </c>
    </row>
    <row r="193" spans="1:18" x14ac:dyDescent="0.2">
      <c r="A193" t="e">
        <v>#REF!</v>
      </c>
      <c r="B193">
        <v>301</v>
      </c>
      <c r="C193" t="e">
        <v>#REF!</v>
      </c>
      <c r="D193">
        <v>300</v>
      </c>
      <c r="E193">
        <v>10010</v>
      </c>
      <c r="F193" t="s">
        <v>696</v>
      </c>
      <c r="G193" t="s">
        <v>697</v>
      </c>
      <c r="H193" t="s">
        <v>82</v>
      </c>
      <c r="I193" t="s">
        <v>698</v>
      </c>
      <c r="J193" t="s">
        <v>39</v>
      </c>
      <c r="K193" t="s">
        <v>686</v>
      </c>
      <c r="L193">
        <v>1</v>
      </c>
      <c r="N193">
        <v>999</v>
      </c>
      <c r="O193">
        <v>999</v>
      </c>
      <c r="Q193">
        <v>16</v>
      </c>
      <c r="R193" t="s">
        <v>557</v>
      </c>
    </row>
    <row r="194" spans="1:18" x14ac:dyDescent="0.2">
      <c r="A194" t="e">
        <v>#REF!</v>
      </c>
      <c r="B194">
        <v>301</v>
      </c>
      <c r="C194" t="e">
        <v>#REF!</v>
      </c>
      <c r="D194">
        <v>300</v>
      </c>
      <c r="E194">
        <v>10011</v>
      </c>
      <c r="F194" t="s">
        <v>699</v>
      </c>
      <c r="G194" t="s">
        <v>700</v>
      </c>
      <c r="H194" t="s">
        <v>82</v>
      </c>
      <c r="I194" t="s">
        <v>701</v>
      </c>
      <c r="J194" t="s">
        <v>39</v>
      </c>
      <c r="K194" t="s">
        <v>702</v>
      </c>
      <c r="L194">
        <v>1</v>
      </c>
      <c r="N194">
        <v>999</v>
      </c>
      <c r="R194" t="s">
        <v>557</v>
      </c>
    </row>
    <row r="195" spans="1:18" x14ac:dyDescent="0.2">
      <c r="A195" t="e">
        <v>#REF!</v>
      </c>
      <c r="B195">
        <v>301</v>
      </c>
      <c r="C195" t="e">
        <v>#REF!</v>
      </c>
      <c r="D195">
        <v>300</v>
      </c>
      <c r="E195">
        <v>10012</v>
      </c>
      <c r="F195" t="s">
        <v>671</v>
      </c>
      <c r="G195" t="s">
        <v>672</v>
      </c>
      <c r="H195" t="s">
        <v>82</v>
      </c>
      <c r="I195" t="s">
        <v>673</v>
      </c>
      <c r="J195" t="s">
        <v>39</v>
      </c>
      <c r="K195" t="s">
        <v>703</v>
      </c>
      <c r="L195">
        <v>1</v>
      </c>
      <c r="N195">
        <v>999</v>
      </c>
      <c r="O195">
        <v>999</v>
      </c>
      <c r="Q195">
        <v>48</v>
      </c>
      <c r="R195" t="s">
        <v>557</v>
      </c>
    </row>
    <row r="196" spans="1:18" x14ac:dyDescent="0.2">
      <c r="A196" t="e">
        <v>#REF!</v>
      </c>
      <c r="B196">
        <v>301</v>
      </c>
      <c r="C196" t="e">
        <v>#REF!</v>
      </c>
      <c r="D196">
        <v>300</v>
      </c>
      <c r="E196">
        <v>10013</v>
      </c>
      <c r="F196" t="s">
        <v>704</v>
      </c>
      <c r="G196" t="s">
        <v>705</v>
      </c>
      <c r="H196" t="s">
        <v>82</v>
      </c>
      <c r="I196" t="s">
        <v>706</v>
      </c>
      <c r="J196" t="s">
        <v>39</v>
      </c>
      <c r="K196" t="s">
        <v>703</v>
      </c>
      <c r="L196">
        <v>1</v>
      </c>
      <c r="N196">
        <v>999</v>
      </c>
      <c r="O196">
        <v>999</v>
      </c>
      <c r="Q196">
        <v>16</v>
      </c>
      <c r="R196" t="s">
        <v>557</v>
      </c>
    </row>
    <row r="197" spans="1:18" x14ac:dyDescent="0.2">
      <c r="A197" t="e">
        <v>#REF!</v>
      </c>
      <c r="B197">
        <v>301</v>
      </c>
      <c r="C197" t="e">
        <v>#REF!</v>
      </c>
      <c r="D197">
        <v>300</v>
      </c>
      <c r="E197">
        <v>10014</v>
      </c>
      <c r="F197" t="s">
        <v>707</v>
      </c>
      <c r="G197" t="s">
        <v>708</v>
      </c>
      <c r="H197" t="s">
        <v>82</v>
      </c>
      <c r="I197" t="s">
        <v>709</v>
      </c>
      <c r="J197" t="s">
        <v>39</v>
      </c>
      <c r="K197" t="s">
        <v>703</v>
      </c>
      <c r="L197">
        <v>1</v>
      </c>
      <c r="N197">
        <v>999</v>
      </c>
      <c r="O197">
        <v>999</v>
      </c>
      <c r="Q197">
        <v>16</v>
      </c>
      <c r="R197" t="s">
        <v>557</v>
      </c>
    </row>
    <row r="198" spans="1:18" x14ac:dyDescent="0.2">
      <c r="A198" t="e">
        <v>#REF!</v>
      </c>
      <c r="B198">
        <v>301</v>
      </c>
      <c r="C198" t="e">
        <v>#REF!</v>
      </c>
      <c r="D198">
        <v>300</v>
      </c>
      <c r="E198">
        <v>10015</v>
      </c>
      <c r="F198" t="s">
        <v>710</v>
      </c>
      <c r="G198" t="s">
        <v>711</v>
      </c>
      <c r="H198" t="s">
        <v>82</v>
      </c>
      <c r="I198" t="s">
        <v>712</v>
      </c>
      <c r="J198" t="s">
        <v>39</v>
      </c>
      <c r="K198" t="s">
        <v>703</v>
      </c>
      <c r="L198">
        <v>1</v>
      </c>
      <c r="N198">
        <v>999</v>
      </c>
      <c r="O198">
        <v>999</v>
      </c>
      <c r="Q198">
        <v>16</v>
      </c>
      <c r="R198" t="s">
        <v>557</v>
      </c>
    </row>
    <row r="199" spans="1:18" x14ac:dyDescent="0.2">
      <c r="A199" t="e">
        <v>#REF!</v>
      </c>
      <c r="B199">
        <v>301</v>
      </c>
      <c r="C199" t="e">
        <v>#REF!</v>
      </c>
      <c r="D199">
        <v>300</v>
      </c>
      <c r="E199">
        <v>10016</v>
      </c>
      <c r="F199" t="s">
        <v>713</v>
      </c>
      <c r="G199" t="s">
        <v>714</v>
      </c>
      <c r="H199" t="s">
        <v>82</v>
      </c>
      <c r="I199" t="s">
        <v>715</v>
      </c>
      <c r="J199" t="s">
        <v>39</v>
      </c>
      <c r="K199" t="s">
        <v>703</v>
      </c>
      <c r="L199">
        <v>1</v>
      </c>
      <c r="N199">
        <v>999</v>
      </c>
      <c r="O199">
        <v>999</v>
      </c>
      <c r="Q199">
        <v>48</v>
      </c>
      <c r="R199" t="s">
        <v>557</v>
      </c>
    </row>
    <row r="200" spans="1:18" x14ac:dyDescent="0.2">
      <c r="A200" t="e">
        <v>#REF!</v>
      </c>
      <c r="B200">
        <v>301</v>
      </c>
      <c r="C200" t="e">
        <v>#REF!</v>
      </c>
      <c r="D200">
        <v>300</v>
      </c>
      <c r="E200">
        <v>10017</v>
      </c>
      <c r="F200" t="s">
        <v>716</v>
      </c>
      <c r="G200" t="s">
        <v>717</v>
      </c>
      <c r="H200" t="s">
        <v>82</v>
      </c>
      <c r="I200" t="s">
        <v>718</v>
      </c>
      <c r="J200" t="s">
        <v>39</v>
      </c>
      <c r="K200" t="s">
        <v>703</v>
      </c>
      <c r="L200">
        <v>1</v>
      </c>
      <c r="N200">
        <v>999</v>
      </c>
      <c r="Q200">
        <v>16</v>
      </c>
      <c r="R200" t="s">
        <v>557</v>
      </c>
    </row>
    <row r="201" spans="1:18" x14ac:dyDescent="0.2">
      <c r="A201" t="e">
        <v>#REF!</v>
      </c>
      <c r="B201">
        <v>301</v>
      </c>
      <c r="C201" t="e">
        <v>#REF!</v>
      </c>
      <c r="D201">
        <v>300</v>
      </c>
      <c r="E201">
        <v>10018</v>
      </c>
      <c r="F201" t="s">
        <v>719</v>
      </c>
      <c r="G201" t="s">
        <v>720</v>
      </c>
      <c r="H201" t="s">
        <v>82</v>
      </c>
      <c r="I201" t="s">
        <v>721</v>
      </c>
      <c r="J201" t="s">
        <v>39</v>
      </c>
      <c r="K201" t="s">
        <v>703</v>
      </c>
      <c r="L201">
        <v>1</v>
      </c>
      <c r="N201">
        <v>999</v>
      </c>
      <c r="O201">
        <v>999</v>
      </c>
      <c r="Q201">
        <v>16</v>
      </c>
      <c r="R201" t="s">
        <v>557</v>
      </c>
    </row>
    <row r="202" spans="1:18" x14ac:dyDescent="0.2">
      <c r="A202" t="e">
        <v>#REF!</v>
      </c>
      <c r="B202">
        <v>301</v>
      </c>
      <c r="C202" t="e">
        <v>#REF!</v>
      </c>
      <c r="D202">
        <v>300</v>
      </c>
      <c r="E202">
        <v>10019</v>
      </c>
      <c r="F202" t="s">
        <v>722</v>
      </c>
      <c r="G202" t="s">
        <v>723</v>
      </c>
      <c r="H202" t="s">
        <v>82</v>
      </c>
      <c r="I202" t="s">
        <v>724</v>
      </c>
      <c r="J202" t="s">
        <v>39</v>
      </c>
      <c r="K202" t="s">
        <v>703</v>
      </c>
      <c r="L202">
        <v>1</v>
      </c>
      <c r="N202">
        <v>999</v>
      </c>
      <c r="R202" t="s">
        <v>557</v>
      </c>
    </row>
    <row r="203" spans="1:18" x14ac:dyDescent="0.2">
      <c r="A203" t="e">
        <v>#REF!</v>
      </c>
      <c r="B203">
        <v>301</v>
      </c>
      <c r="C203" t="e">
        <v>#REF!</v>
      </c>
      <c r="D203">
        <v>300</v>
      </c>
      <c r="E203">
        <v>10020</v>
      </c>
      <c r="F203" t="s">
        <v>725</v>
      </c>
      <c r="G203" t="s">
        <v>726</v>
      </c>
      <c r="H203" t="s">
        <v>82</v>
      </c>
      <c r="I203" t="s">
        <v>727</v>
      </c>
      <c r="J203" t="s">
        <v>39</v>
      </c>
      <c r="K203" t="s">
        <v>703</v>
      </c>
      <c r="L203">
        <v>1</v>
      </c>
      <c r="N203">
        <v>999</v>
      </c>
      <c r="R203" t="s">
        <v>557</v>
      </c>
    </row>
    <row r="204" spans="1:18" x14ac:dyDescent="0.2">
      <c r="A204" t="e">
        <v>#REF!</v>
      </c>
      <c r="B204">
        <v>301</v>
      </c>
      <c r="C204" t="e">
        <v>#REF!</v>
      </c>
      <c r="D204">
        <v>300</v>
      </c>
      <c r="E204">
        <v>10021</v>
      </c>
      <c r="F204" t="s">
        <v>728</v>
      </c>
      <c r="G204" t="s">
        <v>729</v>
      </c>
      <c r="H204" t="s">
        <v>82</v>
      </c>
      <c r="I204" t="s">
        <v>730</v>
      </c>
      <c r="J204" t="s">
        <v>39</v>
      </c>
      <c r="K204" t="s">
        <v>703</v>
      </c>
      <c r="L204">
        <v>1</v>
      </c>
      <c r="N204">
        <v>999</v>
      </c>
      <c r="Q204">
        <v>48</v>
      </c>
      <c r="R204" t="s">
        <v>557</v>
      </c>
    </row>
    <row r="205" spans="1:18" x14ac:dyDescent="0.2">
      <c r="A205" t="e">
        <v>#REF!</v>
      </c>
      <c r="B205">
        <v>301</v>
      </c>
      <c r="C205" t="e">
        <v>#REF!</v>
      </c>
      <c r="D205">
        <v>300</v>
      </c>
      <c r="E205">
        <v>10022</v>
      </c>
      <c r="F205" t="s">
        <v>731</v>
      </c>
      <c r="G205" t="s">
        <v>732</v>
      </c>
      <c r="H205" t="s">
        <v>82</v>
      </c>
      <c r="I205" t="s">
        <v>733</v>
      </c>
      <c r="J205" t="s">
        <v>39</v>
      </c>
      <c r="K205" t="s">
        <v>703</v>
      </c>
      <c r="L205">
        <v>1</v>
      </c>
      <c r="N205">
        <v>999</v>
      </c>
      <c r="R205" t="s">
        <v>557</v>
      </c>
    </row>
    <row r="206" spans="1:18" x14ac:dyDescent="0.2">
      <c r="A206" t="e">
        <v>#REF!</v>
      </c>
      <c r="B206">
        <v>301</v>
      </c>
      <c r="C206" t="e">
        <v>#REF!</v>
      </c>
      <c r="D206">
        <v>300</v>
      </c>
      <c r="E206">
        <v>10023</v>
      </c>
      <c r="F206" t="s">
        <v>734</v>
      </c>
      <c r="G206" t="s">
        <v>735</v>
      </c>
      <c r="H206" t="s">
        <v>82</v>
      </c>
      <c r="I206" t="s">
        <v>736</v>
      </c>
      <c r="J206" t="s">
        <v>39</v>
      </c>
      <c r="K206" t="s">
        <v>703</v>
      </c>
      <c r="L206">
        <v>1</v>
      </c>
      <c r="N206">
        <v>999</v>
      </c>
      <c r="Q206">
        <v>32</v>
      </c>
      <c r="R206" t="s">
        <v>557</v>
      </c>
    </row>
    <row r="207" spans="1:18" x14ac:dyDescent="0.2">
      <c r="A207" t="e">
        <v>#REF!</v>
      </c>
      <c r="B207">
        <v>301</v>
      </c>
      <c r="C207" t="e">
        <v>#REF!</v>
      </c>
      <c r="D207">
        <v>300</v>
      </c>
      <c r="E207">
        <v>10024</v>
      </c>
      <c r="F207" t="s">
        <v>737</v>
      </c>
      <c r="G207" t="s">
        <v>738</v>
      </c>
      <c r="H207" t="s">
        <v>82</v>
      </c>
      <c r="I207" t="s">
        <v>739</v>
      </c>
      <c r="J207" t="s">
        <v>39</v>
      </c>
      <c r="K207" t="s">
        <v>703</v>
      </c>
      <c r="L207">
        <v>1</v>
      </c>
      <c r="N207">
        <v>999</v>
      </c>
      <c r="Q207">
        <v>126</v>
      </c>
      <c r="R207" t="s">
        <v>557</v>
      </c>
    </row>
    <row r="208" spans="1:18" x14ac:dyDescent="0.2">
      <c r="A208" t="e">
        <v>#REF!</v>
      </c>
      <c r="B208">
        <v>301</v>
      </c>
      <c r="C208" t="e">
        <v>#REF!</v>
      </c>
      <c r="D208">
        <v>300</v>
      </c>
      <c r="E208">
        <v>10025</v>
      </c>
      <c r="F208" t="s">
        <v>740</v>
      </c>
      <c r="G208" t="s">
        <v>741</v>
      </c>
      <c r="H208" t="s">
        <v>82</v>
      </c>
      <c r="I208" t="s">
        <v>742</v>
      </c>
      <c r="J208" t="s">
        <v>39</v>
      </c>
      <c r="K208" t="s">
        <v>703</v>
      </c>
      <c r="L208">
        <v>1</v>
      </c>
      <c r="N208">
        <v>999</v>
      </c>
      <c r="O208">
        <v>999</v>
      </c>
      <c r="Q208">
        <v>16</v>
      </c>
      <c r="R208" t="s">
        <v>557</v>
      </c>
    </row>
    <row r="209" spans="1:18" x14ac:dyDescent="0.2">
      <c r="A209" t="e">
        <v>#REF!</v>
      </c>
      <c r="B209">
        <v>301</v>
      </c>
      <c r="C209" t="e">
        <v>#REF!</v>
      </c>
      <c r="D209">
        <v>300</v>
      </c>
      <c r="E209">
        <v>10026</v>
      </c>
      <c r="F209" t="s">
        <v>743</v>
      </c>
      <c r="G209" t="s">
        <v>744</v>
      </c>
      <c r="H209" t="s">
        <v>82</v>
      </c>
      <c r="I209" t="s">
        <v>745</v>
      </c>
      <c r="J209" t="s">
        <v>39</v>
      </c>
      <c r="K209" t="s">
        <v>703</v>
      </c>
      <c r="L209">
        <v>1</v>
      </c>
      <c r="N209">
        <v>999</v>
      </c>
      <c r="Q209">
        <v>32</v>
      </c>
      <c r="R209" t="s">
        <v>557</v>
      </c>
    </row>
    <row r="210" spans="1:18" x14ac:dyDescent="0.2">
      <c r="A210" t="e">
        <v>#REF!</v>
      </c>
      <c r="B210">
        <v>301</v>
      </c>
      <c r="C210" t="e">
        <v>#REF!</v>
      </c>
      <c r="D210">
        <v>300</v>
      </c>
      <c r="E210">
        <v>10027</v>
      </c>
      <c r="F210" t="s">
        <v>746</v>
      </c>
      <c r="G210" t="s">
        <v>747</v>
      </c>
      <c r="H210" t="s">
        <v>82</v>
      </c>
      <c r="I210" t="s">
        <v>748</v>
      </c>
      <c r="J210" t="s">
        <v>39</v>
      </c>
      <c r="K210" t="s">
        <v>703</v>
      </c>
      <c r="L210">
        <v>1</v>
      </c>
      <c r="N210">
        <v>999</v>
      </c>
      <c r="O210">
        <v>999</v>
      </c>
      <c r="Q210">
        <v>16</v>
      </c>
      <c r="R210" t="s">
        <v>557</v>
      </c>
    </row>
    <row r="211" spans="1:18" x14ac:dyDescent="0.2">
      <c r="A211" t="e">
        <v>#REF!</v>
      </c>
      <c r="B211">
        <v>301</v>
      </c>
      <c r="C211" t="e">
        <v>#REF!</v>
      </c>
      <c r="D211">
        <v>300</v>
      </c>
      <c r="E211">
        <v>10028</v>
      </c>
      <c r="F211" t="s">
        <v>749</v>
      </c>
      <c r="G211" t="s">
        <v>750</v>
      </c>
      <c r="H211" t="s">
        <v>82</v>
      </c>
      <c r="I211" t="s">
        <v>751</v>
      </c>
      <c r="J211" t="s">
        <v>39</v>
      </c>
      <c r="K211" t="s">
        <v>703</v>
      </c>
      <c r="L211">
        <v>1</v>
      </c>
      <c r="N211">
        <v>999</v>
      </c>
      <c r="R211" t="s">
        <v>557</v>
      </c>
    </row>
    <row r="212" spans="1:18" x14ac:dyDescent="0.2">
      <c r="A212" t="e">
        <v>#REF!</v>
      </c>
      <c r="B212">
        <v>301</v>
      </c>
      <c r="C212" t="e">
        <v>#REF!</v>
      </c>
      <c r="D212">
        <v>300</v>
      </c>
      <c r="E212">
        <v>10029</v>
      </c>
      <c r="F212" t="s">
        <v>752</v>
      </c>
      <c r="G212" t="s">
        <v>753</v>
      </c>
      <c r="H212" t="s">
        <v>82</v>
      </c>
      <c r="I212" t="s">
        <v>754</v>
      </c>
      <c r="J212" t="s">
        <v>39</v>
      </c>
      <c r="K212" t="s">
        <v>703</v>
      </c>
      <c r="L212">
        <v>1</v>
      </c>
      <c r="N212">
        <v>999</v>
      </c>
      <c r="Q212">
        <v>31</v>
      </c>
      <c r="R212" t="s">
        <v>557</v>
      </c>
    </row>
    <row r="213" spans="1:18" x14ac:dyDescent="0.2">
      <c r="A213" t="e">
        <v>#REF!</v>
      </c>
      <c r="B213">
        <v>301</v>
      </c>
      <c r="C213" t="e">
        <v>#REF!</v>
      </c>
      <c r="D213">
        <v>300</v>
      </c>
      <c r="E213">
        <v>10030</v>
      </c>
      <c r="F213" t="s">
        <v>755</v>
      </c>
      <c r="G213" t="s">
        <v>756</v>
      </c>
      <c r="H213" t="s">
        <v>82</v>
      </c>
      <c r="I213" t="s">
        <v>757</v>
      </c>
      <c r="J213" t="s">
        <v>39</v>
      </c>
      <c r="K213" t="s">
        <v>703</v>
      </c>
      <c r="L213">
        <v>1</v>
      </c>
      <c r="N213">
        <v>999</v>
      </c>
      <c r="Q213">
        <v>16</v>
      </c>
      <c r="R213" t="s">
        <v>557</v>
      </c>
    </row>
    <row r="214" spans="1:18" x14ac:dyDescent="0.2">
      <c r="A214" t="e">
        <v>#REF!</v>
      </c>
      <c r="B214">
        <v>301</v>
      </c>
      <c r="C214" t="e">
        <v>#REF!</v>
      </c>
      <c r="D214">
        <v>300</v>
      </c>
      <c r="E214">
        <v>10031</v>
      </c>
      <c r="F214" t="s">
        <v>758</v>
      </c>
      <c r="G214" t="s">
        <v>759</v>
      </c>
      <c r="H214" t="s">
        <v>82</v>
      </c>
      <c r="I214" t="s">
        <v>760</v>
      </c>
      <c r="J214" t="s">
        <v>39</v>
      </c>
      <c r="K214" t="s">
        <v>703</v>
      </c>
      <c r="L214">
        <v>1</v>
      </c>
      <c r="N214">
        <v>999</v>
      </c>
      <c r="R214" t="s">
        <v>557</v>
      </c>
    </row>
    <row r="215" spans="1:18" x14ac:dyDescent="0.2">
      <c r="A215" t="e">
        <v>#REF!</v>
      </c>
      <c r="B215">
        <v>301</v>
      </c>
      <c r="C215" t="e">
        <v>#REF!</v>
      </c>
      <c r="D215">
        <v>300</v>
      </c>
      <c r="E215">
        <v>10032</v>
      </c>
      <c r="F215" t="s">
        <v>761</v>
      </c>
      <c r="G215" t="s">
        <v>762</v>
      </c>
      <c r="H215" t="s">
        <v>82</v>
      </c>
      <c r="I215" t="s">
        <v>763</v>
      </c>
      <c r="J215" t="s">
        <v>39</v>
      </c>
      <c r="K215" t="s">
        <v>703</v>
      </c>
      <c r="L215">
        <v>1</v>
      </c>
      <c r="N215">
        <v>999</v>
      </c>
      <c r="O215">
        <v>999</v>
      </c>
      <c r="R215" t="s">
        <v>557</v>
      </c>
    </row>
    <row r="216" spans="1:18" x14ac:dyDescent="0.2">
      <c r="A216" t="e">
        <v>#REF!</v>
      </c>
      <c r="B216">
        <v>301</v>
      </c>
      <c r="C216" t="e">
        <v>#REF!</v>
      </c>
      <c r="D216">
        <v>300</v>
      </c>
      <c r="E216">
        <v>10033</v>
      </c>
      <c r="F216" t="s">
        <v>764</v>
      </c>
      <c r="G216" t="s">
        <v>765</v>
      </c>
      <c r="H216" t="s">
        <v>82</v>
      </c>
      <c r="I216" t="s">
        <v>766</v>
      </c>
      <c r="J216" t="s">
        <v>39</v>
      </c>
      <c r="K216" t="s">
        <v>703</v>
      </c>
      <c r="L216">
        <v>1</v>
      </c>
      <c r="N216">
        <v>999</v>
      </c>
      <c r="R216" t="s">
        <v>557</v>
      </c>
    </row>
    <row r="217" spans="1:18" x14ac:dyDescent="0.2">
      <c r="A217" t="e">
        <v>#REF!</v>
      </c>
      <c r="B217">
        <v>301</v>
      </c>
      <c r="C217" t="e">
        <v>#REF!</v>
      </c>
      <c r="D217">
        <v>300</v>
      </c>
      <c r="E217">
        <v>10034</v>
      </c>
      <c r="F217" t="s">
        <v>767</v>
      </c>
      <c r="G217" t="s">
        <v>768</v>
      </c>
      <c r="H217" t="s">
        <v>82</v>
      </c>
      <c r="I217" t="s">
        <v>769</v>
      </c>
      <c r="J217" t="s">
        <v>39</v>
      </c>
      <c r="K217" t="s">
        <v>703</v>
      </c>
      <c r="L217">
        <v>1</v>
      </c>
      <c r="N217">
        <v>999</v>
      </c>
      <c r="R217" t="s">
        <v>557</v>
      </c>
    </row>
    <row r="218" spans="1:18" x14ac:dyDescent="0.2">
      <c r="A218" t="e">
        <v>#REF!</v>
      </c>
      <c r="B218">
        <v>301</v>
      </c>
      <c r="C218" t="e">
        <v>#REF!</v>
      </c>
      <c r="D218">
        <v>300</v>
      </c>
      <c r="E218">
        <v>10035</v>
      </c>
      <c r="F218" t="s">
        <v>770</v>
      </c>
      <c r="G218" t="s">
        <v>771</v>
      </c>
      <c r="H218" t="s">
        <v>82</v>
      </c>
      <c r="I218" t="s">
        <v>772</v>
      </c>
      <c r="J218" t="s">
        <v>39</v>
      </c>
      <c r="K218" t="s">
        <v>703</v>
      </c>
      <c r="L218">
        <v>1</v>
      </c>
      <c r="N218">
        <v>999</v>
      </c>
      <c r="Q218">
        <v>64</v>
      </c>
      <c r="R218" t="s">
        <v>557</v>
      </c>
    </row>
    <row r="219" spans="1:18" x14ac:dyDescent="0.2">
      <c r="A219" t="e">
        <v>#REF!</v>
      </c>
      <c r="B219">
        <v>301</v>
      </c>
      <c r="C219" t="e">
        <v>#REF!</v>
      </c>
      <c r="D219">
        <v>300</v>
      </c>
      <c r="E219">
        <v>10036</v>
      </c>
      <c r="F219" t="s">
        <v>773</v>
      </c>
      <c r="G219" t="s">
        <v>774</v>
      </c>
      <c r="H219" t="s">
        <v>82</v>
      </c>
      <c r="I219" t="s">
        <v>775</v>
      </c>
      <c r="J219" t="s">
        <v>39</v>
      </c>
      <c r="K219" t="s">
        <v>703</v>
      </c>
      <c r="L219">
        <v>1</v>
      </c>
      <c r="N219">
        <v>999</v>
      </c>
      <c r="R219" t="s">
        <v>557</v>
      </c>
    </row>
    <row r="220" spans="1:18" x14ac:dyDescent="0.2">
      <c r="A220" t="e">
        <v>#REF!</v>
      </c>
      <c r="B220">
        <v>301</v>
      </c>
      <c r="C220" t="e">
        <v>#REF!</v>
      </c>
      <c r="D220">
        <v>300</v>
      </c>
      <c r="E220">
        <v>10037</v>
      </c>
      <c r="F220" t="s">
        <v>776</v>
      </c>
      <c r="G220" t="s">
        <v>777</v>
      </c>
      <c r="H220" t="s">
        <v>82</v>
      </c>
      <c r="I220" t="s">
        <v>778</v>
      </c>
      <c r="J220" t="s">
        <v>39</v>
      </c>
      <c r="K220" t="s">
        <v>703</v>
      </c>
      <c r="L220">
        <v>1</v>
      </c>
      <c r="N220">
        <v>999</v>
      </c>
      <c r="Q220">
        <v>32</v>
      </c>
      <c r="R220" t="s">
        <v>557</v>
      </c>
    </row>
    <row r="221" spans="1:18" x14ac:dyDescent="0.2">
      <c r="A221" t="e">
        <v>#REF!</v>
      </c>
      <c r="B221">
        <v>301</v>
      </c>
      <c r="C221" t="e">
        <v>#REF!</v>
      </c>
      <c r="D221">
        <v>300</v>
      </c>
      <c r="E221">
        <v>10038</v>
      </c>
      <c r="F221" t="s">
        <v>779</v>
      </c>
      <c r="G221" t="s">
        <v>780</v>
      </c>
      <c r="H221" t="s">
        <v>82</v>
      </c>
      <c r="I221" t="s">
        <v>781</v>
      </c>
      <c r="J221" t="s">
        <v>39</v>
      </c>
      <c r="K221" t="s">
        <v>703</v>
      </c>
      <c r="L221">
        <v>1</v>
      </c>
      <c r="N221">
        <v>999</v>
      </c>
      <c r="O221">
        <v>999</v>
      </c>
      <c r="Q221">
        <v>32</v>
      </c>
      <c r="R221" t="s">
        <v>557</v>
      </c>
    </row>
    <row r="222" spans="1:18" x14ac:dyDescent="0.2">
      <c r="A222" t="e">
        <v>#REF!</v>
      </c>
      <c r="B222">
        <v>301</v>
      </c>
      <c r="C222" t="e">
        <v>#REF!</v>
      </c>
      <c r="D222">
        <v>300</v>
      </c>
      <c r="E222">
        <v>10039</v>
      </c>
      <c r="F222" t="s">
        <v>782</v>
      </c>
      <c r="G222" t="s">
        <v>783</v>
      </c>
      <c r="H222" t="s">
        <v>82</v>
      </c>
      <c r="I222" t="s">
        <v>784</v>
      </c>
      <c r="J222" t="s">
        <v>39</v>
      </c>
      <c r="K222" t="s">
        <v>703</v>
      </c>
      <c r="L222">
        <v>1</v>
      </c>
      <c r="N222">
        <v>999</v>
      </c>
      <c r="R222" t="s">
        <v>557</v>
      </c>
    </row>
    <row r="223" spans="1:18" x14ac:dyDescent="0.2">
      <c r="A223" t="e">
        <v>#REF!</v>
      </c>
      <c r="B223">
        <v>301</v>
      </c>
      <c r="C223" t="e">
        <v>#REF!</v>
      </c>
      <c r="D223">
        <v>300</v>
      </c>
      <c r="E223">
        <v>10040</v>
      </c>
      <c r="F223" t="s">
        <v>785</v>
      </c>
      <c r="G223" t="s">
        <v>786</v>
      </c>
      <c r="H223" t="s">
        <v>82</v>
      </c>
      <c r="I223" t="s">
        <v>787</v>
      </c>
      <c r="J223" t="s">
        <v>39</v>
      </c>
      <c r="K223" t="s">
        <v>703</v>
      </c>
      <c r="L223">
        <v>1</v>
      </c>
      <c r="N223">
        <v>999</v>
      </c>
      <c r="R223" t="s">
        <v>557</v>
      </c>
    </row>
    <row r="224" spans="1:18" x14ac:dyDescent="0.2">
      <c r="A224" t="e">
        <v>#REF!</v>
      </c>
      <c r="B224">
        <v>301</v>
      </c>
      <c r="C224" t="e">
        <v>#REF!</v>
      </c>
      <c r="D224">
        <v>300</v>
      </c>
      <c r="E224">
        <v>10041</v>
      </c>
      <c r="F224" t="s">
        <v>788</v>
      </c>
      <c r="G224" t="s">
        <v>789</v>
      </c>
      <c r="H224" t="s">
        <v>82</v>
      </c>
      <c r="I224" t="s">
        <v>790</v>
      </c>
      <c r="J224" t="s">
        <v>39</v>
      </c>
      <c r="K224" t="s">
        <v>703</v>
      </c>
      <c r="L224">
        <v>1</v>
      </c>
      <c r="N224">
        <v>999</v>
      </c>
      <c r="Q224">
        <v>48</v>
      </c>
      <c r="R224" t="s">
        <v>557</v>
      </c>
    </row>
    <row r="225" spans="1:18" x14ac:dyDescent="0.2">
      <c r="A225" t="e">
        <v>#REF!</v>
      </c>
      <c r="B225">
        <v>301</v>
      </c>
      <c r="C225" t="e">
        <v>#REF!</v>
      </c>
      <c r="D225">
        <v>300</v>
      </c>
      <c r="E225">
        <v>10042</v>
      </c>
      <c r="F225" t="s">
        <v>791</v>
      </c>
      <c r="G225" t="s">
        <v>792</v>
      </c>
      <c r="H225" t="s">
        <v>82</v>
      </c>
      <c r="I225" t="s">
        <v>793</v>
      </c>
      <c r="J225" t="s">
        <v>39</v>
      </c>
      <c r="K225" t="s">
        <v>703</v>
      </c>
      <c r="L225">
        <v>1</v>
      </c>
      <c r="N225">
        <v>999</v>
      </c>
      <c r="R225" t="s">
        <v>557</v>
      </c>
    </row>
    <row r="226" spans="1:18" x14ac:dyDescent="0.2">
      <c r="A226" t="e">
        <v>#REF!</v>
      </c>
      <c r="B226">
        <v>301</v>
      </c>
      <c r="C226" t="e">
        <v>#REF!</v>
      </c>
      <c r="D226">
        <v>300</v>
      </c>
      <c r="E226">
        <v>10043</v>
      </c>
      <c r="F226" t="s">
        <v>794</v>
      </c>
      <c r="G226" t="s">
        <v>795</v>
      </c>
      <c r="H226" t="s">
        <v>82</v>
      </c>
      <c r="I226" t="s">
        <v>796</v>
      </c>
      <c r="J226" t="s">
        <v>39</v>
      </c>
      <c r="K226" t="s">
        <v>703</v>
      </c>
      <c r="L226">
        <v>1</v>
      </c>
      <c r="N226">
        <v>999</v>
      </c>
      <c r="Q226">
        <v>16</v>
      </c>
      <c r="R226" t="s">
        <v>557</v>
      </c>
    </row>
    <row r="227" spans="1:18" x14ac:dyDescent="0.2">
      <c r="A227" t="e">
        <v>#REF!</v>
      </c>
      <c r="B227">
        <v>302</v>
      </c>
      <c r="C227" t="e">
        <v>#REF!</v>
      </c>
      <c r="D227">
        <v>300</v>
      </c>
      <c r="E227">
        <v>10001</v>
      </c>
      <c r="F227" t="s">
        <v>797</v>
      </c>
      <c r="G227" t="s">
        <v>798</v>
      </c>
      <c r="H227" t="s">
        <v>82</v>
      </c>
      <c r="I227" t="s">
        <v>799</v>
      </c>
      <c r="J227" t="s">
        <v>40</v>
      </c>
      <c r="K227">
        <v>1</v>
      </c>
      <c r="L227">
        <v>1</v>
      </c>
      <c r="N227">
        <v>999</v>
      </c>
      <c r="O227">
        <v>999</v>
      </c>
      <c r="Q227">
        <v>32</v>
      </c>
      <c r="R227" t="s">
        <v>557</v>
      </c>
    </row>
    <row r="228" spans="1:18" x14ac:dyDescent="0.2">
      <c r="A228" t="e">
        <v>#REF!</v>
      </c>
      <c r="B228">
        <v>302</v>
      </c>
      <c r="C228" t="e">
        <v>#REF!</v>
      </c>
      <c r="D228">
        <v>300</v>
      </c>
      <c r="E228">
        <v>10002</v>
      </c>
      <c r="F228" t="s">
        <v>800</v>
      </c>
      <c r="G228" t="s">
        <v>801</v>
      </c>
      <c r="H228" t="s">
        <v>82</v>
      </c>
      <c r="I228" t="s">
        <v>802</v>
      </c>
      <c r="J228" t="s">
        <v>40</v>
      </c>
      <c r="K228">
        <v>1</v>
      </c>
      <c r="L228">
        <v>1</v>
      </c>
      <c r="N228">
        <v>999</v>
      </c>
      <c r="R228" t="s">
        <v>557</v>
      </c>
    </row>
    <row r="229" spans="1:18" x14ac:dyDescent="0.2">
      <c r="A229" t="e">
        <v>#REF!</v>
      </c>
      <c r="B229">
        <v>302</v>
      </c>
      <c r="C229" t="e">
        <v>#REF!</v>
      </c>
      <c r="D229">
        <v>300</v>
      </c>
      <c r="E229">
        <v>10003</v>
      </c>
      <c r="F229" t="s">
        <v>803</v>
      </c>
      <c r="G229" t="s">
        <v>804</v>
      </c>
      <c r="H229" t="s">
        <v>82</v>
      </c>
      <c r="I229" t="s">
        <v>805</v>
      </c>
      <c r="J229" t="s">
        <v>40</v>
      </c>
      <c r="K229">
        <v>1</v>
      </c>
      <c r="L229">
        <v>1</v>
      </c>
      <c r="N229">
        <v>999</v>
      </c>
      <c r="O229">
        <v>999</v>
      </c>
      <c r="Q229">
        <v>16</v>
      </c>
      <c r="R229" t="s">
        <v>557</v>
      </c>
    </row>
    <row r="230" spans="1:18" x14ac:dyDescent="0.2">
      <c r="A230" t="e">
        <v>#REF!</v>
      </c>
      <c r="B230">
        <v>302</v>
      </c>
      <c r="C230" t="e">
        <v>#REF!</v>
      </c>
      <c r="D230">
        <v>300</v>
      </c>
      <c r="E230">
        <v>10004</v>
      </c>
      <c r="F230" t="s">
        <v>806</v>
      </c>
      <c r="G230" t="s">
        <v>807</v>
      </c>
      <c r="H230" t="s">
        <v>82</v>
      </c>
      <c r="I230" t="s">
        <v>808</v>
      </c>
      <c r="J230" t="s">
        <v>40</v>
      </c>
      <c r="K230">
        <v>1</v>
      </c>
      <c r="L230">
        <v>1</v>
      </c>
      <c r="N230">
        <v>999</v>
      </c>
      <c r="O230">
        <v>999</v>
      </c>
      <c r="R230" t="s">
        <v>557</v>
      </c>
    </row>
    <row r="231" spans="1:18" x14ac:dyDescent="0.2">
      <c r="A231" t="e">
        <v>#REF!</v>
      </c>
      <c r="B231">
        <v>302</v>
      </c>
      <c r="C231" t="e">
        <v>#REF!</v>
      </c>
      <c r="D231">
        <v>300</v>
      </c>
      <c r="E231">
        <v>10005</v>
      </c>
      <c r="F231" t="s">
        <v>809</v>
      </c>
      <c r="G231" t="s">
        <v>810</v>
      </c>
      <c r="H231" t="s">
        <v>82</v>
      </c>
      <c r="I231" t="s">
        <v>811</v>
      </c>
      <c r="J231" t="s">
        <v>40</v>
      </c>
      <c r="K231">
        <v>1</v>
      </c>
      <c r="L231">
        <v>1</v>
      </c>
      <c r="N231">
        <v>999</v>
      </c>
      <c r="O231">
        <v>999</v>
      </c>
      <c r="Q231">
        <v>16</v>
      </c>
      <c r="R231" t="s">
        <v>557</v>
      </c>
    </row>
    <row r="232" spans="1:18" x14ac:dyDescent="0.2">
      <c r="A232" t="e">
        <v>#REF!</v>
      </c>
      <c r="B232">
        <v>302</v>
      </c>
      <c r="C232" t="e">
        <v>#REF!</v>
      </c>
      <c r="D232">
        <v>300</v>
      </c>
      <c r="E232">
        <v>10006</v>
      </c>
      <c r="F232" t="s">
        <v>812</v>
      </c>
      <c r="G232" t="s">
        <v>813</v>
      </c>
      <c r="H232" t="s">
        <v>82</v>
      </c>
      <c r="I232" t="s">
        <v>814</v>
      </c>
      <c r="J232" t="s">
        <v>40</v>
      </c>
      <c r="K232">
        <v>1</v>
      </c>
      <c r="L232">
        <v>1</v>
      </c>
      <c r="N232">
        <v>999</v>
      </c>
      <c r="O232">
        <v>999</v>
      </c>
      <c r="Q232">
        <v>37</v>
      </c>
      <c r="R232" t="s">
        <v>557</v>
      </c>
    </row>
    <row r="233" spans="1:18" x14ac:dyDescent="0.2">
      <c r="A233" t="e">
        <v>#REF!</v>
      </c>
      <c r="B233">
        <v>302</v>
      </c>
      <c r="C233" t="e">
        <v>#REF!</v>
      </c>
      <c r="D233">
        <v>300</v>
      </c>
      <c r="E233">
        <v>10007</v>
      </c>
      <c r="F233" t="s">
        <v>815</v>
      </c>
      <c r="G233" t="s">
        <v>816</v>
      </c>
      <c r="H233" t="s">
        <v>82</v>
      </c>
      <c r="I233" t="s">
        <v>817</v>
      </c>
      <c r="J233" t="s">
        <v>40</v>
      </c>
      <c r="K233">
        <v>1</v>
      </c>
      <c r="L233">
        <v>1</v>
      </c>
      <c r="N233">
        <v>999</v>
      </c>
      <c r="O233">
        <v>999</v>
      </c>
      <c r="Q233">
        <v>16</v>
      </c>
      <c r="R233" t="s">
        <v>557</v>
      </c>
    </row>
    <row r="234" spans="1:18" x14ac:dyDescent="0.2">
      <c r="A234" t="e">
        <v>#REF!</v>
      </c>
      <c r="B234">
        <v>303</v>
      </c>
      <c r="C234" t="e">
        <v>#REF!</v>
      </c>
      <c r="D234">
        <v>300</v>
      </c>
      <c r="E234">
        <v>10001</v>
      </c>
      <c r="F234" t="s">
        <v>818</v>
      </c>
      <c r="G234" t="s">
        <v>819</v>
      </c>
      <c r="H234" t="s">
        <v>82</v>
      </c>
      <c r="I234" t="s">
        <v>820</v>
      </c>
      <c r="J234" t="s">
        <v>41</v>
      </c>
      <c r="K234">
        <v>1</v>
      </c>
      <c r="L234">
        <v>1</v>
      </c>
      <c r="N234">
        <v>999</v>
      </c>
      <c r="O234">
        <v>999</v>
      </c>
      <c r="Q234">
        <v>64</v>
      </c>
      <c r="R234" t="s">
        <v>557</v>
      </c>
    </row>
    <row r="235" spans="1:18" x14ac:dyDescent="0.2">
      <c r="A235" t="e">
        <v>#REF!</v>
      </c>
      <c r="B235">
        <v>303</v>
      </c>
      <c r="C235" t="e">
        <v>#REF!</v>
      </c>
      <c r="D235">
        <v>300</v>
      </c>
      <c r="E235">
        <v>10002</v>
      </c>
      <c r="F235" t="s">
        <v>821</v>
      </c>
      <c r="G235" t="s">
        <v>822</v>
      </c>
      <c r="H235" t="s">
        <v>82</v>
      </c>
      <c r="I235" t="s">
        <v>823</v>
      </c>
      <c r="J235" t="s">
        <v>41</v>
      </c>
      <c r="K235">
        <v>1</v>
      </c>
      <c r="L235">
        <v>1</v>
      </c>
      <c r="N235">
        <v>999</v>
      </c>
      <c r="R235" t="s">
        <v>557</v>
      </c>
    </row>
    <row r="236" spans="1:18" x14ac:dyDescent="0.2">
      <c r="A236" t="e">
        <v>#REF!</v>
      </c>
      <c r="B236">
        <v>303</v>
      </c>
      <c r="C236" t="e">
        <v>#REF!</v>
      </c>
      <c r="D236">
        <v>300</v>
      </c>
      <c r="E236">
        <v>10003</v>
      </c>
      <c r="F236" t="s">
        <v>824</v>
      </c>
      <c r="G236" t="s">
        <v>825</v>
      </c>
      <c r="H236" t="s">
        <v>82</v>
      </c>
      <c r="I236" t="s">
        <v>826</v>
      </c>
      <c r="J236" t="s">
        <v>41</v>
      </c>
      <c r="K236">
        <v>1</v>
      </c>
      <c r="L236">
        <v>1</v>
      </c>
      <c r="N236">
        <v>999</v>
      </c>
      <c r="Q236">
        <v>32</v>
      </c>
      <c r="R236" t="s">
        <v>557</v>
      </c>
    </row>
    <row r="237" spans="1:18" x14ac:dyDescent="0.2">
      <c r="A237" t="e">
        <v>#REF!</v>
      </c>
      <c r="B237">
        <v>303</v>
      </c>
      <c r="C237" t="e">
        <v>#REF!</v>
      </c>
      <c r="D237">
        <v>300</v>
      </c>
      <c r="E237">
        <v>10004</v>
      </c>
      <c r="F237" t="s">
        <v>827</v>
      </c>
      <c r="G237" t="s">
        <v>828</v>
      </c>
      <c r="H237" t="s">
        <v>82</v>
      </c>
      <c r="I237" t="s">
        <v>829</v>
      </c>
      <c r="J237" t="s">
        <v>41</v>
      </c>
      <c r="K237">
        <v>1</v>
      </c>
      <c r="L237">
        <v>1</v>
      </c>
      <c r="N237">
        <v>999</v>
      </c>
      <c r="O237">
        <v>999</v>
      </c>
      <c r="R237" t="s">
        <v>557</v>
      </c>
    </row>
    <row r="238" spans="1:18" x14ac:dyDescent="0.2">
      <c r="A238" t="e">
        <v>#REF!</v>
      </c>
      <c r="B238">
        <v>303</v>
      </c>
      <c r="C238" t="e">
        <v>#REF!</v>
      </c>
      <c r="D238">
        <v>300</v>
      </c>
      <c r="E238">
        <v>10005</v>
      </c>
      <c r="F238" t="s">
        <v>830</v>
      </c>
      <c r="G238" t="s">
        <v>831</v>
      </c>
      <c r="H238" t="s">
        <v>82</v>
      </c>
      <c r="I238" t="s">
        <v>832</v>
      </c>
      <c r="J238" t="s">
        <v>41</v>
      </c>
      <c r="K238">
        <v>1</v>
      </c>
      <c r="L238">
        <v>1</v>
      </c>
      <c r="N238">
        <v>999</v>
      </c>
      <c r="O238">
        <v>999</v>
      </c>
      <c r="Q238">
        <v>16</v>
      </c>
      <c r="R238" t="s">
        <v>557</v>
      </c>
    </row>
    <row r="239" spans="1:18" x14ac:dyDescent="0.2">
      <c r="A239" t="e">
        <v>#REF!</v>
      </c>
      <c r="B239">
        <v>303</v>
      </c>
      <c r="C239" t="e">
        <v>#REF!</v>
      </c>
      <c r="D239">
        <v>300</v>
      </c>
      <c r="E239">
        <v>10006</v>
      </c>
      <c r="F239" t="s">
        <v>833</v>
      </c>
      <c r="G239" t="s">
        <v>834</v>
      </c>
      <c r="H239" t="s">
        <v>82</v>
      </c>
      <c r="I239" t="s">
        <v>835</v>
      </c>
      <c r="J239" t="s">
        <v>41</v>
      </c>
      <c r="K239">
        <v>1</v>
      </c>
      <c r="L239">
        <v>1</v>
      </c>
      <c r="N239">
        <v>999</v>
      </c>
      <c r="Q239">
        <v>16</v>
      </c>
      <c r="R239" t="s">
        <v>557</v>
      </c>
    </row>
    <row r="240" spans="1:18" x14ac:dyDescent="0.2">
      <c r="A240" t="e">
        <v>#REF!</v>
      </c>
      <c r="B240">
        <v>303</v>
      </c>
      <c r="C240" t="e">
        <v>#REF!</v>
      </c>
      <c r="D240">
        <v>300</v>
      </c>
      <c r="E240">
        <v>10007</v>
      </c>
      <c r="F240" t="s">
        <v>836</v>
      </c>
      <c r="G240" t="s">
        <v>837</v>
      </c>
      <c r="H240" t="s">
        <v>82</v>
      </c>
      <c r="I240" t="s">
        <v>838</v>
      </c>
      <c r="J240" t="s">
        <v>41</v>
      </c>
      <c r="K240">
        <v>1</v>
      </c>
      <c r="L240">
        <v>1</v>
      </c>
      <c r="N240">
        <v>999</v>
      </c>
      <c r="O240">
        <v>999</v>
      </c>
      <c r="Q240">
        <v>16</v>
      </c>
      <c r="R240" t="s">
        <v>557</v>
      </c>
    </row>
    <row r="241" spans="1:18" x14ac:dyDescent="0.2">
      <c r="A241" t="e">
        <v>#REF!</v>
      </c>
      <c r="B241">
        <v>303</v>
      </c>
      <c r="C241" t="e">
        <v>#REF!</v>
      </c>
      <c r="D241">
        <v>300</v>
      </c>
      <c r="E241">
        <v>10008</v>
      </c>
      <c r="F241" t="s">
        <v>839</v>
      </c>
      <c r="G241" t="s">
        <v>840</v>
      </c>
      <c r="H241" t="s">
        <v>82</v>
      </c>
      <c r="I241" t="s">
        <v>841</v>
      </c>
      <c r="J241" t="s">
        <v>41</v>
      </c>
      <c r="K241">
        <v>1</v>
      </c>
      <c r="L241">
        <v>1</v>
      </c>
      <c r="N241">
        <v>999</v>
      </c>
      <c r="O241">
        <v>999</v>
      </c>
      <c r="Q241">
        <v>16</v>
      </c>
      <c r="R241" t="s">
        <v>557</v>
      </c>
    </row>
    <row r="242" spans="1:18" x14ac:dyDescent="0.2">
      <c r="A242" t="e">
        <v>#REF!</v>
      </c>
      <c r="B242">
        <v>303</v>
      </c>
      <c r="C242" t="e">
        <v>#REF!</v>
      </c>
      <c r="D242">
        <v>300</v>
      </c>
      <c r="E242">
        <v>10009</v>
      </c>
      <c r="F242" t="s">
        <v>842</v>
      </c>
      <c r="G242" t="s">
        <v>843</v>
      </c>
      <c r="H242" t="s">
        <v>82</v>
      </c>
      <c r="I242" t="s">
        <v>844</v>
      </c>
      <c r="J242" t="s">
        <v>41</v>
      </c>
      <c r="K242">
        <v>1</v>
      </c>
      <c r="L242">
        <v>1</v>
      </c>
      <c r="N242">
        <v>999</v>
      </c>
      <c r="O242">
        <v>999</v>
      </c>
      <c r="Q242">
        <v>32</v>
      </c>
      <c r="R242" t="s">
        <v>557</v>
      </c>
    </row>
    <row r="243" spans="1:18" x14ac:dyDescent="0.2">
      <c r="A243" t="e">
        <v>#REF!</v>
      </c>
      <c r="B243">
        <v>303</v>
      </c>
      <c r="C243" t="e">
        <v>#REF!</v>
      </c>
      <c r="D243">
        <v>300</v>
      </c>
      <c r="E243">
        <v>10010</v>
      </c>
      <c r="F243" t="s">
        <v>845</v>
      </c>
      <c r="G243" t="s">
        <v>846</v>
      </c>
      <c r="H243" t="s">
        <v>82</v>
      </c>
      <c r="I243" t="s">
        <v>847</v>
      </c>
      <c r="J243" t="s">
        <v>41</v>
      </c>
      <c r="K243">
        <v>1</v>
      </c>
      <c r="L243">
        <v>1</v>
      </c>
      <c r="N243">
        <v>999</v>
      </c>
      <c r="Q243">
        <v>16</v>
      </c>
      <c r="R243" t="s">
        <v>557</v>
      </c>
    </row>
    <row r="244" spans="1:18" x14ac:dyDescent="0.2">
      <c r="A244" t="e">
        <v>#REF!</v>
      </c>
      <c r="B244">
        <v>303</v>
      </c>
      <c r="C244" t="e">
        <v>#REF!</v>
      </c>
      <c r="D244">
        <v>300</v>
      </c>
      <c r="E244">
        <v>10011</v>
      </c>
      <c r="F244" t="s">
        <v>848</v>
      </c>
      <c r="G244" t="s">
        <v>849</v>
      </c>
      <c r="H244" t="s">
        <v>82</v>
      </c>
      <c r="I244" t="s">
        <v>850</v>
      </c>
      <c r="J244" t="s">
        <v>41</v>
      </c>
      <c r="K244">
        <v>1</v>
      </c>
      <c r="L244">
        <v>1</v>
      </c>
      <c r="N244">
        <v>999</v>
      </c>
      <c r="O244">
        <v>999</v>
      </c>
      <c r="R244" t="s">
        <v>557</v>
      </c>
    </row>
    <row r="245" spans="1:18" x14ac:dyDescent="0.2">
      <c r="A245" t="e">
        <v>#REF!</v>
      </c>
      <c r="B245">
        <v>901</v>
      </c>
      <c r="C245" t="e">
        <v>#REF!</v>
      </c>
      <c r="D245">
        <v>300</v>
      </c>
      <c r="E245">
        <v>10001</v>
      </c>
      <c r="F245" t="s">
        <v>851</v>
      </c>
      <c r="G245" t="s">
        <v>852</v>
      </c>
      <c r="H245" t="s">
        <v>82</v>
      </c>
      <c r="I245" t="s">
        <v>853</v>
      </c>
      <c r="J245" t="s">
        <v>51</v>
      </c>
      <c r="K245">
        <v>1</v>
      </c>
      <c r="L245">
        <v>1</v>
      </c>
      <c r="N245">
        <v>999</v>
      </c>
      <c r="O245">
        <v>999</v>
      </c>
      <c r="Q245">
        <v>32</v>
      </c>
      <c r="R245" t="s">
        <v>557</v>
      </c>
    </row>
    <row r="246" spans="1:18" x14ac:dyDescent="0.2">
      <c r="A246" t="e">
        <v>#REF!</v>
      </c>
      <c r="B246">
        <v>901</v>
      </c>
      <c r="C246" t="e">
        <v>#REF!</v>
      </c>
      <c r="D246">
        <v>300</v>
      </c>
      <c r="E246">
        <v>10002</v>
      </c>
      <c r="F246" t="s">
        <v>854</v>
      </c>
      <c r="G246" t="s">
        <v>855</v>
      </c>
      <c r="H246" t="s">
        <v>82</v>
      </c>
      <c r="I246" t="s">
        <v>856</v>
      </c>
      <c r="J246" t="s">
        <v>51</v>
      </c>
      <c r="K246">
        <v>1</v>
      </c>
      <c r="L246">
        <v>1</v>
      </c>
      <c r="N246">
        <v>999</v>
      </c>
      <c r="O246">
        <v>999</v>
      </c>
      <c r="Q246">
        <v>32</v>
      </c>
      <c r="R246" t="s">
        <v>557</v>
      </c>
    </row>
    <row r="247" spans="1:18" x14ac:dyDescent="0.2">
      <c r="A247" t="e">
        <v>#REF!</v>
      </c>
      <c r="B247">
        <v>901</v>
      </c>
      <c r="C247" t="e">
        <v>#REF!</v>
      </c>
      <c r="D247">
        <v>300</v>
      </c>
      <c r="E247">
        <v>10003</v>
      </c>
      <c r="F247" t="s">
        <v>857</v>
      </c>
      <c r="G247" t="s">
        <v>858</v>
      </c>
      <c r="H247" t="s">
        <v>82</v>
      </c>
      <c r="I247" t="s">
        <v>859</v>
      </c>
      <c r="J247" t="s">
        <v>51</v>
      </c>
      <c r="K247">
        <v>1</v>
      </c>
      <c r="L247">
        <v>1</v>
      </c>
      <c r="N247">
        <v>999</v>
      </c>
      <c r="O247">
        <v>999</v>
      </c>
      <c r="Q247">
        <v>256</v>
      </c>
    </row>
    <row r="248" spans="1:18" x14ac:dyDescent="0.2">
      <c r="A248" t="e">
        <v>#REF!</v>
      </c>
      <c r="B248">
        <v>901</v>
      </c>
      <c r="C248" t="e">
        <v>#REF!</v>
      </c>
      <c r="D248">
        <v>300</v>
      </c>
      <c r="E248">
        <v>10004</v>
      </c>
      <c r="F248" t="s">
        <v>860</v>
      </c>
      <c r="G248" t="s">
        <v>861</v>
      </c>
      <c r="H248" t="s">
        <v>82</v>
      </c>
      <c r="I248" t="s">
        <v>862</v>
      </c>
      <c r="J248" t="s">
        <v>51</v>
      </c>
      <c r="K248">
        <v>1</v>
      </c>
      <c r="L248">
        <v>1</v>
      </c>
      <c r="N248">
        <v>999</v>
      </c>
      <c r="O248">
        <v>999</v>
      </c>
      <c r="Q248">
        <v>32</v>
      </c>
      <c r="R248" t="s">
        <v>557</v>
      </c>
    </row>
    <row r="249" spans="1:18" x14ac:dyDescent="0.2">
      <c r="A249" t="e">
        <v>#REF!</v>
      </c>
      <c r="B249">
        <v>901</v>
      </c>
      <c r="C249" t="e">
        <v>#REF!</v>
      </c>
      <c r="D249">
        <v>300</v>
      </c>
      <c r="E249">
        <v>10005</v>
      </c>
      <c r="F249" t="s">
        <v>863</v>
      </c>
      <c r="G249" t="s">
        <v>864</v>
      </c>
      <c r="H249" t="s">
        <v>82</v>
      </c>
      <c r="I249" t="s">
        <v>865</v>
      </c>
      <c r="J249" t="s">
        <v>51</v>
      </c>
      <c r="K249">
        <v>1</v>
      </c>
      <c r="L249">
        <v>1</v>
      </c>
      <c r="N249">
        <v>999</v>
      </c>
      <c r="O249">
        <v>999</v>
      </c>
      <c r="Q249">
        <v>32</v>
      </c>
    </row>
    <row r="250" spans="1:18" x14ac:dyDescent="0.2">
      <c r="A250" t="e">
        <v>#REF!</v>
      </c>
      <c r="B250">
        <v>901</v>
      </c>
      <c r="C250" t="e">
        <v>#REF!</v>
      </c>
      <c r="D250">
        <v>300</v>
      </c>
      <c r="E250">
        <v>10006</v>
      </c>
      <c r="F250" t="s">
        <v>866</v>
      </c>
      <c r="G250" t="s">
        <v>867</v>
      </c>
      <c r="H250" t="s">
        <v>82</v>
      </c>
      <c r="I250" t="s">
        <v>868</v>
      </c>
      <c r="J250" t="s">
        <v>51</v>
      </c>
      <c r="K250">
        <v>1</v>
      </c>
      <c r="L250">
        <v>1</v>
      </c>
      <c r="N250">
        <v>999</v>
      </c>
      <c r="O250">
        <v>999</v>
      </c>
      <c r="Q250">
        <v>16</v>
      </c>
      <c r="R250" t="s">
        <v>557</v>
      </c>
    </row>
    <row r="251" spans="1:18" x14ac:dyDescent="0.2">
      <c r="A251" t="e">
        <v>#REF!</v>
      </c>
      <c r="B251">
        <v>901</v>
      </c>
      <c r="C251" t="e">
        <v>#REF!</v>
      </c>
      <c r="D251">
        <v>300</v>
      </c>
      <c r="E251">
        <v>10007</v>
      </c>
      <c r="F251" t="s">
        <v>869</v>
      </c>
      <c r="G251" t="s">
        <v>870</v>
      </c>
      <c r="H251" t="s">
        <v>82</v>
      </c>
      <c r="J251" t="s">
        <v>51</v>
      </c>
      <c r="K251">
        <v>1</v>
      </c>
      <c r="L251">
        <v>1</v>
      </c>
      <c r="N251">
        <v>999</v>
      </c>
      <c r="R251" t="s">
        <v>557</v>
      </c>
    </row>
    <row r="252" spans="1:18" x14ac:dyDescent="0.2">
      <c r="A252" t="e">
        <v>#REF!</v>
      </c>
      <c r="B252">
        <v>901</v>
      </c>
      <c r="C252" t="e">
        <v>#REF!</v>
      </c>
      <c r="D252">
        <v>300</v>
      </c>
      <c r="E252">
        <v>10008</v>
      </c>
      <c r="F252" t="s">
        <v>871</v>
      </c>
      <c r="G252" t="s">
        <v>872</v>
      </c>
      <c r="H252" t="s">
        <v>82</v>
      </c>
      <c r="I252" t="s">
        <v>873</v>
      </c>
      <c r="J252" t="s">
        <v>51</v>
      </c>
      <c r="K252">
        <v>1</v>
      </c>
      <c r="L252">
        <v>1</v>
      </c>
      <c r="N252">
        <v>999</v>
      </c>
      <c r="R252" t="s">
        <v>557</v>
      </c>
    </row>
    <row r="253" spans="1:18" x14ac:dyDescent="0.2">
      <c r="A253" t="e">
        <v>#REF!</v>
      </c>
      <c r="B253">
        <v>901</v>
      </c>
      <c r="C253" t="e">
        <v>#REF!</v>
      </c>
      <c r="D253">
        <v>300</v>
      </c>
      <c r="E253">
        <v>10009</v>
      </c>
      <c r="F253" t="s">
        <v>874</v>
      </c>
      <c r="G253" t="s">
        <v>875</v>
      </c>
      <c r="H253" t="s">
        <v>82</v>
      </c>
      <c r="I253" t="s">
        <v>876</v>
      </c>
      <c r="J253" t="s">
        <v>51</v>
      </c>
      <c r="K253">
        <v>1</v>
      </c>
      <c r="L253">
        <v>1</v>
      </c>
      <c r="N253">
        <v>999</v>
      </c>
      <c r="R253" t="s">
        <v>557</v>
      </c>
    </row>
    <row r="254" spans="1:18" x14ac:dyDescent="0.2">
      <c r="A254" t="e">
        <v>#REF!</v>
      </c>
      <c r="B254">
        <v>902</v>
      </c>
      <c r="C254" t="e">
        <v>#REF!</v>
      </c>
      <c r="D254">
        <v>300</v>
      </c>
      <c r="E254">
        <v>10001</v>
      </c>
      <c r="F254" t="s">
        <v>877</v>
      </c>
      <c r="G254" t="s">
        <v>878</v>
      </c>
      <c r="H254" t="s">
        <v>82</v>
      </c>
      <c r="I254" t="s">
        <v>879</v>
      </c>
      <c r="J254" t="s">
        <v>52</v>
      </c>
      <c r="K254">
        <v>1</v>
      </c>
      <c r="L254">
        <v>1</v>
      </c>
      <c r="N254">
        <v>999</v>
      </c>
      <c r="O254">
        <v>999</v>
      </c>
      <c r="Q254">
        <v>32</v>
      </c>
      <c r="R254" t="s">
        <v>557</v>
      </c>
    </row>
    <row r="255" spans="1:18" x14ac:dyDescent="0.2">
      <c r="A255" t="e">
        <v>#REF!</v>
      </c>
      <c r="B255">
        <v>902</v>
      </c>
      <c r="C255" t="e">
        <v>#REF!</v>
      </c>
      <c r="D255">
        <v>300</v>
      </c>
      <c r="E255">
        <v>10002</v>
      </c>
      <c r="F255" t="s">
        <v>880</v>
      </c>
      <c r="G255" t="s">
        <v>881</v>
      </c>
      <c r="H255" t="s">
        <v>82</v>
      </c>
      <c r="I255" t="s">
        <v>882</v>
      </c>
      <c r="J255" t="s">
        <v>52</v>
      </c>
      <c r="K255" t="s">
        <v>883</v>
      </c>
      <c r="L255">
        <v>1</v>
      </c>
      <c r="N255">
        <v>999</v>
      </c>
      <c r="O255">
        <v>999</v>
      </c>
      <c r="Q255">
        <v>32</v>
      </c>
      <c r="R255" t="s">
        <v>557</v>
      </c>
    </row>
    <row r="256" spans="1:18" x14ac:dyDescent="0.2">
      <c r="A256" t="e">
        <v>#REF!</v>
      </c>
      <c r="B256">
        <v>902</v>
      </c>
      <c r="C256" t="e">
        <v>#REF!</v>
      </c>
      <c r="D256">
        <v>300</v>
      </c>
      <c r="E256">
        <v>10003</v>
      </c>
      <c r="F256" t="s">
        <v>884</v>
      </c>
      <c r="G256" t="s">
        <v>885</v>
      </c>
      <c r="H256" t="s">
        <v>886</v>
      </c>
      <c r="I256" t="s">
        <v>887</v>
      </c>
      <c r="J256" t="s">
        <v>52</v>
      </c>
      <c r="K256" t="s">
        <v>883</v>
      </c>
      <c r="L256">
        <v>1</v>
      </c>
      <c r="N256">
        <v>999</v>
      </c>
      <c r="O256">
        <v>999</v>
      </c>
      <c r="Q256">
        <v>32</v>
      </c>
    </row>
    <row r="257" spans="1:19" x14ac:dyDescent="0.2">
      <c r="A257" t="e">
        <v>#REF!</v>
      </c>
      <c r="B257">
        <v>902</v>
      </c>
      <c r="C257" t="e">
        <v>#REF!</v>
      </c>
      <c r="D257">
        <v>300</v>
      </c>
      <c r="E257">
        <v>10004</v>
      </c>
      <c r="F257" t="s">
        <v>888</v>
      </c>
      <c r="G257" t="s">
        <v>889</v>
      </c>
      <c r="H257" t="s">
        <v>82</v>
      </c>
      <c r="I257" t="s">
        <v>890</v>
      </c>
      <c r="J257" t="s">
        <v>52</v>
      </c>
      <c r="K257" t="s">
        <v>883</v>
      </c>
      <c r="L257">
        <v>1</v>
      </c>
      <c r="N257">
        <v>999</v>
      </c>
      <c r="O257">
        <v>999</v>
      </c>
      <c r="Q257">
        <v>16</v>
      </c>
      <c r="R257" t="s">
        <v>557</v>
      </c>
    </row>
    <row r="258" spans="1:19" x14ac:dyDescent="0.2">
      <c r="A258" t="e">
        <v>#REF!</v>
      </c>
      <c r="B258">
        <v>902</v>
      </c>
      <c r="C258" t="e">
        <v>#REF!</v>
      </c>
      <c r="D258">
        <v>300</v>
      </c>
      <c r="E258">
        <v>10005</v>
      </c>
      <c r="F258" t="s">
        <v>891</v>
      </c>
      <c r="G258" t="s">
        <v>892</v>
      </c>
      <c r="H258" t="s">
        <v>82</v>
      </c>
      <c r="I258" t="s">
        <v>893</v>
      </c>
      <c r="J258" t="s">
        <v>52</v>
      </c>
      <c r="K258" t="s">
        <v>883</v>
      </c>
      <c r="L258">
        <v>1</v>
      </c>
      <c r="N258">
        <v>999</v>
      </c>
      <c r="O258">
        <v>999</v>
      </c>
      <c r="Q258">
        <v>64</v>
      </c>
      <c r="R258" t="s">
        <v>557</v>
      </c>
    </row>
    <row r="259" spans="1:19" x14ac:dyDescent="0.2">
      <c r="A259" t="e">
        <v>#REF!</v>
      </c>
      <c r="B259">
        <v>902</v>
      </c>
      <c r="C259" t="e">
        <v>#REF!</v>
      </c>
      <c r="D259">
        <v>300</v>
      </c>
      <c r="E259">
        <v>10006</v>
      </c>
      <c r="F259" t="s">
        <v>894</v>
      </c>
      <c r="G259" t="s">
        <v>895</v>
      </c>
      <c r="H259" t="s">
        <v>82</v>
      </c>
      <c r="I259" t="s">
        <v>896</v>
      </c>
      <c r="J259" t="s">
        <v>52</v>
      </c>
      <c r="K259" t="s">
        <v>883</v>
      </c>
      <c r="L259">
        <v>1</v>
      </c>
      <c r="N259">
        <v>999</v>
      </c>
      <c r="O259">
        <v>999</v>
      </c>
      <c r="Q259">
        <v>16</v>
      </c>
      <c r="R259" t="s">
        <v>557</v>
      </c>
    </row>
    <row r="260" spans="1:19" x14ac:dyDescent="0.2">
      <c r="A260" t="e">
        <v>#REF!</v>
      </c>
      <c r="B260">
        <v>902</v>
      </c>
      <c r="C260" t="e">
        <v>#REF!</v>
      </c>
      <c r="D260">
        <v>300</v>
      </c>
      <c r="E260">
        <v>10007</v>
      </c>
      <c r="F260" t="s">
        <v>897</v>
      </c>
      <c r="G260" t="s">
        <v>898</v>
      </c>
      <c r="H260" t="s">
        <v>899</v>
      </c>
      <c r="I260" t="s">
        <v>900</v>
      </c>
      <c r="J260" t="s">
        <v>52</v>
      </c>
      <c r="K260" t="s">
        <v>901</v>
      </c>
      <c r="L260">
        <v>1</v>
      </c>
      <c r="N260">
        <v>999</v>
      </c>
      <c r="O260">
        <v>999</v>
      </c>
      <c r="Q260">
        <v>64</v>
      </c>
    </row>
    <row r="261" spans="1:19" x14ac:dyDescent="0.2">
      <c r="A261" t="e">
        <v>#REF!</v>
      </c>
      <c r="B261">
        <v>902</v>
      </c>
      <c r="C261" t="e">
        <v>#REF!</v>
      </c>
      <c r="D261">
        <v>300</v>
      </c>
      <c r="E261">
        <v>10008</v>
      </c>
      <c r="F261" t="s">
        <v>902</v>
      </c>
      <c r="G261" t="s">
        <v>903</v>
      </c>
      <c r="H261" t="s">
        <v>82</v>
      </c>
      <c r="I261" t="s">
        <v>904</v>
      </c>
      <c r="J261" t="s">
        <v>52</v>
      </c>
      <c r="K261" t="s">
        <v>905</v>
      </c>
      <c r="L261">
        <v>1</v>
      </c>
      <c r="N261">
        <v>999</v>
      </c>
      <c r="O261">
        <v>999</v>
      </c>
      <c r="Q261">
        <v>32</v>
      </c>
      <c r="R261" t="s">
        <v>557</v>
      </c>
    </row>
    <row r="262" spans="1:19" x14ac:dyDescent="0.2">
      <c r="A262" t="e">
        <v>#REF!</v>
      </c>
      <c r="B262">
        <v>902</v>
      </c>
      <c r="C262" t="e">
        <v>#REF!</v>
      </c>
      <c r="D262">
        <v>300</v>
      </c>
      <c r="E262">
        <v>10009</v>
      </c>
      <c r="F262" t="s">
        <v>906</v>
      </c>
      <c r="G262" t="s">
        <v>907</v>
      </c>
      <c r="H262" t="s">
        <v>82</v>
      </c>
      <c r="J262" t="s">
        <v>52</v>
      </c>
      <c r="K262" t="s">
        <v>908</v>
      </c>
      <c r="L262">
        <v>1</v>
      </c>
      <c r="N262">
        <v>999</v>
      </c>
      <c r="R262" t="s">
        <v>557</v>
      </c>
    </row>
    <row r="263" spans="1:19" x14ac:dyDescent="0.2">
      <c r="A263" t="e">
        <v>#REF!</v>
      </c>
      <c r="B263">
        <v>903</v>
      </c>
      <c r="C263" t="e">
        <v>#REF!</v>
      </c>
      <c r="D263">
        <v>300</v>
      </c>
      <c r="E263">
        <v>10001</v>
      </c>
      <c r="F263" t="s">
        <v>909</v>
      </c>
      <c r="G263" t="s">
        <v>910</v>
      </c>
      <c r="H263" t="s">
        <v>82</v>
      </c>
      <c r="I263" t="s">
        <v>911</v>
      </c>
      <c r="J263" t="s">
        <v>53</v>
      </c>
      <c r="K263">
        <v>1</v>
      </c>
      <c r="L263">
        <v>1</v>
      </c>
      <c r="N263">
        <v>999</v>
      </c>
      <c r="O263">
        <v>999</v>
      </c>
      <c r="Q263">
        <v>32</v>
      </c>
      <c r="R263" t="s">
        <v>557</v>
      </c>
      <c r="S263" t="s">
        <v>558</v>
      </c>
    </row>
    <row r="264" spans="1:19" x14ac:dyDescent="0.2">
      <c r="A264" t="e">
        <v>#REF!</v>
      </c>
      <c r="B264">
        <v>903</v>
      </c>
      <c r="C264" t="e">
        <v>#REF!</v>
      </c>
      <c r="D264">
        <v>300</v>
      </c>
      <c r="E264">
        <v>10002</v>
      </c>
      <c r="F264" t="s">
        <v>912</v>
      </c>
      <c r="G264" t="s">
        <v>913</v>
      </c>
      <c r="H264" t="s">
        <v>82</v>
      </c>
      <c r="I264" t="s">
        <v>914</v>
      </c>
      <c r="J264" t="s">
        <v>53</v>
      </c>
      <c r="K264">
        <v>1</v>
      </c>
      <c r="L264">
        <v>1</v>
      </c>
      <c r="N264">
        <v>999</v>
      </c>
      <c r="O264">
        <v>999</v>
      </c>
      <c r="Q264">
        <v>32</v>
      </c>
      <c r="R264" t="s">
        <v>557</v>
      </c>
      <c r="S264" t="s">
        <v>558</v>
      </c>
    </row>
    <row r="265" spans="1:19" x14ac:dyDescent="0.2">
      <c r="A265" t="e">
        <v>#REF!</v>
      </c>
      <c r="B265">
        <v>903</v>
      </c>
      <c r="C265" t="e">
        <v>#REF!</v>
      </c>
      <c r="D265">
        <v>300</v>
      </c>
      <c r="E265">
        <v>10003</v>
      </c>
      <c r="F265" t="s">
        <v>915</v>
      </c>
      <c r="G265" t="s">
        <v>916</v>
      </c>
      <c r="H265" t="s">
        <v>82</v>
      </c>
      <c r="I265" t="s">
        <v>917</v>
      </c>
      <c r="J265" t="s">
        <v>53</v>
      </c>
      <c r="K265">
        <v>1</v>
      </c>
      <c r="L265">
        <v>1</v>
      </c>
      <c r="N265">
        <v>999</v>
      </c>
      <c r="O265">
        <v>999</v>
      </c>
      <c r="Q265">
        <v>128</v>
      </c>
      <c r="R265" t="s">
        <v>557</v>
      </c>
      <c r="S265" t="s">
        <v>558</v>
      </c>
    </row>
    <row r="266" spans="1:19" x14ac:dyDescent="0.2">
      <c r="A266" t="e">
        <v>#REF!</v>
      </c>
      <c r="B266">
        <v>903</v>
      </c>
      <c r="C266" t="e">
        <v>#REF!</v>
      </c>
      <c r="D266">
        <v>300</v>
      </c>
      <c r="E266">
        <v>10004</v>
      </c>
      <c r="F266" t="s">
        <v>918</v>
      </c>
      <c r="G266" t="s">
        <v>919</v>
      </c>
      <c r="H266" t="s">
        <v>82</v>
      </c>
      <c r="I266" t="s">
        <v>920</v>
      </c>
      <c r="J266" t="s">
        <v>53</v>
      </c>
      <c r="K266">
        <v>1</v>
      </c>
      <c r="L266">
        <v>1</v>
      </c>
      <c r="N266">
        <v>999</v>
      </c>
      <c r="O266">
        <v>999</v>
      </c>
      <c r="Q266">
        <v>16</v>
      </c>
      <c r="R266" t="s">
        <v>557</v>
      </c>
      <c r="S266" t="s">
        <v>558</v>
      </c>
    </row>
    <row r="267" spans="1:19" x14ac:dyDescent="0.2">
      <c r="A267" t="e">
        <v>#REF!</v>
      </c>
      <c r="B267">
        <v>903</v>
      </c>
      <c r="C267" t="e">
        <v>#REF!</v>
      </c>
      <c r="D267">
        <v>300</v>
      </c>
      <c r="E267">
        <v>10005</v>
      </c>
      <c r="F267" t="s">
        <v>921</v>
      </c>
      <c r="G267" t="s">
        <v>922</v>
      </c>
      <c r="H267" t="s">
        <v>82</v>
      </c>
      <c r="I267" t="s">
        <v>923</v>
      </c>
      <c r="J267" t="s">
        <v>53</v>
      </c>
      <c r="K267">
        <v>1</v>
      </c>
      <c r="L267">
        <v>1</v>
      </c>
      <c r="N267">
        <v>999</v>
      </c>
      <c r="O267">
        <v>999</v>
      </c>
      <c r="Q267">
        <v>16</v>
      </c>
    </row>
    <row r="268" spans="1:19" x14ac:dyDescent="0.2">
      <c r="A268" t="e">
        <v>#REF!</v>
      </c>
      <c r="B268">
        <v>903</v>
      </c>
      <c r="C268" t="e">
        <v>#REF!</v>
      </c>
      <c r="D268">
        <v>300</v>
      </c>
      <c r="E268">
        <v>10006</v>
      </c>
      <c r="F268" t="s">
        <v>924</v>
      </c>
      <c r="G268" t="s">
        <v>925</v>
      </c>
      <c r="H268" t="s">
        <v>82</v>
      </c>
      <c r="I268" t="s">
        <v>926</v>
      </c>
      <c r="J268" t="s">
        <v>53</v>
      </c>
      <c r="K268">
        <v>1</v>
      </c>
      <c r="L268">
        <v>1</v>
      </c>
      <c r="N268">
        <v>999</v>
      </c>
      <c r="O268">
        <v>999</v>
      </c>
      <c r="Q268">
        <v>32</v>
      </c>
    </row>
    <row r="269" spans="1:19" x14ac:dyDescent="0.2">
      <c r="A269" t="e">
        <v>#REF!</v>
      </c>
      <c r="B269">
        <v>801</v>
      </c>
      <c r="C269" t="e">
        <v>#REF!</v>
      </c>
      <c r="D269">
        <v>300</v>
      </c>
      <c r="E269">
        <v>10001</v>
      </c>
      <c r="F269" t="s">
        <v>927</v>
      </c>
      <c r="G269" t="s">
        <v>928</v>
      </c>
      <c r="H269" t="s">
        <v>82</v>
      </c>
      <c r="I269" t="s">
        <v>929</v>
      </c>
      <c r="J269" t="s">
        <v>47</v>
      </c>
      <c r="K269">
        <v>1</v>
      </c>
      <c r="L269">
        <v>1</v>
      </c>
      <c r="N269">
        <v>999</v>
      </c>
      <c r="O269">
        <v>999</v>
      </c>
      <c r="Q269">
        <v>32</v>
      </c>
    </row>
    <row r="270" spans="1:19" x14ac:dyDescent="0.2">
      <c r="A270" t="e">
        <v>#REF!</v>
      </c>
      <c r="B270">
        <v>801</v>
      </c>
      <c r="C270" t="e">
        <v>#REF!</v>
      </c>
      <c r="D270">
        <v>300</v>
      </c>
      <c r="E270">
        <v>10002</v>
      </c>
      <c r="F270" t="s">
        <v>930</v>
      </c>
      <c r="G270" t="s">
        <v>931</v>
      </c>
      <c r="H270" t="s">
        <v>82</v>
      </c>
      <c r="I270" t="s">
        <v>932</v>
      </c>
      <c r="J270" t="s">
        <v>47</v>
      </c>
      <c r="K270">
        <v>1</v>
      </c>
      <c r="L270">
        <v>1</v>
      </c>
      <c r="N270">
        <v>999</v>
      </c>
      <c r="O270">
        <v>999</v>
      </c>
      <c r="Q270">
        <v>64</v>
      </c>
    </row>
    <row r="271" spans="1:19" x14ac:dyDescent="0.2">
      <c r="A271" t="e">
        <v>#REF!</v>
      </c>
      <c r="B271">
        <v>801</v>
      </c>
      <c r="C271" t="e">
        <v>#REF!</v>
      </c>
      <c r="D271">
        <v>300</v>
      </c>
      <c r="E271">
        <v>10003</v>
      </c>
      <c r="F271" t="s">
        <v>924</v>
      </c>
      <c r="G271" t="s">
        <v>925</v>
      </c>
      <c r="H271" t="s">
        <v>82</v>
      </c>
      <c r="I271" t="s">
        <v>926</v>
      </c>
      <c r="J271" t="s">
        <v>47</v>
      </c>
      <c r="K271">
        <v>1</v>
      </c>
      <c r="L271">
        <v>1</v>
      </c>
      <c r="N271">
        <v>999</v>
      </c>
      <c r="O271">
        <v>999</v>
      </c>
      <c r="Q271">
        <v>32</v>
      </c>
    </row>
    <row r="272" spans="1:19" x14ac:dyDescent="0.2">
      <c r="A272" t="e">
        <v>#REF!</v>
      </c>
      <c r="B272">
        <v>801</v>
      </c>
      <c r="C272" t="e">
        <v>#REF!</v>
      </c>
      <c r="D272">
        <v>300</v>
      </c>
      <c r="E272">
        <v>10004</v>
      </c>
      <c r="F272" t="s">
        <v>596</v>
      </c>
      <c r="G272" t="s">
        <v>597</v>
      </c>
      <c r="H272" t="s">
        <v>82</v>
      </c>
      <c r="I272" t="s">
        <v>598</v>
      </c>
      <c r="J272" t="s">
        <v>47</v>
      </c>
      <c r="K272">
        <v>1</v>
      </c>
      <c r="L272">
        <v>1</v>
      </c>
      <c r="N272">
        <v>999</v>
      </c>
      <c r="O272">
        <v>999</v>
      </c>
      <c r="Q272">
        <v>32</v>
      </c>
    </row>
    <row r="273" spans="1:17" x14ac:dyDescent="0.2">
      <c r="A273" t="e">
        <v>#REF!</v>
      </c>
      <c r="B273">
        <v>801</v>
      </c>
      <c r="C273" t="e">
        <v>#REF!</v>
      </c>
      <c r="D273">
        <v>300</v>
      </c>
      <c r="E273">
        <v>10005</v>
      </c>
      <c r="F273" t="s">
        <v>933</v>
      </c>
      <c r="G273" t="s">
        <v>934</v>
      </c>
      <c r="H273" t="s">
        <v>82</v>
      </c>
      <c r="I273" t="s">
        <v>935</v>
      </c>
      <c r="J273" t="s">
        <v>47</v>
      </c>
      <c r="K273">
        <v>1</v>
      </c>
      <c r="L273">
        <v>1</v>
      </c>
      <c r="N273">
        <v>999</v>
      </c>
      <c r="O273">
        <v>999</v>
      </c>
      <c r="Q273">
        <v>32</v>
      </c>
    </row>
    <row r="274" spans="1:17" x14ac:dyDescent="0.2">
      <c r="A274" t="e">
        <v>#REF!</v>
      </c>
      <c r="B274">
        <v>801</v>
      </c>
      <c r="C274" t="e">
        <v>#REF!</v>
      </c>
      <c r="D274">
        <v>300</v>
      </c>
      <c r="E274">
        <v>10006</v>
      </c>
      <c r="F274" t="s">
        <v>857</v>
      </c>
      <c r="G274" t="s">
        <v>858</v>
      </c>
      <c r="H274" t="s">
        <v>82</v>
      </c>
      <c r="I274" t="s">
        <v>859</v>
      </c>
      <c r="J274" t="s">
        <v>47</v>
      </c>
      <c r="K274">
        <v>1</v>
      </c>
      <c r="L274">
        <v>1</v>
      </c>
      <c r="N274">
        <v>999</v>
      </c>
      <c r="O274">
        <v>999</v>
      </c>
      <c r="Q274">
        <v>256</v>
      </c>
    </row>
    <row r="275" spans="1:17" x14ac:dyDescent="0.2">
      <c r="A275" t="e">
        <v>#REF!</v>
      </c>
      <c r="B275">
        <v>802</v>
      </c>
      <c r="C275" t="e">
        <v>#REF!</v>
      </c>
      <c r="D275">
        <v>300</v>
      </c>
      <c r="E275">
        <v>10001</v>
      </c>
      <c r="F275" t="s">
        <v>936</v>
      </c>
      <c r="G275" t="s">
        <v>937</v>
      </c>
      <c r="H275" t="s">
        <v>82</v>
      </c>
      <c r="I275" t="s">
        <v>938</v>
      </c>
      <c r="J275" t="s">
        <v>48</v>
      </c>
      <c r="K275">
        <v>1</v>
      </c>
      <c r="L275">
        <v>1</v>
      </c>
      <c r="N275">
        <v>999</v>
      </c>
      <c r="O275">
        <v>999</v>
      </c>
      <c r="Q275">
        <v>32</v>
      </c>
    </row>
    <row r="276" spans="1:17" x14ac:dyDescent="0.2">
      <c r="A276" t="e">
        <v>#REF!</v>
      </c>
      <c r="B276">
        <v>802</v>
      </c>
      <c r="C276" t="e">
        <v>#REF!</v>
      </c>
      <c r="D276">
        <v>300</v>
      </c>
      <c r="E276">
        <v>10002</v>
      </c>
      <c r="F276" t="s">
        <v>939</v>
      </c>
      <c r="G276" t="s">
        <v>940</v>
      </c>
      <c r="H276" t="s">
        <v>82</v>
      </c>
      <c r="I276" t="s">
        <v>941</v>
      </c>
      <c r="J276" t="s">
        <v>48</v>
      </c>
      <c r="K276">
        <v>1</v>
      </c>
      <c r="L276">
        <v>1</v>
      </c>
      <c r="N276">
        <v>999</v>
      </c>
      <c r="O276">
        <v>999</v>
      </c>
      <c r="Q276">
        <v>64</v>
      </c>
    </row>
    <row r="277" spans="1:17" x14ac:dyDescent="0.2">
      <c r="A277" t="e">
        <v>#REF!</v>
      </c>
      <c r="B277">
        <v>802</v>
      </c>
      <c r="C277" t="e">
        <v>#REF!</v>
      </c>
      <c r="D277">
        <v>300</v>
      </c>
      <c r="E277">
        <v>10003</v>
      </c>
      <c r="F277" t="s">
        <v>593</v>
      </c>
      <c r="G277" t="s">
        <v>594</v>
      </c>
      <c r="H277" t="s">
        <v>82</v>
      </c>
      <c r="I277" t="s">
        <v>595</v>
      </c>
      <c r="J277" t="s">
        <v>48</v>
      </c>
      <c r="K277">
        <v>1</v>
      </c>
      <c r="L277">
        <v>1</v>
      </c>
      <c r="N277">
        <v>999</v>
      </c>
      <c r="O277">
        <v>999</v>
      </c>
      <c r="Q277">
        <v>64</v>
      </c>
    </row>
    <row r="278" spans="1:17" x14ac:dyDescent="0.2">
      <c r="A278" t="e">
        <v>#REF!</v>
      </c>
      <c r="B278">
        <v>802</v>
      </c>
      <c r="C278" t="e">
        <v>#REF!</v>
      </c>
      <c r="D278">
        <v>300</v>
      </c>
      <c r="E278">
        <v>10004</v>
      </c>
      <c r="F278" t="s">
        <v>942</v>
      </c>
      <c r="G278" t="s">
        <v>943</v>
      </c>
      <c r="H278" t="s">
        <v>82</v>
      </c>
      <c r="I278" t="s">
        <v>595</v>
      </c>
      <c r="J278" t="s">
        <v>48</v>
      </c>
      <c r="K278">
        <v>1</v>
      </c>
      <c r="L278">
        <v>1</v>
      </c>
      <c r="N278">
        <v>999</v>
      </c>
      <c r="O278">
        <v>999</v>
      </c>
      <c r="Q278">
        <v>64</v>
      </c>
    </row>
    <row r="279" spans="1:17" x14ac:dyDescent="0.2">
      <c r="A279" t="e">
        <v>#REF!</v>
      </c>
      <c r="B279">
        <v>802</v>
      </c>
      <c r="C279" t="e">
        <v>#REF!</v>
      </c>
      <c r="D279">
        <v>300</v>
      </c>
      <c r="E279">
        <v>10005</v>
      </c>
      <c r="F279" t="s">
        <v>944</v>
      </c>
      <c r="G279" t="s">
        <v>945</v>
      </c>
      <c r="H279" t="s">
        <v>82</v>
      </c>
      <c r="I279" t="s">
        <v>946</v>
      </c>
      <c r="J279" t="s">
        <v>48</v>
      </c>
      <c r="K279">
        <v>1</v>
      </c>
      <c r="L279">
        <v>1</v>
      </c>
      <c r="N279">
        <v>999</v>
      </c>
      <c r="O279">
        <v>999</v>
      </c>
      <c r="Q279">
        <v>32</v>
      </c>
    </row>
    <row r="280" spans="1:17" x14ac:dyDescent="0.2">
      <c r="A280" t="e">
        <v>#REF!</v>
      </c>
      <c r="B280">
        <v>802</v>
      </c>
      <c r="C280" t="e">
        <v>#REF!</v>
      </c>
      <c r="D280">
        <v>300</v>
      </c>
      <c r="E280">
        <v>10006</v>
      </c>
      <c r="F280" t="s">
        <v>939</v>
      </c>
      <c r="G280" t="s">
        <v>940</v>
      </c>
      <c r="H280" t="s">
        <v>82</v>
      </c>
      <c r="I280" t="s">
        <v>941</v>
      </c>
      <c r="J280" t="s">
        <v>48</v>
      </c>
      <c r="K280">
        <v>1</v>
      </c>
      <c r="L280">
        <v>1</v>
      </c>
      <c r="N280">
        <v>999</v>
      </c>
      <c r="O280">
        <v>999</v>
      </c>
      <c r="Q280">
        <v>64</v>
      </c>
    </row>
    <row r="281" spans="1:17" x14ac:dyDescent="0.2">
      <c r="A281" t="e">
        <v>#REF!</v>
      </c>
      <c r="B281">
        <v>802</v>
      </c>
      <c r="C281" t="e">
        <v>#REF!</v>
      </c>
      <c r="D281">
        <v>300</v>
      </c>
      <c r="E281">
        <v>10007</v>
      </c>
      <c r="F281" t="s">
        <v>947</v>
      </c>
      <c r="G281" t="s">
        <v>948</v>
      </c>
      <c r="I281" t="s">
        <v>949</v>
      </c>
      <c r="J281" t="s">
        <v>48</v>
      </c>
      <c r="K281">
        <v>1</v>
      </c>
      <c r="L281">
        <v>1</v>
      </c>
      <c r="N281">
        <v>999</v>
      </c>
      <c r="O281">
        <v>999</v>
      </c>
      <c r="Q281">
        <v>64</v>
      </c>
    </row>
    <row r="282" spans="1:17" x14ac:dyDescent="0.2">
      <c r="A282" t="e">
        <v>#REF!</v>
      </c>
      <c r="B282">
        <v>802</v>
      </c>
      <c r="C282" t="e">
        <v>#REF!</v>
      </c>
      <c r="D282">
        <v>300</v>
      </c>
      <c r="E282">
        <v>10008</v>
      </c>
      <c r="F282" t="s">
        <v>950</v>
      </c>
      <c r="G282" t="s">
        <v>951</v>
      </c>
      <c r="I282" t="s">
        <v>952</v>
      </c>
      <c r="J282" t="s">
        <v>48</v>
      </c>
      <c r="K282">
        <v>1</v>
      </c>
      <c r="L282">
        <v>1</v>
      </c>
      <c r="N282">
        <v>999</v>
      </c>
      <c r="O282">
        <v>999</v>
      </c>
      <c r="Q282">
        <v>64</v>
      </c>
    </row>
    <row r="283" spans="1:17" x14ac:dyDescent="0.2">
      <c r="A283" t="e">
        <v>#REF!</v>
      </c>
      <c r="B283">
        <v>251</v>
      </c>
      <c r="C283" t="e">
        <v>#REF!</v>
      </c>
      <c r="D283">
        <v>300</v>
      </c>
      <c r="E283">
        <v>10001</v>
      </c>
      <c r="F283" t="s">
        <v>953</v>
      </c>
      <c r="G283" t="s">
        <v>954</v>
      </c>
      <c r="H283" t="s">
        <v>82</v>
      </c>
      <c r="I283" t="s">
        <v>955</v>
      </c>
      <c r="J283" t="s">
        <v>36</v>
      </c>
      <c r="K283">
        <v>1</v>
      </c>
      <c r="L283">
        <v>1</v>
      </c>
      <c r="N283">
        <v>999</v>
      </c>
      <c r="O283">
        <v>999</v>
      </c>
      <c r="Q283">
        <v>48</v>
      </c>
    </row>
    <row r="284" spans="1:17" x14ac:dyDescent="0.2">
      <c r="A284" t="e">
        <v>#REF!</v>
      </c>
      <c r="B284">
        <v>251</v>
      </c>
      <c r="C284" t="e">
        <v>#REF!</v>
      </c>
      <c r="D284">
        <v>300</v>
      </c>
      <c r="E284">
        <v>10002</v>
      </c>
      <c r="F284" t="s">
        <v>956</v>
      </c>
      <c r="G284" t="s">
        <v>957</v>
      </c>
      <c r="H284" t="s">
        <v>82</v>
      </c>
      <c r="I284" t="s">
        <v>958</v>
      </c>
      <c r="J284" t="s">
        <v>36</v>
      </c>
      <c r="K284">
        <v>1</v>
      </c>
      <c r="L284">
        <v>1</v>
      </c>
      <c r="N284">
        <v>999</v>
      </c>
      <c r="O284">
        <v>999</v>
      </c>
      <c r="Q284">
        <v>16</v>
      </c>
    </row>
    <row r="285" spans="1:17" x14ac:dyDescent="0.2">
      <c r="A285" t="e">
        <v>#REF!</v>
      </c>
      <c r="B285">
        <v>251</v>
      </c>
      <c r="C285" t="e">
        <v>#REF!</v>
      </c>
      <c r="D285">
        <v>300</v>
      </c>
      <c r="E285">
        <v>10003</v>
      </c>
      <c r="F285" t="s">
        <v>959</v>
      </c>
      <c r="G285" t="s">
        <v>960</v>
      </c>
      <c r="H285" t="s">
        <v>82</v>
      </c>
      <c r="I285" t="s">
        <v>961</v>
      </c>
      <c r="J285" t="s">
        <v>36</v>
      </c>
      <c r="K285">
        <v>1</v>
      </c>
      <c r="L285">
        <v>1</v>
      </c>
      <c r="N285">
        <v>999</v>
      </c>
      <c r="O285">
        <v>999</v>
      </c>
      <c r="Q285">
        <v>32</v>
      </c>
    </row>
    <row r="286" spans="1:17" x14ac:dyDescent="0.2">
      <c r="A286" t="e">
        <v>#REF!</v>
      </c>
      <c r="B286">
        <v>251</v>
      </c>
      <c r="C286" t="e">
        <v>#REF!</v>
      </c>
      <c r="D286">
        <v>300</v>
      </c>
      <c r="E286">
        <v>10004</v>
      </c>
      <c r="F286" t="s">
        <v>962</v>
      </c>
      <c r="G286" t="s">
        <v>963</v>
      </c>
      <c r="H286" t="s">
        <v>82</v>
      </c>
      <c r="I286" t="s">
        <v>964</v>
      </c>
      <c r="J286" t="s">
        <v>36</v>
      </c>
      <c r="K286">
        <v>1</v>
      </c>
      <c r="L286">
        <v>1</v>
      </c>
      <c r="N286">
        <v>999</v>
      </c>
      <c r="O286">
        <v>999</v>
      </c>
      <c r="Q286">
        <v>16</v>
      </c>
    </row>
    <row r="287" spans="1:17" x14ac:dyDescent="0.2">
      <c r="A287" t="e">
        <v>#REF!</v>
      </c>
      <c r="B287">
        <v>251</v>
      </c>
      <c r="C287" t="e">
        <v>#REF!</v>
      </c>
      <c r="D287">
        <v>300</v>
      </c>
      <c r="E287">
        <v>10005</v>
      </c>
      <c r="F287" t="s">
        <v>965</v>
      </c>
      <c r="G287" t="s">
        <v>966</v>
      </c>
      <c r="H287" t="s">
        <v>82</v>
      </c>
      <c r="J287" t="s">
        <v>36</v>
      </c>
      <c r="K287">
        <v>1</v>
      </c>
      <c r="L287">
        <v>1</v>
      </c>
      <c r="N287">
        <v>999</v>
      </c>
    </row>
    <row r="288" spans="1:17" x14ac:dyDescent="0.2">
      <c r="A288" t="e">
        <v>#REF!</v>
      </c>
      <c r="B288">
        <v>251</v>
      </c>
      <c r="C288" t="e">
        <v>#REF!</v>
      </c>
      <c r="D288">
        <v>300</v>
      </c>
      <c r="E288">
        <v>10006</v>
      </c>
      <c r="F288" t="s">
        <v>967</v>
      </c>
      <c r="G288" t="s">
        <v>968</v>
      </c>
      <c r="H288" t="s">
        <v>82</v>
      </c>
      <c r="J288" t="s">
        <v>36</v>
      </c>
      <c r="K288">
        <v>1</v>
      </c>
      <c r="L288">
        <v>1</v>
      </c>
      <c r="N288">
        <v>999</v>
      </c>
    </row>
    <row r="289" spans="1:17" x14ac:dyDescent="0.2">
      <c r="A289" t="e">
        <v>#REF!</v>
      </c>
      <c r="B289">
        <v>251</v>
      </c>
      <c r="C289" t="e">
        <v>#REF!</v>
      </c>
      <c r="D289">
        <v>300</v>
      </c>
      <c r="E289">
        <v>10007</v>
      </c>
      <c r="F289" t="s">
        <v>969</v>
      </c>
      <c r="G289" t="s">
        <v>970</v>
      </c>
      <c r="H289" t="s">
        <v>82</v>
      </c>
      <c r="J289" t="s">
        <v>36</v>
      </c>
      <c r="K289">
        <v>1</v>
      </c>
      <c r="L289">
        <v>1</v>
      </c>
      <c r="N289">
        <v>999</v>
      </c>
    </row>
    <row r="290" spans="1:17" x14ac:dyDescent="0.2">
      <c r="A290" t="e">
        <v>#REF!</v>
      </c>
      <c r="B290">
        <v>251</v>
      </c>
      <c r="C290" t="e">
        <v>#REF!</v>
      </c>
      <c r="D290">
        <v>300</v>
      </c>
      <c r="E290">
        <v>10008</v>
      </c>
      <c r="F290" t="s">
        <v>971</v>
      </c>
      <c r="G290" t="s">
        <v>972</v>
      </c>
      <c r="H290" t="s">
        <v>82</v>
      </c>
      <c r="I290" t="s">
        <v>973</v>
      </c>
      <c r="J290" t="s">
        <v>36</v>
      </c>
      <c r="K290">
        <v>1</v>
      </c>
      <c r="L290">
        <v>1</v>
      </c>
      <c r="N290">
        <v>999</v>
      </c>
      <c r="O290">
        <v>999</v>
      </c>
      <c r="Q290">
        <v>32</v>
      </c>
    </row>
    <row r="291" spans="1:17" x14ac:dyDescent="0.2">
      <c r="A291" t="e">
        <v>#REF!</v>
      </c>
      <c r="B291">
        <v>251</v>
      </c>
      <c r="C291" t="e">
        <v>#REF!</v>
      </c>
      <c r="D291">
        <v>300</v>
      </c>
      <c r="E291">
        <v>10009</v>
      </c>
      <c r="F291" t="s">
        <v>974</v>
      </c>
      <c r="G291" t="s">
        <v>975</v>
      </c>
      <c r="H291" t="s">
        <v>82</v>
      </c>
      <c r="I291" t="s">
        <v>976</v>
      </c>
      <c r="J291" t="s">
        <v>36</v>
      </c>
      <c r="K291">
        <v>1</v>
      </c>
      <c r="L291">
        <v>1</v>
      </c>
      <c r="N291">
        <v>999</v>
      </c>
      <c r="O291">
        <v>999</v>
      </c>
      <c r="Q291">
        <v>32</v>
      </c>
    </row>
    <row r="292" spans="1:17" x14ac:dyDescent="0.2">
      <c r="A292" t="e">
        <v>#REF!</v>
      </c>
      <c r="B292">
        <v>251</v>
      </c>
      <c r="C292" t="e">
        <v>#REF!</v>
      </c>
      <c r="D292">
        <v>300</v>
      </c>
      <c r="E292">
        <v>10010</v>
      </c>
      <c r="F292" t="s">
        <v>977</v>
      </c>
      <c r="G292" t="s">
        <v>978</v>
      </c>
      <c r="H292" t="s">
        <v>82</v>
      </c>
      <c r="I292" t="s">
        <v>979</v>
      </c>
      <c r="J292" t="s">
        <v>36</v>
      </c>
      <c r="K292">
        <v>1</v>
      </c>
      <c r="L292">
        <v>1</v>
      </c>
      <c r="N292">
        <v>999</v>
      </c>
      <c r="O292">
        <v>999</v>
      </c>
      <c r="Q292">
        <v>32</v>
      </c>
    </row>
    <row r="293" spans="1:17" x14ac:dyDescent="0.2">
      <c r="A293" t="e">
        <v>#REF!</v>
      </c>
      <c r="B293">
        <v>251</v>
      </c>
      <c r="C293" t="e">
        <v>#REF!</v>
      </c>
      <c r="D293">
        <v>300</v>
      </c>
      <c r="E293">
        <v>10011</v>
      </c>
      <c r="F293" t="s">
        <v>980</v>
      </c>
      <c r="G293" t="s">
        <v>981</v>
      </c>
      <c r="J293" t="s">
        <v>36</v>
      </c>
      <c r="K293" t="s">
        <v>982</v>
      </c>
      <c r="L293">
        <v>1</v>
      </c>
    </row>
    <row r="294" spans="1:17" x14ac:dyDescent="0.2">
      <c r="A294" t="e">
        <v>#REF!</v>
      </c>
      <c r="B294">
        <v>904</v>
      </c>
      <c r="C294" t="e">
        <v>#REF!</v>
      </c>
      <c r="D294">
        <v>300</v>
      </c>
      <c r="E294">
        <v>10001</v>
      </c>
      <c r="F294" t="s">
        <v>983</v>
      </c>
      <c r="G294" t="s">
        <v>984</v>
      </c>
      <c r="H294" t="s">
        <v>82</v>
      </c>
      <c r="I294" t="s">
        <v>985</v>
      </c>
      <c r="J294" t="s">
        <v>54</v>
      </c>
      <c r="K294">
        <v>1</v>
      </c>
      <c r="L294">
        <v>1</v>
      </c>
      <c r="N294">
        <v>999</v>
      </c>
      <c r="O294">
        <v>999</v>
      </c>
      <c r="Q294">
        <v>16</v>
      </c>
    </row>
    <row r="295" spans="1:17" x14ac:dyDescent="0.2">
      <c r="A295" t="e">
        <v>#REF!</v>
      </c>
      <c r="B295">
        <v>904</v>
      </c>
      <c r="C295" t="e">
        <v>#REF!</v>
      </c>
      <c r="D295">
        <v>300</v>
      </c>
      <c r="E295">
        <v>10002</v>
      </c>
      <c r="F295" t="s">
        <v>986</v>
      </c>
      <c r="G295" t="s">
        <v>987</v>
      </c>
      <c r="H295" t="s">
        <v>82</v>
      </c>
      <c r="I295" t="s">
        <v>988</v>
      </c>
      <c r="J295" t="s">
        <v>54</v>
      </c>
      <c r="K295">
        <v>1</v>
      </c>
      <c r="L295">
        <v>1</v>
      </c>
      <c r="N295">
        <v>999</v>
      </c>
      <c r="O295">
        <v>999</v>
      </c>
      <c r="Q295">
        <v>64</v>
      </c>
    </row>
    <row r="296" spans="1:17" x14ac:dyDescent="0.2">
      <c r="A296" t="e">
        <v>#REF!</v>
      </c>
      <c r="B296">
        <v>905</v>
      </c>
      <c r="C296" t="e">
        <v>#REF!</v>
      </c>
      <c r="D296">
        <v>300</v>
      </c>
      <c r="E296">
        <v>10001</v>
      </c>
      <c r="F296" t="s">
        <v>989</v>
      </c>
      <c r="G296" t="s">
        <v>990</v>
      </c>
      <c r="H296" t="s">
        <v>82</v>
      </c>
      <c r="I296" t="s">
        <v>991</v>
      </c>
      <c r="J296" t="s">
        <v>55</v>
      </c>
      <c r="K296">
        <v>1</v>
      </c>
      <c r="L296">
        <v>1</v>
      </c>
      <c r="N296">
        <v>999</v>
      </c>
      <c r="O296">
        <v>999</v>
      </c>
      <c r="Q296">
        <v>32</v>
      </c>
    </row>
    <row r="297" spans="1:17" x14ac:dyDescent="0.2">
      <c r="A297" t="e">
        <v>#REF!</v>
      </c>
      <c r="B297">
        <v>905</v>
      </c>
      <c r="C297" t="e">
        <v>#REF!</v>
      </c>
      <c r="D297">
        <v>300</v>
      </c>
      <c r="E297">
        <v>10002</v>
      </c>
      <c r="F297" t="s">
        <v>992</v>
      </c>
      <c r="G297" t="s">
        <v>993</v>
      </c>
      <c r="H297" t="s">
        <v>82</v>
      </c>
      <c r="I297" t="s">
        <v>994</v>
      </c>
      <c r="J297" t="s">
        <v>55</v>
      </c>
      <c r="K297">
        <v>1</v>
      </c>
      <c r="L297">
        <v>1</v>
      </c>
      <c r="N297">
        <v>999</v>
      </c>
      <c r="O297">
        <v>999</v>
      </c>
      <c r="Q297">
        <v>32</v>
      </c>
    </row>
    <row r="298" spans="1:17" x14ac:dyDescent="0.2">
      <c r="A298" t="e">
        <v>#REF!</v>
      </c>
      <c r="B298">
        <v>905</v>
      </c>
      <c r="C298" t="e">
        <v>#REF!</v>
      </c>
      <c r="D298">
        <v>300</v>
      </c>
      <c r="E298">
        <v>10003</v>
      </c>
      <c r="F298" t="s">
        <v>995</v>
      </c>
      <c r="G298" t="s">
        <v>996</v>
      </c>
      <c r="H298" t="s">
        <v>82</v>
      </c>
      <c r="I298" t="s">
        <v>997</v>
      </c>
      <c r="J298" t="s">
        <v>55</v>
      </c>
      <c r="K298">
        <v>1</v>
      </c>
      <c r="L298">
        <v>1</v>
      </c>
      <c r="N298">
        <v>999</v>
      </c>
      <c r="O298">
        <v>999</v>
      </c>
      <c r="Q298">
        <v>32</v>
      </c>
    </row>
    <row r="299" spans="1:17" x14ac:dyDescent="0.2">
      <c r="A299" t="e">
        <v>#REF!</v>
      </c>
      <c r="B299">
        <v>905</v>
      </c>
      <c r="C299" t="e">
        <v>#REF!</v>
      </c>
      <c r="D299">
        <v>300</v>
      </c>
      <c r="E299">
        <v>10004</v>
      </c>
      <c r="F299" t="s">
        <v>998</v>
      </c>
      <c r="G299" t="s">
        <v>999</v>
      </c>
      <c r="H299" t="s">
        <v>82</v>
      </c>
      <c r="I299" t="s">
        <v>1000</v>
      </c>
      <c r="J299" t="s">
        <v>55</v>
      </c>
      <c r="K299">
        <v>1</v>
      </c>
      <c r="L299">
        <v>1</v>
      </c>
      <c r="N299">
        <v>999</v>
      </c>
      <c r="O299">
        <v>999</v>
      </c>
      <c r="Q299">
        <v>32</v>
      </c>
    </row>
    <row r="300" spans="1:17" x14ac:dyDescent="0.2">
      <c r="A300" t="e">
        <v>#REF!</v>
      </c>
      <c r="B300">
        <v>905</v>
      </c>
      <c r="C300" t="e">
        <v>#REF!</v>
      </c>
      <c r="D300">
        <v>300</v>
      </c>
      <c r="E300">
        <v>10005</v>
      </c>
      <c r="F300" t="s">
        <v>1001</v>
      </c>
      <c r="G300" t="s">
        <v>1002</v>
      </c>
      <c r="H300" t="s">
        <v>82</v>
      </c>
      <c r="I300" t="s">
        <v>1003</v>
      </c>
      <c r="J300" t="s">
        <v>55</v>
      </c>
      <c r="K300">
        <v>1</v>
      </c>
      <c r="L300">
        <v>1</v>
      </c>
      <c r="N300">
        <v>999</v>
      </c>
      <c r="Q300">
        <v>32</v>
      </c>
    </row>
    <row r="301" spans="1:17" x14ac:dyDescent="0.2">
      <c r="A301" t="e">
        <v>#REF!</v>
      </c>
      <c r="B301">
        <v>905</v>
      </c>
      <c r="C301" t="e">
        <v>#REF!</v>
      </c>
      <c r="D301">
        <v>300</v>
      </c>
      <c r="E301">
        <v>10006</v>
      </c>
      <c r="F301" t="s">
        <v>1004</v>
      </c>
      <c r="G301" t="s">
        <v>1005</v>
      </c>
      <c r="H301" t="s">
        <v>82</v>
      </c>
      <c r="I301" t="s">
        <v>1006</v>
      </c>
      <c r="J301" t="s">
        <v>55</v>
      </c>
      <c r="K301">
        <v>1</v>
      </c>
      <c r="L301">
        <v>1</v>
      </c>
      <c r="N301">
        <v>999</v>
      </c>
      <c r="O301">
        <v>999</v>
      </c>
      <c r="Q301">
        <v>32</v>
      </c>
    </row>
    <row r="302" spans="1:17" x14ac:dyDescent="0.2">
      <c r="A302" t="e">
        <v>#REF!</v>
      </c>
      <c r="B302">
        <v>905</v>
      </c>
      <c r="C302" t="e">
        <v>#REF!</v>
      </c>
      <c r="D302">
        <v>300</v>
      </c>
      <c r="E302">
        <v>10007</v>
      </c>
      <c r="F302" t="s">
        <v>1007</v>
      </c>
      <c r="G302" t="s">
        <v>1008</v>
      </c>
      <c r="H302" t="s">
        <v>1009</v>
      </c>
      <c r="I302" t="s">
        <v>1010</v>
      </c>
      <c r="J302" t="s">
        <v>55</v>
      </c>
      <c r="K302">
        <v>1</v>
      </c>
      <c r="L302">
        <v>1</v>
      </c>
      <c r="N302">
        <v>999</v>
      </c>
      <c r="O302">
        <v>999</v>
      </c>
      <c r="Q302">
        <v>32</v>
      </c>
    </row>
    <row r="303" spans="1:17" x14ac:dyDescent="0.2">
      <c r="A303" t="e">
        <v>#REF!</v>
      </c>
      <c r="B303">
        <v>905</v>
      </c>
      <c r="C303" t="e">
        <v>#REF!</v>
      </c>
      <c r="D303">
        <v>300</v>
      </c>
      <c r="E303">
        <v>10008</v>
      </c>
      <c r="F303" t="s">
        <v>1011</v>
      </c>
      <c r="G303" t="s">
        <v>1012</v>
      </c>
      <c r="I303" t="s">
        <v>1013</v>
      </c>
      <c r="J303" t="s">
        <v>55</v>
      </c>
      <c r="K303">
        <v>1</v>
      </c>
      <c r="L303">
        <v>1</v>
      </c>
      <c r="N303">
        <v>999</v>
      </c>
      <c r="O303">
        <v>999</v>
      </c>
      <c r="Q303">
        <v>32</v>
      </c>
    </row>
    <row r="304" spans="1:17" x14ac:dyDescent="0.2">
      <c r="A304" t="e">
        <v>#REF!</v>
      </c>
      <c r="B304">
        <v>906</v>
      </c>
      <c r="C304" t="e">
        <v>#REF!</v>
      </c>
      <c r="D304">
        <v>300</v>
      </c>
      <c r="E304">
        <v>10001</v>
      </c>
      <c r="F304" t="s">
        <v>1014</v>
      </c>
      <c r="G304" t="s">
        <v>1015</v>
      </c>
      <c r="H304" t="s">
        <v>82</v>
      </c>
      <c r="I304" t="s">
        <v>1016</v>
      </c>
      <c r="J304" t="s">
        <v>56</v>
      </c>
      <c r="K304">
        <v>1</v>
      </c>
      <c r="L304">
        <v>1</v>
      </c>
      <c r="N304">
        <v>999</v>
      </c>
      <c r="Q304">
        <v>16</v>
      </c>
    </row>
    <row r="305" spans="1:17" x14ac:dyDescent="0.2">
      <c r="A305" t="e">
        <v>#REF!</v>
      </c>
      <c r="B305">
        <v>907</v>
      </c>
      <c r="C305" t="e">
        <v>#REF!</v>
      </c>
      <c r="D305">
        <v>300</v>
      </c>
      <c r="E305">
        <v>10001</v>
      </c>
      <c r="F305" t="s">
        <v>1017</v>
      </c>
      <c r="G305" t="s">
        <v>1018</v>
      </c>
      <c r="I305" t="s">
        <v>1019</v>
      </c>
      <c r="J305" t="s">
        <v>57</v>
      </c>
      <c r="K305">
        <v>1</v>
      </c>
      <c r="L305">
        <v>1</v>
      </c>
      <c r="N305">
        <v>999</v>
      </c>
      <c r="O305">
        <v>999</v>
      </c>
      <c r="Q305">
        <v>16</v>
      </c>
    </row>
    <row r="306" spans="1:17" x14ac:dyDescent="0.2">
      <c r="A306" t="e">
        <v>#REF!</v>
      </c>
      <c r="B306">
        <v>907</v>
      </c>
      <c r="C306" t="e">
        <v>#REF!</v>
      </c>
      <c r="D306">
        <v>300</v>
      </c>
      <c r="E306">
        <v>10002</v>
      </c>
      <c r="F306" t="s">
        <v>1020</v>
      </c>
      <c r="G306" t="s">
        <v>1021</v>
      </c>
      <c r="I306" t="s">
        <v>1022</v>
      </c>
      <c r="J306" t="s">
        <v>57</v>
      </c>
      <c r="K306">
        <v>1</v>
      </c>
      <c r="L306">
        <v>1</v>
      </c>
      <c r="N306">
        <v>999</v>
      </c>
      <c r="O306">
        <v>999</v>
      </c>
      <c r="Q306">
        <v>16</v>
      </c>
    </row>
    <row r="307" spans="1:17" x14ac:dyDescent="0.2">
      <c r="A307" t="e">
        <v>#REF!</v>
      </c>
      <c r="B307">
        <v>907</v>
      </c>
      <c r="C307" t="e">
        <v>#REF!</v>
      </c>
      <c r="D307">
        <v>300</v>
      </c>
      <c r="E307">
        <v>10003</v>
      </c>
      <c r="F307" t="s">
        <v>1023</v>
      </c>
      <c r="G307" t="s">
        <v>1024</v>
      </c>
      <c r="I307" t="s">
        <v>1025</v>
      </c>
      <c r="J307" t="s">
        <v>57</v>
      </c>
      <c r="K307">
        <v>1</v>
      </c>
      <c r="L307">
        <v>1</v>
      </c>
      <c r="N307">
        <v>999</v>
      </c>
      <c r="O307">
        <v>999</v>
      </c>
      <c r="Q307">
        <v>32</v>
      </c>
    </row>
    <row r="308" spans="1:17" x14ac:dyDescent="0.2">
      <c r="A308" t="e">
        <v>#REF!</v>
      </c>
      <c r="B308">
        <v>907</v>
      </c>
      <c r="C308" t="e">
        <v>#REF!</v>
      </c>
      <c r="D308">
        <v>300</v>
      </c>
      <c r="E308">
        <v>10004</v>
      </c>
      <c r="F308" t="s">
        <v>1026</v>
      </c>
      <c r="G308" t="s">
        <v>1027</v>
      </c>
      <c r="I308" t="s">
        <v>1028</v>
      </c>
      <c r="J308" t="s">
        <v>57</v>
      </c>
      <c r="K308">
        <v>1</v>
      </c>
      <c r="L308">
        <v>1</v>
      </c>
      <c r="N308">
        <v>999</v>
      </c>
      <c r="O308">
        <v>999</v>
      </c>
      <c r="Q308">
        <v>16</v>
      </c>
    </row>
    <row r="309" spans="1:17" x14ac:dyDescent="0.2">
      <c r="A309" t="e">
        <v>#REF!</v>
      </c>
      <c r="B309">
        <v>907</v>
      </c>
      <c r="C309" t="e">
        <v>#REF!</v>
      </c>
      <c r="D309">
        <v>300</v>
      </c>
      <c r="E309">
        <v>10005</v>
      </c>
      <c r="F309" t="s">
        <v>1029</v>
      </c>
      <c r="G309" t="s">
        <v>1030</v>
      </c>
      <c r="I309" t="s">
        <v>1031</v>
      </c>
      <c r="J309" t="s">
        <v>57</v>
      </c>
      <c r="K309">
        <v>1</v>
      </c>
      <c r="L309">
        <v>1</v>
      </c>
      <c r="N309">
        <v>999</v>
      </c>
      <c r="O309">
        <v>999</v>
      </c>
      <c r="Q309">
        <v>60</v>
      </c>
    </row>
    <row r="310" spans="1:17" x14ac:dyDescent="0.2">
      <c r="A310" t="e">
        <v>#REF!</v>
      </c>
      <c r="B310">
        <v>907</v>
      </c>
      <c r="C310" t="e">
        <v>#REF!</v>
      </c>
      <c r="D310">
        <v>300</v>
      </c>
      <c r="E310">
        <v>10006</v>
      </c>
      <c r="F310" t="s">
        <v>998</v>
      </c>
      <c r="G310" t="s">
        <v>1032</v>
      </c>
      <c r="I310" t="s">
        <v>1033</v>
      </c>
      <c r="J310" t="s">
        <v>57</v>
      </c>
      <c r="K310">
        <v>1</v>
      </c>
      <c r="L310">
        <v>1</v>
      </c>
      <c r="N310">
        <v>999</v>
      </c>
      <c r="O310">
        <v>999</v>
      </c>
      <c r="Q310">
        <v>64</v>
      </c>
    </row>
    <row r="311" spans="1:17" x14ac:dyDescent="0.2">
      <c r="A311" t="e">
        <v>#REF!</v>
      </c>
      <c r="B311">
        <v>907</v>
      </c>
      <c r="C311" t="e">
        <v>#REF!</v>
      </c>
      <c r="D311">
        <v>300</v>
      </c>
      <c r="E311">
        <v>10007</v>
      </c>
      <c r="F311" t="s">
        <v>1034</v>
      </c>
      <c r="G311" t="s">
        <v>1035</v>
      </c>
      <c r="I311" t="s">
        <v>1036</v>
      </c>
      <c r="J311" t="s">
        <v>57</v>
      </c>
      <c r="K311">
        <v>1</v>
      </c>
      <c r="L311">
        <v>1</v>
      </c>
      <c r="N311">
        <v>999</v>
      </c>
      <c r="O311">
        <v>999</v>
      </c>
      <c r="Q311">
        <v>16</v>
      </c>
    </row>
    <row r="312" spans="1:17" x14ac:dyDescent="0.2">
      <c r="A312" t="e">
        <v>#REF!</v>
      </c>
      <c r="B312">
        <v>907</v>
      </c>
      <c r="C312" t="e">
        <v>#REF!</v>
      </c>
      <c r="D312">
        <v>300</v>
      </c>
      <c r="E312">
        <v>10008</v>
      </c>
      <c r="F312" t="s">
        <v>1037</v>
      </c>
      <c r="G312" t="s">
        <v>1038</v>
      </c>
      <c r="I312" t="s">
        <v>1039</v>
      </c>
      <c r="J312" t="s">
        <v>57</v>
      </c>
      <c r="K312">
        <v>1</v>
      </c>
      <c r="L312">
        <v>1</v>
      </c>
      <c r="N312">
        <v>999</v>
      </c>
      <c r="O312">
        <v>999</v>
      </c>
      <c r="Q312">
        <v>48</v>
      </c>
    </row>
    <row r="313" spans="1:17" x14ac:dyDescent="0.2">
      <c r="A313" t="e">
        <v>#REF!</v>
      </c>
      <c r="B313">
        <v>907</v>
      </c>
      <c r="C313" t="e">
        <v>#REF!</v>
      </c>
      <c r="D313">
        <v>300</v>
      </c>
      <c r="E313">
        <v>10009</v>
      </c>
      <c r="F313" t="s">
        <v>1040</v>
      </c>
      <c r="G313" t="s">
        <v>1041</v>
      </c>
      <c r="I313" t="s">
        <v>1042</v>
      </c>
      <c r="J313" t="s">
        <v>57</v>
      </c>
      <c r="K313">
        <v>1</v>
      </c>
      <c r="L313">
        <v>1</v>
      </c>
      <c r="N313">
        <v>999</v>
      </c>
      <c r="O313">
        <v>999</v>
      </c>
      <c r="Q313">
        <v>16</v>
      </c>
    </row>
    <row r="314" spans="1:17" x14ac:dyDescent="0.2">
      <c r="A314" t="e">
        <v>#REF!</v>
      </c>
      <c r="B314">
        <v>253</v>
      </c>
      <c r="C314" t="e">
        <v>#REF!</v>
      </c>
      <c r="D314">
        <v>300</v>
      </c>
      <c r="E314">
        <v>10001</v>
      </c>
      <c r="F314" t="s">
        <v>1043</v>
      </c>
      <c r="G314" t="s">
        <v>1044</v>
      </c>
      <c r="H314" t="s">
        <v>82</v>
      </c>
      <c r="I314" t="s">
        <v>1045</v>
      </c>
      <c r="J314" t="s">
        <v>38</v>
      </c>
      <c r="K314">
        <v>1</v>
      </c>
      <c r="L314">
        <v>1</v>
      </c>
      <c r="N314">
        <v>999</v>
      </c>
      <c r="O314">
        <v>999</v>
      </c>
      <c r="Q314">
        <v>32</v>
      </c>
    </row>
    <row r="315" spans="1:17" x14ac:dyDescent="0.2">
      <c r="A315" t="e">
        <v>#REF!</v>
      </c>
      <c r="B315">
        <v>253</v>
      </c>
      <c r="C315" t="e">
        <v>#REF!</v>
      </c>
      <c r="D315">
        <v>300</v>
      </c>
      <c r="E315">
        <v>10002</v>
      </c>
      <c r="F315" t="s">
        <v>1046</v>
      </c>
      <c r="G315" t="s">
        <v>1047</v>
      </c>
      <c r="H315" t="s">
        <v>82</v>
      </c>
      <c r="I315" t="s">
        <v>1048</v>
      </c>
      <c r="J315" t="s">
        <v>38</v>
      </c>
      <c r="K315">
        <v>1</v>
      </c>
      <c r="L315">
        <v>1</v>
      </c>
      <c r="N315">
        <v>999</v>
      </c>
      <c r="O315">
        <v>999</v>
      </c>
      <c r="Q315">
        <v>32</v>
      </c>
    </row>
    <row r="316" spans="1:17" x14ac:dyDescent="0.2">
      <c r="A316" t="e">
        <v>#REF!</v>
      </c>
      <c r="B316">
        <v>253</v>
      </c>
      <c r="C316" t="e">
        <v>#REF!</v>
      </c>
      <c r="D316">
        <v>300</v>
      </c>
      <c r="E316">
        <v>10003</v>
      </c>
      <c r="F316" t="s">
        <v>1049</v>
      </c>
      <c r="G316" t="s">
        <v>1050</v>
      </c>
      <c r="I316" t="s">
        <v>1051</v>
      </c>
      <c r="J316" t="s">
        <v>38</v>
      </c>
      <c r="K316">
        <v>1</v>
      </c>
      <c r="L316">
        <v>1</v>
      </c>
      <c r="N316">
        <v>999</v>
      </c>
      <c r="O316">
        <v>999</v>
      </c>
      <c r="Q316">
        <v>16</v>
      </c>
    </row>
    <row r="317" spans="1:17" x14ac:dyDescent="0.2">
      <c r="A317" t="e">
        <v>#REF!</v>
      </c>
      <c r="B317">
        <v>252</v>
      </c>
      <c r="C317" t="e">
        <v>#REF!</v>
      </c>
      <c r="D317">
        <v>300</v>
      </c>
      <c r="E317">
        <v>10001</v>
      </c>
      <c r="F317" t="s">
        <v>1052</v>
      </c>
      <c r="G317" t="s">
        <v>1053</v>
      </c>
      <c r="H317" t="s">
        <v>82</v>
      </c>
      <c r="I317" t="s">
        <v>1054</v>
      </c>
      <c r="J317" t="s">
        <v>37</v>
      </c>
      <c r="K317">
        <v>1</v>
      </c>
      <c r="L317">
        <v>1</v>
      </c>
      <c r="N317">
        <v>999</v>
      </c>
      <c r="O317">
        <v>999</v>
      </c>
      <c r="Q317">
        <v>16</v>
      </c>
    </row>
    <row r="318" spans="1:17" x14ac:dyDescent="0.2">
      <c r="A318" t="e">
        <v>#REF!</v>
      </c>
      <c r="B318">
        <v>252</v>
      </c>
      <c r="C318" t="e">
        <v>#REF!</v>
      </c>
      <c r="D318">
        <v>300</v>
      </c>
      <c r="E318">
        <v>10002</v>
      </c>
      <c r="F318" t="s">
        <v>1055</v>
      </c>
      <c r="G318" t="s">
        <v>1056</v>
      </c>
      <c r="H318" t="s">
        <v>82</v>
      </c>
      <c r="I318" t="s">
        <v>1057</v>
      </c>
      <c r="J318" t="s">
        <v>37</v>
      </c>
      <c r="K318">
        <v>1</v>
      </c>
      <c r="L318">
        <v>1</v>
      </c>
      <c r="N318">
        <v>999</v>
      </c>
      <c r="O318">
        <v>999</v>
      </c>
      <c r="Q318">
        <v>195</v>
      </c>
    </row>
    <row r="319" spans="1:17" x14ac:dyDescent="0.2">
      <c r="A319" t="e">
        <v>#REF!</v>
      </c>
      <c r="B319">
        <v>252</v>
      </c>
      <c r="C319" t="e">
        <v>#REF!</v>
      </c>
      <c r="D319">
        <v>300</v>
      </c>
      <c r="E319">
        <v>10003</v>
      </c>
      <c r="F319" t="s">
        <v>1058</v>
      </c>
      <c r="G319" t="s">
        <v>1059</v>
      </c>
      <c r="H319" t="s">
        <v>82</v>
      </c>
      <c r="I319" t="s">
        <v>1060</v>
      </c>
      <c r="J319" t="s">
        <v>37</v>
      </c>
      <c r="K319">
        <v>1</v>
      </c>
      <c r="L319">
        <v>1</v>
      </c>
      <c r="N319">
        <v>999</v>
      </c>
      <c r="O319">
        <v>999</v>
      </c>
      <c r="Q319">
        <v>32</v>
      </c>
    </row>
    <row r="320" spans="1:17" x14ac:dyDescent="0.2">
      <c r="A320" t="e">
        <v>#REF!</v>
      </c>
      <c r="B320">
        <v>252</v>
      </c>
      <c r="C320" t="e">
        <v>#REF!</v>
      </c>
      <c r="D320">
        <v>300</v>
      </c>
      <c r="E320">
        <v>10004</v>
      </c>
      <c r="F320" t="s">
        <v>1061</v>
      </c>
      <c r="G320" t="s">
        <v>1062</v>
      </c>
      <c r="H320" t="s">
        <v>82</v>
      </c>
      <c r="I320" t="s">
        <v>1063</v>
      </c>
      <c r="J320" t="s">
        <v>37</v>
      </c>
      <c r="K320">
        <v>1</v>
      </c>
      <c r="L320">
        <v>1</v>
      </c>
      <c r="N320">
        <v>999</v>
      </c>
      <c r="O320">
        <v>999</v>
      </c>
      <c r="Q320">
        <v>256</v>
      </c>
    </row>
    <row r="321" spans="1:17" x14ac:dyDescent="0.2">
      <c r="A321" t="e">
        <v>#REF!</v>
      </c>
      <c r="B321">
        <v>252</v>
      </c>
      <c r="C321" t="e">
        <v>#REF!</v>
      </c>
      <c r="D321">
        <v>300</v>
      </c>
      <c r="E321">
        <v>10005</v>
      </c>
      <c r="F321" t="s">
        <v>1064</v>
      </c>
      <c r="G321" t="s">
        <v>1065</v>
      </c>
      <c r="H321" t="s">
        <v>82</v>
      </c>
      <c r="I321" t="s">
        <v>1066</v>
      </c>
      <c r="J321" t="s">
        <v>37</v>
      </c>
      <c r="K321">
        <v>1</v>
      </c>
      <c r="L321">
        <v>1</v>
      </c>
      <c r="N321">
        <v>999</v>
      </c>
      <c r="O321">
        <v>999</v>
      </c>
      <c r="Q321">
        <v>32</v>
      </c>
    </row>
    <row r="322" spans="1:17" x14ac:dyDescent="0.2">
      <c r="A322" t="e">
        <v>#REF!</v>
      </c>
      <c r="B322">
        <v>252</v>
      </c>
      <c r="C322" t="e">
        <v>#REF!</v>
      </c>
      <c r="D322">
        <v>300</v>
      </c>
      <c r="E322">
        <v>10006</v>
      </c>
      <c r="F322" t="s">
        <v>1067</v>
      </c>
      <c r="G322" t="s">
        <v>1068</v>
      </c>
      <c r="H322" t="s">
        <v>82</v>
      </c>
      <c r="I322" t="s">
        <v>1069</v>
      </c>
      <c r="J322" t="s">
        <v>37</v>
      </c>
      <c r="K322">
        <v>1</v>
      </c>
      <c r="L322">
        <v>1</v>
      </c>
      <c r="N322">
        <v>999</v>
      </c>
      <c r="O322">
        <v>999</v>
      </c>
      <c r="Q322">
        <v>32</v>
      </c>
    </row>
    <row r="323" spans="1:17" x14ac:dyDescent="0.2">
      <c r="A323" t="e">
        <v>#REF!</v>
      </c>
      <c r="B323">
        <v>252</v>
      </c>
      <c r="C323" t="e">
        <v>#REF!</v>
      </c>
      <c r="D323">
        <v>300</v>
      </c>
      <c r="E323">
        <v>10007</v>
      </c>
      <c r="F323" t="s">
        <v>1070</v>
      </c>
      <c r="G323" t="s">
        <v>1071</v>
      </c>
      <c r="H323" t="s">
        <v>82</v>
      </c>
      <c r="J323" t="s">
        <v>37</v>
      </c>
      <c r="K323">
        <v>1</v>
      </c>
      <c r="L323">
        <v>1</v>
      </c>
      <c r="N323">
        <v>999</v>
      </c>
    </row>
    <row r="324" spans="1:17" x14ac:dyDescent="0.2">
      <c r="A324" t="e">
        <v>#REF!</v>
      </c>
      <c r="B324">
        <v>252</v>
      </c>
      <c r="C324" t="e">
        <v>#REF!</v>
      </c>
      <c r="D324">
        <v>300</v>
      </c>
      <c r="E324">
        <v>10008</v>
      </c>
      <c r="F324" t="s">
        <v>1072</v>
      </c>
      <c r="G324" t="s">
        <v>1073</v>
      </c>
      <c r="H324" t="s">
        <v>82</v>
      </c>
      <c r="I324" t="s">
        <v>1074</v>
      </c>
      <c r="J324" t="s">
        <v>37</v>
      </c>
      <c r="K324">
        <v>1</v>
      </c>
      <c r="L324">
        <v>1</v>
      </c>
      <c r="N324">
        <v>999</v>
      </c>
      <c r="O324">
        <v>999</v>
      </c>
      <c r="Q324">
        <v>16</v>
      </c>
    </row>
    <row r="325" spans="1:17" x14ac:dyDescent="0.2">
      <c r="A325" t="e">
        <v>#REF!</v>
      </c>
      <c r="B325">
        <v>252</v>
      </c>
      <c r="C325" t="e">
        <v>#REF!</v>
      </c>
      <c r="D325">
        <v>300</v>
      </c>
      <c r="E325">
        <v>10009</v>
      </c>
      <c r="F325" t="s">
        <v>1075</v>
      </c>
      <c r="G325" t="s">
        <v>1076</v>
      </c>
      <c r="H325" t="s">
        <v>82</v>
      </c>
      <c r="I325" t="s">
        <v>1077</v>
      </c>
      <c r="J325" t="s">
        <v>37</v>
      </c>
      <c r="K325">
        <v>1</v>
      </c>
      <c r="L325">
        <v>1</v>
      </c>
      <c r="N325">
        <v>999</v>
      </c>
      <c r="O325">
        <v>999</v>
      </c>
      <c r="Q325">
        <v>32</v>
      </c>
    </row>
    <row r="326" spans="1:17" x14ac:dyDescent="0.2">
      <c r="A326" t="e">
        <v>#REF!</v>
      </c>
      <c r="B326">
        <v>252</v>
      </c>
      <c r="C326" t="e">
        <v>#REF!</v>
      </c>
      <c r="D326">
        <v>300</v>
      </c>
      <c r="E326">
        <v>10010</v>
      </c>
      <c r="F326" t="s">
        <v>1078</v>
      </c>
      <c r="G326" t="s">
        <v>1079</v>
      </c>
      <c r="H326" t="s">
        <v>82</v>
      </c>
      <c r="I326" t="s">
        <v>1080</v>
      </c>
      <c r="J326" t="s">
        <v>37</v>
      </c>
      <c r="K326">
        <v>1</v>
      </c>
      <c r="L326">
        <v>1</v>
      </c>
      <c r="N326">
        <v>999</v>
      </c>
      <c r="O326">
        <v>999</v>
      </c>
      <c r="Q326">
        <v>48</v>
      </c>
    </row>
    <row r="327" spans="1:17" x14ac:dyDescent="0.2">
      <c r="A327" t="e">
        <v>#REF!</v>
      </c>
      <c r="B327">
        <v>252</v>
      </c>
      <c r="C327" t="e">
        <v>#REF!</v>
      </c>
      <c r="D327">
        <v>300</v>
      </c>
      <c r="E327">
        <v>10011</v>
      </c>
      <c r="F327" t="s">
        <v>1081</v>
      </c>
      <c r="G327" t="s">
        <v>1082</v>
      </c>
      <c r="H327" t="s">
        <v>82</v>
      </c>
      <c r="I327" t="s">
        <v>1083</v>
      </c>
      <c r="J327" t="s">
        <v>37</v>
      </c>
      <c r="K327">
        <v>1</v>
      </c>
      <c r="L327">
        <v>1</v>
      </c>
      <c r="N327">
        <v>999</v>
      </c>
      <c r="O327">
        <v>999</v>
      </c>
      <c r="Q327">
        <v>32</v>
      </c>
    </row>
    <row r="328" spans="1:17" x14ac:dyDescent="0.2">
      <c r="A328" t="e">
        <v>#REF!</v>
      </c>
      <c r="B328">
        <v>252</v>
      </c>
      <c r="C328" t="e">
        <v>#REF!</v>
      </c>
      <c r="D328">
        <v>300</v>
      </c>
      <c r="E328">
        <v>10012</v>
      </c>
      <c r="F328" t="s">
        <v>1084</v>
      </c>
      <c r="G328" t="s">
        <v>1085</v>
      </c>
      <c r="H328" t="s">
        <v>82</v>
      </c>
      <c r="I328" t="s">
        <v>1086</v>
      </c>
      <c r="J328" t="s">
        <v>37</v>
      </c>
      <c r="K328">
        <v>1</v>
      </c>
      <c r="L328">
        <v>1</v>
      </c>
      <c r="N328">
        <v>999</v>
      </c>
      <c r="O328">
        <v>999</v>
      </c>
      <c r="Q328">
        <v>32</v>
      </c>
    </row>
    <row r="329" spans="1:17" x14ac:dyDescent="0.2">
      <c r="A329" t="e">
        <v>#REF!</v>
      </c>
      <c r="B329">
        <v>252</v>
      </c>
      <c r="C329" t="e">
        <v>#REF!</v>
      </c>
      <c r="D329">
        <v>300</v>
      </c>
      <c r="E329">
        <v>10013</v>
      </c>
      <c r="F329" t="s">
        <v>1087</v>
      </c>
      <c r="G329" t="s">
        <v>1088</v>
      </c>
      <c r="H329" t="s">
        <v>82</v>
      </c>
      <c r="J329" t="s">
        <v>37</v>
      </c>
      <c r="K329">
        <v>1</v>
      </c>
      <c r="L329">
        <v>1</v>
      </c>
      <c r="N329">
        <v>999</v>
      </c>
    </row>
    <row r="330" spans="1:17" x14ac:dyDescent="0.2">
      <c r="A330" t="e">
        <v>#REF!</v>
      </c>
      <c r="B330">
        <v>252</v>
      </c>
      <c r="C330" t="e">
        <v>#REF!</v>
      </c>
      <c r="D330">
        <v>300</v>
      </c>
      <c r="E330">
        <v>10014</v>
      </c>
      <c r="F330" t="s">
        <v>1089</v>
      </c>
      <c r="G330" t="s">
        <v>1090</v>
      </c>
      <c r="H330" t="s">
        <v>82</v>
      </c>
      <c r="I330" t="s">
        <v>1091</v>
      </c>
      <c r="J330" t="s">
        <v>37</v>
      </c>
      <c r="K330">
        <v>1</v>
      </c>
      <c r="L330">
        <v>1</v>
      </c>
      <c r="N330">
        <v>999</v>
      </c>
      <c r="O330">
        <v>999</v>
      </c>
      <c r="Q330">
        <v>32</v>
      </c>
    </row>
    <row r="331" spans="1:17" x14ac:dyDescent="0.2">
      <c r="A331" t="e">
        <v>#REF!</v>
      </c>
      <c r="B331">
        <v>252</v>
      </c>
      <c r="C331" t="e">
        <v>#REF!</v>
      </c>
      <c r="D331">
        <v>300</v>
      </c>
      <c r="E331">
        <v>10015</v>
      </c>
      <c r="F331" t="s">
        <v>1092</v>
      </c>
      <c r="G331" t="s">
        <v>1093</v>
      </c>
      <c r="H331" t="s">
        <v>82</v>
      </c>
      <c r="I331" t="s">
        <v>1094</v>
      </c>
      <c r="J331" t="s">
        <v>37</v>
      </c>
      <c r="K331">
        <v>1</v>
      </c>
      <c r="L331">
        <v>1</v>
      </c>
      <c r="N331">
        <v>999</v>
      </c>
      <c r="O331">
        <v>999</v>
      </c>
      <c r="Q331">
        <v>32</v>
      </c>
    </row>
    <row r="332" spans="1:17" x14ac:dyDescent="0.2">
      <c r="A332" t="e">
        <v>#REF!</v>
      </c>
      <c r="B332">
        <v>252</v>
      </c>
      <c r="C332" t="e">
        <v>#REF!</v>
      </c>
      <c r="D332">
        <v>300</v>
      </c>
      <c r="E332">
        <v>10016</v>
      </c>
      <c r="F332" t="s">
        <v>1095</v>
      </c>
      <c r="G332" t="s">
        <v>1096</v>
      </c>
      <c r="H332" t="s">
        <v>82</v>
      </c>
      <c r="I332" t="s">
        <v>1097</v>
      </c>
      <c r="J332" t="s">
        <v>37</v>
      </c>
      <c r="K332">
        <v>1</v>
      </c>
      <c r="L332">
        <v>1</v>
      </c>
      <c r="N332">
        <v>999</v>
      </c>
      <c r="O332">
        <v>999</v>
      </c>
      <c r="Q332">
        <v>32</v>
      </c>
    </row>
    <row r="333" spans="1:17" x14ac:dyDescent="0.2">
      <c r="A333" t="e">
        <v>#REF!</v>
      </c>
      <c r="B333">
        <v>203</v>
      </c>
      <c r="C333" t="e">
        <v>#REF!</v>
      </c>
      <c r="D333">
        <v>300</v>
      </c>
      <c r="E333">
        <v>10001</v>
      </c>
      <c r="F333" t="s">
        <v>49</v>
      </c>
      <c r="G333" t="s">
        <v>1098</v>
      </c>
      <c r="I333" t="s">
        <v>1099</v>
      </c>
      <c r="J333" t="s">
        <v>34</v>
      </c>
      <c r="K333">
        <v>1</v>
      </c>
      <c r="L333">
        <v>1</v>
      </c>
      <c r="N333">
        <v>999</v>
      </c>
      <c r="O333">
        <v>999</v>
      </c>
      <c r="Q333">
        <v>16</v>
      </c>
    </row>
    <row r="334" spans="1:17" x14ac:dyDescent="0.2">
      <c r="A334" t="e">
        <v>#REF!</v>
      </c>
      <c r="B334">
        <v>203</v>
      </c>
      <c r="C334" t="e">
        <v>#REF!</v>
      </c>
      <c r="D334">
        <v>300</v>
      </c>
      <c r="E334">
        <v>10002</v>
      </c>
      <c r="F334" t="s">
        <v>1100</v>
      </c>
      <c r="G334" t="s">
        <v>1101</v>
      </c>
      <c r="I334" t="s">
        <v>1102</v>
      </c>
      <c r="J334" t="s">
        <v>34</v>
      </c>
      <c r="K334">
        <v>1</v>
      </c>
      <c r="L334">
        <v>1</v>
      </c>
      <c r="N334">
        <v>999</v>
      </c>
      <c r="O334">
        <v>999</v>
      </c>
      <c r="Q334">
        <v>32</v>
      </c>
    </row>
    <row r="335" spans="1:17" x14ac:dyDescent="0.2">
      <c r="A335" t="e">
        <v>#REF!</v>
      </c>
      <c r="B335">
        <v>203</v>
      </c>
      <c r="C335" t="e">
        <v>#REF!</v>
      </c>
      <c r="D335">
        <v>300</v>
      </c>
      <c r="E335">
        <v>10003</v>
      </c>
      <c r="F335" t="s">
        <v>1103</v>
      </c>
      <c r="G335" t="s">
        <v>1104</v>
      </c>
      <c r="I335" t="s">
        <v>1105</v>
      </c>
      <c r="J335" t="s">
        <v>34</v>
      </c>
      <c r="K335">
        <v>1</v>
      </c>
      <c r="L335">
        <v>1</v>
      </c>
      <c r="N335">
        <v>999</v>
      </c>
      <c r="O335">
        <v>999</v>
      </c>
      <c r="Q335">
        <v>48</v>
      </c>
    </row>
    <row r="336" spans="1:17" x14ac:dyDescent="0.2">
      <c r="A336" t="e">
        <v>#REF!</v>
      </c>
      <c r="B336">
        <v>204</v>
      </c>
      <c r="C336" t="e">
        <v>#REF!</v>
      </c>
      <c r="D336">
        <v>300</v>
      </c>
      <c r="E336">
        <v>10001</v>
      </c>
      <c r="F336" t="s">
        <v>1106</v>
      </c>
      <c r="G336" t="s">
        <v>1107</v>
      </c>
      <c r="I336" t="s">
        <v>1108</v>
      </c>
      <c r="J336" t="s">
        <v>35</v>
      </c>
      <c r="K336">
        <v>1</v>
      </c>
      <c r="L336">
        <v>1</v>
      </c>
      <c r="N336">
        <v>999</v>
      </c>
      <c r="O336">
        <v>999</v>
      </c>
      <c r="Q336">
        <v>32</v>
      </c>
    </row>
    <row r="337" spans="1:17" x14ac:dyDescent="0.2">
      <c r="A337" t="e">
        <v>#REF!</v>
      </c>
      <c r="B337">
        <v>204</v>
      </c>
      <c r="C337" t="e">
        <v>#REF!</v>
      </c>
      <c r="D337">
        <v>300</v>
      </c>
      <c r="E337">
        <v>10002</v>
      </c>
      <c r="F337" t="s">
        <v>1109</v>
      </c>
      <c r="G337" t="s">
        <v>1110</v>
      </c>
      <c r="I337" t="s">
        <v>1111</v>
      </c>
      <c r="J337" t="s">
        <v>35</v>
      </c>
      <c r="K337">
        <v>1</v>
      </c>
      <c r="L337">
        <v>1</v>
      </c>
      <c r="N337">
        <v>999</v>
      </c>
      <c r="O337">
        <v>999</v>
      </c>
      <c r="Q337">
        <v>32</v>
      </c>
    </row>
    <row r="338" spans="1:17" x14ac:dyDescent="0.2">
      <c r="A338" t="e">
        <v>#REF!</v>
      </c>
      <c r="B338">
        <v>204</v>
      </c>
      <c r="C338" t="e">
        <v>#REF!</v>
      </c>
      <c r="D338">
        <v>300</v>
      </c>
      <c r="E338">
        <v>10003</v>
      </c>
      <c r="F338" t="s">
        <v>1112</v>
      </c>
      <c r="G338" t="s">
        <v>1113</v>
      </c>
      <c r="I338" t="s">
        <v>1114</v>
      </c>
      <c r="J338" t="s">
        <v>35</v>
      </c>
      <c r="K338">
        <v>1</v>
      </c>
      <c r="L338">
        <v>1</v>
      </c>
      <c r="N338">
        <v>999</v>
      </c>
      <c r="O338">
        <v>999</v>
      </c>
      <c r="Q338">
        <v>16</v>
      </c>
    </row>
    <row r="339" spans="1:17" x14ac:dyDescent="0.2">
      <c r="A339" t="e">
        <v>#REF!</v>
      </c>
      <c r="B339">
        <v>601</v>
      </c>
      <c r="C339" t="e">
        <v>#REF!</v>
      </c>
      <c r="D339">
        <v>300</v>
      </c>
      <c r="E339">
        <v>10001</v>
      </c>
      <c r="F339" t="s">
        <v>1115</v>
      </c>
      <c r="G339" t="s">
        <v>1116</v>
      </c>
      <c r="H339" t="s">
        <v>1117</v>
      </c>
      <c r="I339" t="s">
        <v>1118</v>
      </c>
      <c r="J339" t="s">
        <v>42</v>
      </c>
      <c r="K339">
        <v>1</v>
      </c>
      <c r="L339">
        <v>1</v>
      </c>
      <c r="N339">
        <v>999</v>
      </c>
      <c r="O339">
        <v>999</v>
      </c>
      <c r="Q339">
        <v>152</v>
      </c>
    </row>
    <row r="340" spans="1:17" x14ac:dyDescent="0.2">
      <c r="A340" t="e">
        <v>#REF!</v>
      </c>
      <c r="B340">
        <v>601</v>
      </c>
      <c r="C340" t="e">
        <v>#REF!</v>
      </c>
      <c r="D340">
        <v>300</v>
      </c>
      <c r="E340">
        <v>10002</v>
      </c>
      <c r="F340" t="s">
        <v>1119</v>
      </c>
      <c r="G340" t="s">
        <v>1120</v>
      </c>
      <c r="H340" t="s">
        <v>1121</v>
      </c>
      <c r="J340" t="s">
        <v>42</v>
      </c>
      <c r="K340">
        <v>1</v>
      </c>
      <c r="L340">
        <v>1</v>
      </c>
      <c r="N340">
        <v>999</v>
      </c>
    </row>
    <row r="341" spans="1:17" x14ac:dyDescent="0.2">
      <c r="A341" t="e">
        <v>#REF!</v>
      </c>
      <c r="B341">
        <v>601</v>
      </c>
      <c r="C341" t="e">
        <v>#REF!</v>
      </c>
      <c r="D341">
        <v>300</v>
      </c>
      <c r="E341">
        <v>10003</v>
      </c>
      <c r="F341" t="s">
        <v>1122</v>
      </c>
      <c r="G341" t="s">
        <v>1123</v>
      </c>
      <c r="J341" t="s">
        <v>42</v>
      </c>
      <c r="K341">
        <v>1</v>
      </c>
      <c r="L341">
        <v>1</v>
      </c>
      <c r="N341">
        <v>999</v>
      </c>
    </row>
    <row r="342" spans="1:17" x14ac:dyDescent="0.2">
      <c r="A342" t="e">
        <v>#REF!</v>
      </c>
      <c r="B342">
        <v>601</v>
      </c>
      <c r="C342" t="e">
        <v>#REF!</v>
      </c>
      <c r="D342">
        <v>300</v>
      </c>
      <c r="E342">
        <v>10004</v>
      </c>
      <c r="F342" t="s">
        <v>1124</v>
      </c>
      <c r="G342" t="s">
        <v>1125</v>
      </c>
      <c r="J342" t="s">
        <v>42</v>
      </c>
      <c r="K342">
        <v>1</v>
      </c>
      <c r="L342">
        <v>1</v>
      </c>
      <c r="N342">
        <v>999</v>
      </c>
    </row>
    <row r="343" spans="1:17" x14ac:dyDescent="0.2">
      <c r="A343" t="e">
        <v>#REF!</v>
      </c>
      <c r="B343">
        <v>601</v>
      </c>
      <c r="C343" t="e">
        <v>#REF!</v>
      </c>
      <c r="D343">
        <v>300</v>
      </c>
      <c r="E343">
        <v>10005</v>
      </c>
      <c r="F343" t="s">
        <v>1126</v>
      </c>
      <c r="G343" t="s">
        <v>1127</v>
      </c>
      <c r="J343" t="s">
        <v>42</v>
      </c>
      <c r="K343">
        <v>1</v>
      </c>
      <c r="L343">
        <v>1</v>
      </c>
      <c r="N343">
        <v>999</v>
      </c>
    </row>
    <row r="344" spans="1:17" x14ac:dyDescent="0.2">
      <c r="A344" t="e">
        <v>#REF!</v>
      </c>
      <c r="B344">
        <v>601</v>
      </c>
      <c r="C344" t="e">
        <v>#REF!</v>
      </c>
      <c r="D344">
        <v>300</v>
      </c>
      <c r="E344">
        <v>10006</v>
      </c>
      <c r="F344" t="s">
        <v>1128</v>
      </c>
      <c r="G344" t="s">
        <v>1129</v>
      </c>
      <c r="J344" t="s">
        <v>42</v>
      </c>
      <c r="K344">
        <v>1</v>
      </c>
      <c r="L344">
        <v>1</v>
      </c>
      <c r="N344">
        <v>999</v>
      </c>
    </row>
    <row r="345" spans="1:17" x14ac:dyDescent="0.2">
      <c r="A345" t="e">
        <v>#REF!</v>
      </c>
      <c r="B345">
        <v>601</v>
      </c>
      <c r="C345" t="e">
        <v>#REF!</v>
      </c>
      <c r="D345">
        <v>300</v>
      </c>
      <c r="E345">
        <v>10007</v>
      </c>
      <c r="F345" t="s">
        <v>1130</v>
      </c>
      <c r="G345" t="s">
        <v>1131</v>
      </c>
      <c r="J345" t="s">
        <v>42</v>
      </c>
      <c r="K345">
        <v>1</v>
      </c>
      <c r="L345">
        <v>1</v>
      </c>
      <c r="N345">
        <v>999</v>
      </c>
    </row>
    <row r="346" spans="1:17" x14ac:dyDescent="0.2">
      <c r="A346" t="e">
        <v>#REF!</v>
      </c>
      <c r="B346">
        <v>601</v>
      </c>
      <c r="C346" t="e">
        <v>#REF!</v>
      </c>
      <c r="D346">
        <v>300</v>
      </c>
      <c r="E346">
        <v>10008</v>
      </c>
      <c r="F346" t="s">
        <v>1132</v>
      </c>
      <c r="G346" t="s">
        <v>1133</v>
      </c>
      <c r="J346" t="s">
        <v>42</v>
      </c>
      <c r="K346">
        <v>1</v>
      </c>
      <c r="L346">
        <v>1</v>
      </c>
      <c r="N346">
        <v>999</v>
      </c>
    </row>
    <row r="347" spans="1:17" x14ac:dyDescent="0.2">
      <c r="A347" t="e">
        <v>#REF!</v>
      </c>
      <c r="B347">
        <v>601</v>
      </c>
      <c r="C347" t="e">
        <v>#REF!</v>
      </c>
      <c r="D347">
        <v>300</v>
      </c>
      <c r="E347">
        <v>10009</v>
      </c>
      <c r="F347" t="s">
        <v>1134</v>
      </c>
      <c r="G347" t="s">
        <v>1135</v>
      </c>
      <c r="J347" t="s">
        <v>42</v>
      </c>
      <c r="K347">
        <v>1</v>
      </c>
      <c r="L347">
        <v>1</v>
      </c>
      <c r="N347">
        <v>999</v>
      </c>
    </row>
    <row r="348" spans="1:17" x14ac:dyDescent="0.2">
      <c r="A348" t="e">
        <v>#REF!</v>
      </c>
      <c r="B348">
        <v>601</v>
      </c>
      <c r="C348" t="e">
        <v>#REF!</v>
      </c>
      <c r="D348">
        <v>300</v>
      </c>
      <c r="E348">
        <v>10010</v>
      </c>
      <c r="F348" t="s">
        <v>1136</v>
      </c>
      <c r="G348" t="s">
        <v>1137</v>
      </c>
      <c r="J348" t="s">
        <v>42</v>
      </c>
      <c r="K348">
        <v>1</v>
      </c>
      <c r="L348">
        <v>1</v>
      </c>
      <c r="N348">
        <v>999</v>
      </c>
    </row>
    <row r="349" spans="1:17" x14ac:dyDescent="0.2">
      <c r="A349" t="e">
        <v>#REF!</v>
      </c>
      <c r="B349">
        <v>601</v>
      </c>
      <c r="C349" t="e">
        <v>#REF!</v>
      </c>
      <c r="D349">
        <v>300</v>
      </c>
      <c r="E349">
        <v>10011</v>
      </c>
      <c r="F349" t="s">
        <v>1138</v>
      </c>
      <c r="G349" t="s">
        <v>1139</v>
      </c>
      <c r="J349" t="s">
        <v>42</v>
      </c>
      <c r="K349">
        <v>1</v>
      </c>
      <c r="L349">
        <v>1</v>
      </c>
      <c r="N349">
        <v>999</v>
      </c>
    </row>
    <row r="350" spans="1:17" x14ac:dyDescent="0.2">
      <c r="A350" t="e">
        <v>#REF!</v>
      </c>
      <c r="B350">
        <v>601</v>
      </c>
      <c r="C350" t="e">
        <v>#REF!</v>
      </c>
      <c r="D350">
        <v>300</v>
      </c>
      <c r="E350">
        <v>10012</v>
      </c>
      <c r="F350" t="s">
        <v>1140</v>
      </c>
      <c r="G350" t="s">
        <v>1141</v>
      </c>
      <c r="H350" t="s">
        <v>1142</v>
      </c>
      <c r="J350" t="s">
        <v>42</v>
      </c>
      <c r="K350">
        <v>1</v>
      </c>
      <c r="L350">
        <v>1</v>
      </c>
      <c r="N350">
        <v>999</v>
      </c>
    </row>
    <row r="351" spans="1:17" x14ac:dyDescent="0.2">
      <c r="A351" t="e">
        <v>#REF!</v>
      </c>
      <c r="B351">
        <v>601</v>
      </c>
      <c r="C351" t="e">
        <v>#REF!</v>
      </c>
      <c r="D351">
        <v>300</v>
      </c>
      <c r="E351">
        <v>10013</v>
      </c>
      <c r="F351" t="s">
        <v>1143</v>
      </c>
      <c r="G351" t="s">
        <v>1144</v>
      </c>
      <c r="J351" t="s">
        <v>42</v>
      </c>
      <c r="K351">
        <v>1</v>
      </c>
      <c r="L351">
        <v>1</v>
      </c>
      <c r="N351">
        <v>999</v>
      </c>
    </row>
    <row r="352" spans="1:17" x14ac:dyDescent="0.2">
      <c r="A352" t="e">
        <v>#REF!</v>
      </c>
      <c r="B352">
        <v>601</v>
      </c>
      <c r="C352" t="e">
        <v>#REF!</v>
      </c>
      <c r="D352">
        <v>300</v>
      </c>
      <c r="E352">
        <v>10014</v>
      </c>
      <c r="F352" t="s">
        <v>1145</v>
      </c>
      <c r="G352" t="s">
        <v>1146</v>
      </c>
      <c r="H352" t="s">
        <v>1147</v>
      </c>
      <c r="J352" t="s">
        <v>42</v>
      </c>
      <c r="K352">
        <v>1</v>
      </c>
      <c r="L352">
        <v>1</v>
      </c>
      <c r="N352">
        <v>999</v>
      </c>
    </row>
    <row r="353" spans="1:14" x14ac:dyDescent="0.2">
      <c r="A353" t="e">
        <v>#REF!</v>
      </c>
      <c r="B353">
        <v>601</v>
      </c>
      <c r="C353" t="e">
        <v>#REF!</v>
      </c>
      <c r="D353">
        <v>300</v>
      </c>
      <c r="E353">
        <v>10015</v>
      </c>
      <c r="F353" t="s">
        <v>1148</v>
      </c>
      <c r="G353" t="s">
        <v>1149</v>
      </c>
      <c r="H353" t="s">
        <v>1150</v>
      </c>
      <c r="J353" t="s">
        <v>42</v>
      </c>
      <c r="K353">
        <v>1</v>
      </c>
      <c r="L353">
        <v>1</v>
      </c>
      <c r="N353">
        <v>999</v>
      </c>
    </row>
    <row r="354" spans="1:14" x14ac:dyDescent="0.2">
      <c r="A354" t="e">
        <v>#REF!</v>
      </c>
      <c r="B354">
        <v>601</v>
      </c>
      <c r="C354" t="e">
        <v>#REF!</v>
      </c>
      <c r="D354">
        <v>300</v>
      </c>
      <c r="E354">
        <v>10016</v>
      </c>
      <c r="F354" t="s">
        <v>1151</v>
      </c>
      <c r="G354" t="s">
        <v>1152</v>
      </c>
      <c r="H354" t="s">
        <v>1153</v>
      </c>
      <c r="J354" t="s">
        <v>42</v>
      </c>
      <c r="K354">
        <v>1</v>
      </c>
      <c r="L354">
        <v>1</v>
      </c>
      <c r="N354">
        <v>999</v>
      </c>
    </row>
    <row r="355" spans="1:14" x14ac:dyDescent="0.2">
      <c r="A355" t="e">
        <v>#REF!</v>
      </c>
      <c r="B355">
        <v>601</v>
      </c>
      <c r="C355" t="e">
        <v>#REF!</v>
      </c>
      <c r="D355">
        <v>300</v>
      </c>
      <c r="E355">
        <v>10017</v>
      </c>
      <c r="F355" t="s">
        <v>1154</v>
      </c>
      <c r="G355" t="s">
        <v>1155</v>
      </c>
      <c r="H355" t="s">
        <v>1156</v>
      </c>
      <c r="J355" t="s">
        <v>42</v>
      </c>
      <c r="K355">
        <v>1</v>
      </c>
      <c r="L355">
        <v>1</v>
      </c>
      <c r="N355">
        <v>999</v>
      </c>
    </row>
    <row r="356" spans="1:14" x14ac:dyDescent="0.2">
      <c r="A356" t="e">
        <v>#REF!</v>
      </c>
      <c r="B356">
        <v>601</v>
      </c>
      <c r="C356" t="e">
        <v>#REF!</v>
      </c>
      <c r="D356">
        <v>300</v>
      </c>
      <c r="E356">
        <v>10018</v>
      </c>
      <c r="F356" t="s">
        <v>1157</v>
      </c>
      <c r="G356" t="s">
        <v>1158</v>
      </c>
      <c r="H356" t="s">
        <v>1159</v>
      </c>
      <c r="J356" t="s">
        <v>42</v>
      </c>
      <c r="K356">
        <v>1</v>
      </c>
      <c r="L356">
        <v>1</v>
      </c>
      <c r="N356">
        <v>999</v>
      </c>
    </row>
    <row r="357" spans="1:14" x14ac:dyDescent="0.2">
      <c r="A357" t="e">
        <v>#REF!</v>
      </c>
      <c r="B357">
        <v>601</v>
      </c>
      <c r="C357" t="e">
        <v>#REF!</v>
      </c>
      <c r="D357">
        <v>300</v>
      </c>
      <c r="E357">
        <v>10019</v>
      </c>
      <c r="F357" t="s">
        <v>1160</v>
      </c>
      <c r="G357" t="s">
        <v>1161</v>
      </c>
      <c r="J357" t="s">
        <v>42</v>
      </c>
      <c r="K357">
        <v>1</v>
      </c>
      <c r="L357">
        <v>1</v>
      </c>
      <c r="N357">
        <v>999</v>
      </c>
    </row>
    <row r="358" spans="1:14" x14ac:dyDescent="0.2">
      <c r="A358" t="e">
        <v>#REF!</v>
      </c>
      <c r="B358">
        <v>601</v>
      </c>
      <c r="C358" t="e">
        <v>#REF!</v>
      </c>
      <c r="D358">
        <v>300</v>
      </c>
      <c r="E358">
        <v>10020</v>
      </c>
      <c r="F358" t="s">
        <v>1162</v>
      </c>
      <c r="G358" t="s">
        <v>1163</v>
      </c>
      <c r="H358" t="s">
        <v>1164</v>
      </c>
      <c r="J358" t="s">
        <v>42</v>
      </c>
      <c r="K358">
        <v>1</v>
      </c>
      <c r="L358">
        <v>1</v>
      </c>
      <c r="N358">
        <v>999</v>
      </c>
    </row>
    <row r="359" spans="1:14" x14ac:dyDescent="0.2">
      <c r="A359" t="e">
        <v>#REF!</v>
      </c>
      <c r="B359">
        <v>601</v>
      </c>
      <c r="C359" t="e">
        <v>#REF!</v>
      </c>
      <c r="D359">
        <v>300</v>
      </c>
      <c r="E359">
        <v>10021</v>
      </c>
      <c r="F359" t="s">
        <v>1165</v>
      </c>
      <c r="G359" t="s">
        <v>1166</v>
      </c>
      <c r="H359" t="s">
        <v>1167</v>
      </c>
      <c r="J359" t="s">
        <v>42</v>
      </c>
      <c r="K359">
        <v>1</v>
      </c>
      <c r="L359">
        <v>1</v>
      </c>
      <c r="N359">
        <v>999</v>
      </c>
    </row>
    <row r="360" spans="1:14" x14ac:dyDescent="0.2">
      <c r="A360" t="e">
        <v>#REF!</v>
      </c>
      <c r="B360">
        <v>601</v>
      </c>
      <c r="C360" t="e">
        <v>#REF!</v>
      </c>
      <c r="D360">
        <v>300</v>
      </c>
      <c r="E360">
        <v>10022</v>
      </c>
      <c r="F360" t="s">
        <v>1168</v>
      </c>
      <c r="G360" t="s">
        <v>1169</v>
      </c>
      <c r="J360" t="s">
        <v>42</v>
      </c>
      <c r="K360" t="s">
        <v>1170</v>
      </c>
      <c r="L360">
        <v>1</v>
      </c>
      <c r="N360">
        <v>999</v>
      </c>
    </row>
    <row r="361" spans="1:14" x14ac:dyDescent="0.2">
      <c r="A361" t="e">
        <v>#REF!</v>
      </c>
      <c r="B361">
        <v>601</v>
      </c>
      <c r="C361" t="e">
        <v>#REF!</v>
      </c>
      <c r="D361">
        <v>300</v>
      </c>
      <c r="E361">
        <v>10023</v>
      </c>
      <c r="F361" t="s">
        <v>1171</v>
      </c>
      <c r="G361" t="s">
        <v>1172</v>
      </c>
      <c r="J361" t="s">
        <v>42</v>
      </c>
      <c r="K361" t="s">
        <v>1173</v>
      </c>
      <c r="L361">
        <v>1</v>
      </c>
      <c r="N361">
        <v>999</v>
      </c>
    </row>
    <row r="362" spans="1:14" x14ac:dyDescent="0.2">
      <c r="A362" t="e">
        <v>#REF!</v>
      </c>
      <c r="B362">
        <v>601</v>
      </c>
      <c r="C362" t="e">
        <v>#REF!</v>
      </c>
      <c r="D362">
        <v>300</v>
      </c>
      <c r="E362">
        <v>10024</v>
      </c>
      <c r="F362" t="s">
        <v>1174</v>
      </c>
      <c r="G362" t="s">
        <v>1175</v>
      </c>
      <c r="J362" t="s">
        <v>42</v>
      </c>
      <c r="K362" t="s">
        <v>1173</v>
      </c>
      <c r="L362">
        <v>1</v>
      </c>
      <c r="N362">
        <v>999</v>
      </c>
    </row>
    <row r="363" spans="1:14" x14ac:dyDescent="0.2">
      <c r="A363" t="e">
        <v>#REF!</v>
      </c>
      <c r="B363">
        <v>601</v>
      </c>
      <c r="C363" t="e">
        <v>#REF!</v>
      </c>
      <c r="D363">
        <v>300</v>
      </c>
      <c r="E363">
        <v>10025</v>
      </c>
      <c r="F363" t="s">
        <v>1176</v>
      </c>
      <c r="G363" t="s">
        <v>1177</v>
      </c>
      <c r="J363" t="s">
        <v>42</v>
      </c>
      <c r="K363" t="s">
        <v>1178</v>
      </c>
      <c r="L363">
        <v>1</v>
      </c>
      <c r="N363">
        <v>999</v>
      </c>
    </row>
    <row r="364" spans="1:14" x14ac:dyDescent="0.2">
      <c r="A364" t="e">
        <v>#REF!</v>
      </c>
      <c r="B364">
        <v>601</v>
      </c>
      <c r="C364" t="e">
        <v>#REF!</v>
      </c>
      <c r="D364">
        <v>300</v>
      </c>
      <c r="E364">
        <v>10026</v>
      </c>
      <c r="F364" t="s">
        <v>1179</v>
      </c>
      <c r="G364" t="s">
        <v>1180</v>
      </c>
      <c r="J364" t="s">
        <v>42</v>
      </c>
      <c r="K364" t="s">
        <v>1181</v>
      </c>
      <c r="L364">
        <v>1</v>
      </c>
      <c r="N364">
        <v>999</v>
      </c>
    </row>
    <row r="365" spans="1:14" x14ac:dyDescent="0.2">
      <c r="A365" t="e">
        <v>#REF!</v>
      </c>
      <c r="B365">
        <v>601</v>
      </c>
      <c r="C365" t="e">
        <v>#REF!</v>
      </c>
      <c r="D365">
        <v>300</v>
      </c>
      <c r="E365">
        <v>10027</v>
      </c>
      <c r="F365" t="s">
        <v>1182</v>
      </c>
      <c r="G365" t="s">
        <v>1183</v>
      </c>
      <c r="H365" t="s">
        <v>1184</v>
      </c>
      <c r="J365" t="s">
        <v>42</v>
      </c>
      <c r="K365" t="s">
        <v>1185</v>
      </c>
      <c r="L365">
        <v>1</v>
      </c>
      <c r="N365">
        <v>999</v>
      </c>
    </row>
    <row r="366" spans="1:14" x14ac:dyDescent="0.2">
      <c r="A366" t="e">
        <v>#REF!</v>
      </c>
      <c r="B366">
        <v>601</v>
      </c>
      <c r="C366" t="e">
        <v>#REF!</v>
      </c>
      <c r="D366">
        <v>300</v>
      </c>
      <c r="E366">
        <v>10028</v>
      </c>
      <c r="F366" t="s">
        <v>1186</v>
      </c>
      <c r="G366" t="s">
        <v>1187</v>
      </c>
      <c r="J366" t="s">
        <v>42</v>
      </c>
      <c r="K366" t="s">
        <v>1188</v>
      </c>
      <c r="L366">
        <v>1</v>
      </c>
      <c r="N366">
        <v>999</v>
      </c>
    </row>
    <row r="367" spans="1:14" x14ac:dyDescent="0.2">
      <c r="A367" t="e">
        <v>#REF!</v>
      </c>
      <c r="B367">
        <v>601</v>
      </c>
      <c r="C367" t="e">
        <v>#REF!</v>
      </c>
      <c r="D367">
        <v>300</v>
      </c>
      <c r="E367">
        <v>10029</v>
      </c>
      <c r="F367" t="s">
        <v>1189</v>
      </c>
      <c r="G367" t="s">
        <v>1190</v>
      </c>
      <c r="J367" t="s">
        <v>42</v>
      </c>
      <c r="K367" t="s">
        <v>1191</v>
      </c>
      <c r="L367">
        <v>1</v>
      </c>
      <c r="N367">
        <v>999</v>
      </c>
    </row>
    <row r="368" spans="1:14" x14ac:dyDescent="0.2">
      <c r="A368" t="e">
        <v>#REF!</v>
      </c>
      <c r="B368">
        <v>601</v>
      </c>
      <c r="C368" t="e">
        <v>#REF!</v>
      </c>
      <c r="D368">
        <v>300</v>
      </c>
      <c r="E368">
        <v>10030</v>
      </c>
      <c r="F368" t="s">
        <v>1192</v>
      </c>
      <c r="G368" t="s">
        <v>1193</v>
      </c>
      <c r="J368" t="s">
        <v>42</v>
      </c>
      <c r="K368" t="s">
        <v>1192</v>
      </c>
      <c r="L368">
        <v>1</v>
      </c>
      <c r="N368">
        <v>999</v>
      </c>
    </row>
    <row r="369" spans="1:14" x14ac:dyDescent="0.2">
      <c r="A369" t="e">
        <v>#REF!</v>
      </c>
      <c r="B369">
        <v>601</v>
      </c>
      <c r="C369" t="e">
        <v>#REF!</v>
      </c>
      <c r="D369">
        <v>300</v>
      </c>
      <c r="E369">
        <v>10031</v>
      </c>
      <c r="F369" t="s">
        <v>1194</v>
      </c>
      <c r="G369" t="s">
        <v>1195</v>
      </c>
      <c r="J369" t="s">
        <v>42</v>
      </c>
      <c r="K369" t="s">
        <v>1192</v>
      </c>
      <c r="L369">
        <v>1</v>
      </c>
      <c r="N369">
        <v>999</v>
      </c>
    </row>
    <row r="370" spans="1:14" x14ac:dyDescent="0.2">
      <c r="A370" t="e">
        <v>#REF!</v>
      </c>
      <c r="B370">
        <v>601</v>
      </c>
      <c r="C370" t="e">
        <v>#REF!</v>
      </c>
      <c r="D370">
        <v>300</v>
      </c>
      <c r="E370">
        <v>10032</v>
      </c>
      <c r="F370" t="s">
        <v>1196</v>
      </c>
      <c r="G370" t="s">
        <v>1197</v>
      </c>
      <c r="J370" t="s">
        <v>42</v>
      </c>
      <c r="K370" t="s">
        <v>1198</v>
      </c>
      <c r="L370">
        <v>1</v>
      </c>
      <c r="N370">
        <v>999</v>
      </c>
    </row>
    <row r="371" spans="1:14" x14ac:dyDescent="0.2">
      <c r="A371" t="e">
        <v>#REF!</v>
      </c>
      <c r="B371">
        <v>601</v>
      </c>
      <c r="C371" t="e">
        <v>#REF!</v>
      </c>
      <c r="D371">
        <v>300</v>
      </c>
      <c r="E371">
        <v>10033</v>
      </c>
      <c r="F371" t="s">
        <v>1199</v>
      </c>
      <c r="G371" t="s">
        <v>1200</v>
      </c>
      <c r="J371" t="s">
        <v>42</v>
      </c>
      <c r="K371" t="s">
        <v>1198</v>
      </c>
      <c r="L371">
        <v>1</v>
      </c>
      <c r="N371">
        <v>999</v>
      </c>
    </row>
    <row r="372" spans="1:14" x14ac:dyDescent="0.2">
      <c r="A372" t="e">
        <v>#REF!</v>
      </c>
      <c r="B372">
        <v>601</v>
      </c>
      <c r="C372" t="e">
        <v>#REF!</v>
      </c>
      <c r="D372">
        <v>300</v>
      </c>
      <c r="E372">
        <v>10034</v>
      </c>
      <c r="F372" t="s">
        <v>1201</v>
      </c>
      <c r="G372" t="s">
        <v>1202</v>
      </c>
      <c r="J372" t="s">
        <v>42</v>
      </c>
      <c r="K372" t="s">
        <v>1203</v>
      </c>
      <c r="L372">
        <v>1</v>
      </c>
      <c r="N372">
        <v>999</v>
      </c>
    </row>
    <row r="373" spans="1:14" x14ac:dyDescent="0.2">
      <c r="A373" t="e">
        <v>#REF!</v>
      </c>
      <c r="B373">
        <v>601</v>
      </c>
      <c r="C373" t="e">
        <v>#REF!</v>
      </c>
      <c r="D373">
        <v>300</v>
      </c>
      <c r="E373">
        <v>10035</v>
      </c>
      <c r="F373" t="s">
        <v>1204</v>
      </c>
      <c r="G373" t="s">
        <v>1205</v>
      </c>
      <c r="J373" t="s">
        <v>42</v>
      </c>
      <c r="K373" t="s">
        <v>1206</v>
      </c>
      <c r="L373">
        <v>1</v>
      </c>
      <c r="N373">
        <v>999</v>
      </c>
    </row>
    <row r="374" spans="1:14" x14ac:dyDescent="0.2">
      <c r="A374" t="e">
        <v>#REF!</v>
      </c>
      <c r="B374">
        <v>601</v>
      </c>
      <c r="C374" t="e">
        <v>#REF!</v>
      </c>
      <c r="D374">
        <v>300</v>
      </c>
      <c r="E374">
        <v>10036</v>
      </c>
      <c r="F374" t="s">
        <v>1207</v>
      </c>
      <c r="G374" t="s">
        <v>1208</v>
      </c>
      <c r="J374" t="s">
        <v>42</v>
      </c>
      <c r="K374" t="s">
        <v>1209</v>
      </c>
      <c r="L374">
        <v>1</v>
      </c>
      <c r="N374">
        <v>999</v>
      </c>
    </row>
    <row r="375" spans="1:14" x14ac:dyDescent="0.2">
      <c r="A375" t="e">
        <v>#REF!</v>
      </c>
      <c r="B375">
        <v>601</v>
      </c>
      <c r="C375" t="e">
        <v>#REF!</v>
      </c>
      <c r="D375">
        <v>300</v>
      </c>
      <c r="E375">
        <v>10037</v>
      </c>
      <c r="F375" t="s">
        <v>1210</v>
      </c>
      <c r="G375" t="s">
        <v>1211</v>
      </c>
      <c r="J375" t="s">
        <v>42</v>
      </c>
      <c r="K375" t="s">
        <v>1212</v>
      </c>
      <c r="L375">
        <v>1</v>
      </c>
      <c r="N375">
        <v>999</v>
      </c>
    </row>
    <row r="376" spans="1:14" x14ac:dyDescent="0.2">
      <c r="A376" t="e">
        <v>#REF!</v>
      </c>
      <c r="B376">
        <v>601</v>
      </c>
      <c r="C376" t="e">
        <v>#REF!</v>
      </c>
      <c r="D376">
        <v>300</v>
      </c>
      <c r="E376">
        <v>10038</v>
      </c>
      <c r="F376" t="s">
        <v>1213</v>
      </c>
      <c r="G376" t="s">
        <v>1214</v>
      </c>
      <c r="J376" t="s">
        <v>42</v>
      </c>
      <c r="K376" t="s">
        <v>1215</v>
      </c>
      <c r="L376">
        <v>1</v>
      </c>
      <c r="N376">
        <v>999</v>
      </c>
    </row>
    <row r="377" spans="1:14" x14ac:dyDescent="0.2">
      <c r="A377" t="e">
        <v>#REF!</v>
      </c>
      <c r="B377">
        <v>601</v>
      </c>
      <c r="C377" t="e">
        <v>#REF!</v>
      </c>
      <c r="D377">
        <v>300</v>
      </c>
      <c r="E377">
        <v>10039</v>
      </c>
      <c r="F377" t="s">
        <v>1216</v>
      </c>
      <c r="G377" t="s">
        <v>1217</v>
      </c>
      <c r="J377" t="s">
        <v>42</v>
      </c>
      <c r="K377" t="s">
        <v>1218</v>
      </c>
      <c r="L377">
        <v>1</v>
      </c>
      <c r="N377">
        <v>999</v>
      </c>
    </row>
    <row r="378" spans="1:14" x14ac:dyDescent="0.2">
      <c r="A378" t="e">
        <v>#REF!</v>
      </c>
      <c r="B378">
        <v>601</v>
      </c>
      <c r="C378" t="e">
        <v>#REF!</v>
      </c>
      <c r="D378">
        <v>300</v>
      </c>
      <c r="E378">
        <v>10040</v>
      </c>
      <c r="F378" t="s">
        <v>1219</v>
      </c>
      <c r="G378" t="s">
        <v>1220</v>
      </c>
      <c r="J378" t="s">
        <v>42</v>
      </c>
      <c r="K378" t="s">
        <v>1218</v>
      </c>
      <c r="L378">
        <v>1</v>
      </c>
      <c r="N378">
        <v>999</v>
      </c>
    </row>
    <row r="379" spans="1:14" x14ac:dyDescent="0.2">
      <c r="A379" t="e">
        <v>#REF!</v>
      </c>
      <c r="B379">
        <v>601</v>
      </c>
      <c r="C379" t="e">
        <v>#REF!</v>
      </c>
      <c r="D379">
        <v>300</v>
      </c>
      <c r="E379">
        <v>10041</v>
      </c>
      <c r="F379" t="s">
        <v>1221</v>
      </c>
      <c r="G379" t="s">
        <v>1222</v>
      </c>
      <c r="J379" t="s">
        <v>42</v>
      </c>
      <c r="K379" t="s">
        <v>1223</v>
      </c>
      <c r="L379">
        <v>1</v>
      </c>
      <c r="N379">
        <v>999</v>
      </c>
    </row>
    <row r="380" spans="1:14" x14ac:dyDescent="0.2">
      <c r="A380" t="e">
        <v>#REF!</v>
      </c>
      <c r="B380">
        <v>601</v>
      </c>
      <c r="C380" t="e">
        <v>#REF!</v>
      </c>
      <c r="D380">
        <v>300</v>
      </c>
      <c r="E380">
        <v>10042</v>
      </c>
      <c r="F380" t="s">
        <v>1224</v>
      </c>
      <c r="G380" t="s">
        <v>1225</v>
      </c>
      <c r="J380" t="s">
        <v>42</v>
      </c>
      <c r="K380" t="s">
        <v>1226</v>
      </c>
      <c r="L380">
        <v>1</v>
      </c>
      <c r="N380">
        <v>999</v>
      </c>
    </row>
    <row r="381" spans="1:14" x14ac:dyDescent="0.2">
      <c r="A381" t="e">
        <v>#REF!</v>
      </c>
      <c r="B381">
        <v>601</v>
      </c>
      <c r="C381" t="e">
        <v>#REF!</v>
      </c>
      <c r="D381">
        <v>300</v>
      </c>
      <c r="E381">
        <v>10043</v>
      </c>
      <c r="F381" t="s">
        <v>1227</v>
      </c>
      <c r="G381" t="s">
        <v>1228</v>
      </c>
      <c r="H381" t="s">
        <v>1229</v>
      </c>
      <c r="J381" t="s">
        <v>42</v>
      </c>
      <c r="K381" t="s">
        <v>1226</v>
      </c>
      <c r="L381">
        <v>1</v>
      </c>
      <c r="N381">
        <v>999</v>
      </c>
    </row>
    <row r="382" spans="1:14" x14ac:dyDescent="0.2">
      <c r="A382" t="e">
        <v>#REF!</v>
      </c>
      <c r="B382">
        <v>601</v>
      </c>
      <c r="C382" t="e">
        <v>#REF!</v>
      </c>
      <c r="D382">
        <v>300</v>
      </c>
      <c r="E382">
        <v>10044</v>
      </c>
      <c r="F382" t="s">
        <v>1230</v>
      </c>
      <c r="G382" t="s">
        <v>1231</v>
      </c>
      <c r="H382" t="s">
        <v>1232</v>
      </c>
      <c r="J382" t="s">
        <v>42</v>
      </c>
      <c r="K382" t="s">
        <v>1226</v>
      </c>
      <c r="L382">
        <v>1</v>
      </c>
      <c r="N382">
        <v>999</v>
      </c>
    </row>
    <row r="383" spans="1:14" x14ac:dyDescent="0.2">
      <c r="A383" t="e">
        <v>#REF!</v>
      </c>
      <c r="B383">
        <v>602</v>
      </c>
      <c r="C383" t="e">
        <v>#REF!</v>
      </c>
      <c r="D383">
        <v>300</v>
      </c>
      <c r="E383">
        <v>10001</v>
      </c>
      <c r="F383" t="s">
        <v>1233</v>
      </c>
      <c r="G383" t="s">
        <v>1234</v>
      </c>
      <c r="H383" t="s">
        <v>1235</v>
      </c>
      <c r="J383" t="s">
        <v>43</v>
      </c>
      <c r="K383">
        <v>1</v>
      </c>
      <c r="L383">
        <v>1</v>
      </c>
      <c r="N383">
        <v>999</v>
      </c>
    </row>
    <row r="384" spans="1:14" x14ac:dyDescent="0.2">
      <c r="A384" t="e">
        <v>#REF!</v>
      </c>
      <c r="B384">
        <v>602</v>
      </c>
      <c r="C384" t="e">
        <v>#REF!</v>
      </c>
      <c r="D384">
        <v>300</v>
      </c>
      <c r="E384">
        <v>10002</v>
      </c>
      <c r="F384" t="s">
        <v>1236</v>
      </c>
      <c r="G384" t="s">
        <v>1237</v>
      </c>
      <c r="J384" t="s">
        <v>43</v>
      </c>
      <c r="K384" t="s">
        <v>1233</v>
      </c>
      <c r="L384">
        <v>1</v>
      </c>
      <c r="N384">
        <v>999</v>
      </c>
    </row>
    <row r="385" spans="1:17" x14ac:dyDescent="0.2">
      <c r="A385" t="e">
        <v>#REF!</v>
      </c>
      <c r="B385">
        <v>603</v>
      </c>
      <c r="C385" t="e">
        <v>#REF!</v>
      </c>
      <c r="D385">
        <v>300</v>
      </c>
      <c r="E385">
        <v>10001</v>
      </c>
      <c r="F385" t="s">
        <v>1238</v>
      </c>
      <c r="G385" t="s">
        <v>1239</v>
      </c>
      <c r="I385" t="s">
        <v>1240</v>
      </c>
      <c r="J385" t="s">
        <v>44</v>
      </c>
      <c r="K385">
        <v>1</v>
      </c>
      <c r="L385">
        <v>1</v>
      </c>
      <c r="N385">
        <v>999</v>
      </c>
    </row>
    <row r="386" spans="1:17" x14ac:dyDescent="0.2">
      <c r="A386" t="e">
        <v>#REF!</v>
      </c>
      <c r="B386">
        <v>603</v>
      </c>
      <c r="C386" t="e">
        <v>#REF!</v>
      </c>
      <c r="D386">
        <v>300</v>
      </c>
      <c r="E386">
        <v>10002</v>
      </c>
      <c r="F386" t="s">
        <v>1241</v>
      </c>
      <c r="G386" t="s">
        <v>1242</v>
      </c>
      <c r="I386" t="s">
        <v>1243</v>
      </c>
      <c r="J386" t="s">
        <v>44</v>
      </c>
      <c r="K386">
        <v>1</v>
      </c>
      <c r="L386">
        <v>1</v>
      </c>
      <c r="N386">
        <v>999</v>
      </c>
    </row>
    <row r="387" spans="1:17" x14ac:dyDescent="0.2">
      <c r="A387" t="e">
        <v>#REF!</v>
      </c>
      <c r="B387">
        <v>603</v>
      </c>
      <c r="C387" t="e">
        <v>#REF!</v>
      </c>
      <c r="D387">
        <v>300</v>
      </c>
      <c r="E387">
        <v>10003</v>
      </c>
      <c r="F387" t="s">
        <v>1244</v>
      </c>
      <c r="G387" t="s">
        <v>1245</v>
      </c>
      <c r="I387" t="s">
        <v>1246</v>
      </c>
      <c r="J387" t="s">
        <v>44</v>
      </c>
      <c r="K387">
        <v>1</v>
      </c>
      <c r="L387">
        <v>1</v>
      </c>
      <c r="N387">
        <v>999</v>
      </c>
    </row>
    <row r="388" spans="1:17" x14ac:dyDescent="0.2">
      <c r="A388" t="e">
        <v>#REF!</v>
      </c>
      <c r="B388">
        <v>603</v>
      </c>
      <c r="C388" t="e">
        <v>#REF!</v>
      </c>
      <c r="D388">
        <v>300</v>
      </c>
      <c r="E388">
        <v>10004</v>
      </c>
      <c r="F388" t="s">
        <v>1247</v>
      </c>
      <c r="G388" t="s">
        <v>1248</v>
      </c>
      <c r="I388" t="s">
        <v>1249</v>
      </c>
      <c r="J388" t="s">
        <v>44</v>
      </c>
      <c r="K388">
        <v>1</v>
      </c>
      <c r="L388">
        <v>1</v>
      </c>
      <c r="N388">
        <v>999</v>
      </c>
    </row>
    <row r="389" spans="1:17" x14ac:dyDescent="0.2">
      <c r="A389" t="e">
        <v>#REF!</v>
      </c>
      <c r="B389">
        <v>603</v>
      </c>
      <c r="C389" t="e">
        <v>#REF!</v>
      </c>
      <c r="D389">
        <v>300</v>
      </c>
      <c r="E389">
        <v>10005</v>
      </c>
      <c r="F389" t="s">
        <v>1250</v>
      </c>
      <c r="G389" t="s">
        <v>1251</v>
      </c>
      <c r="J389" t="s">
        <v>44</v>
      </c>
      <c r="K389">
        <v>1</v>
      </c>
      <c r="L389">
        <v>1</v>
      </c>
      <c r="N389">
        <v>999</v>
      </c>
    </row>
    <row r="390" spans="1:17" x14ac:dyDescent="0.2">
      <c r="A390" t="e">
        <v>#REF!</v>
      </c>
      <c r="B390">
        <v>603</v>
      </c>
      <c r="C390" t="e">
        <v>#REF!</v>
      </c>
      <c r="D390">
        <v>300</v>
      </c>
      <c r="E390">
        <v>10006</v>
      </c>
      <c r="F390" t="s">
        <v>1252</v>
      </c>
      <c r="G390" t="s">
        <v>1253</v>
      </c>
      <c r="J390" t="s">
        <v>44</v>
      </c>
      <c r="K390">
        <v>1</v>
      </c>
      <c r="L390">
        <v>1</v>
      </c>
      <c r="N390">
        <v>999</v>
      </c>
    </row>
    <row r="391" spans="1:17" x14ac:dyDescent="0.2">
      <c r="A391" t="e">
        <v>#REF!</v>
      </c>
      <c r="B391">
        <v>603</v>
      </c>
      <c r="C391" t="e">
        <v>#REF!</v>
      </c>
      <c r="D391">
        <v>300</v>
      </c>
      <c r="E391">
        <v>10007</v>
      </c>
      <c r="F391" t="s">
        <v>1254</v>
      </c>
      <c r="G391" t="s">
        <v>1255</v>
      </c>
      <c r="H391" t="s">
        <v>1256</v>
      </c>
      <c r="J391" t="s">
        <v>44</v>
      </c>
      <c r="K391">
        <v>1</v>
      </c>
      <c r="L391">
        <v>1</v>
      </c>
      <c r="N391">
        <v>999</v>
      </c>
    </row>
    <row r="392" spans="1:17" x14ac:dyDescent="0.2">
      <c r="A392" t="e">
        <v>#REF!</v>
      </c>
      <c r="B392">
        <v>604</v>
      </c>
      <c r="C392" t="e">
        <v>#REF!</v>
      </c>
      <c r="D392">
        <v>300</v>
      </c>
      <c r="E392">
        <v>10001</v>
      </c>
      <c r="F392" t="s">
        <v>1257</v>
      </c>
      <c r="G392" t="s">
        <v>1258</v>
      </c>
      <c r="I392" t="s">
        <v>1259</v>
      </c>
      <c r="J392" t="s">
        <v>45</v>
      </c>
      <c r="K392">
        <v>1</v>
      </c>
      <c r="L392">
        <v>1</v>
      </c>
      <c r="N392">
        <v>999</v>
      </c>
      <c r="O392">
        <v>999</v>
      </c>
      <c r="Q392">
        <v>16</v>
      </c>
    </row>
    <row r="393" spans="1:17" x14ac:dyDescent="0.2">
      <c r="A393" t="e">
        <v>#REF!</v>
      </c>
      <c r="B393">
        <v>604</v>
      </c>
      <c r="C393" t="e">
        <v>#REF!</v>
      </c>
      <c r="D393">
        <v>300</v>
      </c>
      <c r="E393">
        <v>10002</v>
      </c>
      <c r="F393" t="s">
        <v>1260</v>
      </c>
      <c r="G393" t="s">
        <v>1261</v>
      </c>
      <c r="H393" t="s">
        <v>82</v>
      </c>
      <c r="J393" t="s">
        <v>45</v>
      </c>
      <c r="K393">
        <v>1</v>
      </c>
      <c r="L393">
        <v>1</v>
      </c>
      <c r="N393">
        <v>999</v>
      </c>
    </row>
    <row r="394" spans="1:17" x14ac:dyDescent="0.2">
      <c r="A394" t="e">
        <v>#REF!</v>
      </c>
      <c r="B394">
        <v>604</v>
      </c>
      <c r="C394" t="e">
        <v>#REF!</v>
      </c>
      <c r="D394">
        <v>300</v>
      </c>
      <c r="E394">
        <v>10003</v>
      </c>
      <c r="F394" t="s">
        <v>1262</v>
      </c>
      <c r="G394" t="s">
        <v>1263</v>
      </c>
      <c r="H394" t="s">
        <v>1264</v>
      </c>
      <c r="J394" t="s">
        <v>45</v>
      </c>
      <c r="K394">
        <v>1</v>
      </c>
      <c r="L394">
        <v>1</v>
      </c>
      <c r="N394">
        <v>999</v>
      </c>
    </row>
    <row r="395" spans="1:17" x14ac:dyDescent="0.2">
      <c r="A395" t="e">
        <v>#REF!</v>
      </c>
      <c r="B395">
        <v>605</v>
      </c>
      <c r="C395" t="e">
        <v>#REF!</v>
      </c>
      <c r="D395">
        <v>300</v>
      </c>
      <c r="E395">
        <v>10001</v>
      </c>
      <c r="F395" t="s">
        <v>1265</v>
      </c>
      <c r="G395" t="s">
        <v>1266</v>
      </c>
      <c r="J395" t="s">
        <v>46</v>
      </c>
      <c r="K395">
        <v>1</v>
      </c>
      <c r="L395">
        <v>1</v>
      </c>
      <c r="N395">
        <v>999</v>
      </c>
    </row>
    <row r="396" spans="1:17" x14ac:dyDescent="0.2">
      <c r="A396" t="e">
        <v>#REF!</v>
      </c>
      <c r="B396">
        <v>605</v>
      </c>
      <c r="C396" t="e">
        <v>#REF!</v>
      </c>
      <c r="D396">
        <v>300</v>
      </c>
      <c r="E396">
        <v>10002</v>
      </c>
      <c r="F396" t="s">
        <v>1267</v>
      </c>
      <c r="G396" t="s">
        <v>1268</v>
      </c>
      <c r="J396" t="s">
        <v>46</v>
      </c>
      <c r="K396" t="s">
        <v>1269</v>
      </c>
      <c r="L396">
        <v>1</v>
      </c>
      <c r="N396">
        <v>999</v>
      </c>
    </row>
    <row r="397" spans="1:17" x14ac:dyDescent="0.2">
      <c r="A397" t="e">
        <v>#REF!</v>
      </c>
      <c r="B397">
        <v>605</v>
      </c>
      <c r="C397" t="e">
        <v>#REF!</v>
      </c>
      <c r="D397">
        <v>300</v>
      </c>
      <c r="E397">
        <v>10003</v>
      </c>
      <c r="F397" t="s">
        <v>1270</v>
      </c>
      <c r="G397" t="s">
        <v>1271</v>
      </c>
      <c r="H397" t="s">
        <v>1272</v>
      </c>
      <c r="J397" t="s">
        <v>46</v>
      </c>
      <c r="K397" t="s">
        <v>1223</v>
      </c>
      <c r="L397">
        <v>1</v>
      </c>
      <c r="N397">
        <v>999</v>
      </c>
    </row>
    <row r="398" spans="1:17" x14ac:dyDescent="0.2">
      <c r="A398" t="e">
        <v>#REF!</v>
      </c>
      <c r="B398">
        <v>605</v>
      </c>
      <c r="C398" t="e">
        <v>#REF!</v>
      </c>
      <c r="D398">
        <v>300</v>
      </c>
      <c r="E398">
        <v>10004</v>
      </c>
      <c r="F398" t="s">
        <v>1273</v>
      </c>
      <c r="G398" t="s">
        <v>1274</v>
      </c>
      <c r="H398" t="s">
        <v>1275</v>
      </c>
      <c r="J398" t="s">
        <v>46</v>
      </c>
      <c r="K398" t="s">
        <v>1276</v>
      </c>
      <c r="L398">
        <v>1</v>
      </c>
      <c r="N398">
        <v>999</v>
      </c>
    </row>
    <row r="399" spans="1:17" x14ac:dyDescent="0.2">
      <c r="A399" t="e">
        <v>#REF!</v>
      </c>
      <c r="B399">
        <v>908</v>
      </c>
      <c r="C399" t="e">
        <v>#REF!</v>
      </c>
      <c r="D399">
        <v>300</v>
      </c>
      <c r="E399">
        <v>10001</v>
      </c>
      <c r="F399" t="s">
        <v>1277</v>
      </c>
      <c r="G399" t="s">
        <v>1278</v>
      </c>
      <c r="I399" t="s">
        <v>1279</v>
      </c>
      <c r="J399" t="s">
        <v>58</v>
      </c>
      <c r="K399">
        <v>1</v>
      </c>
      <c r="L399">
        <v>1</v>
      </c>
      <c r="N399">
        <v>999</v>
      </c>
      <c r="O399">
        <v>999</v>
      </c>
    </row>
    <row r="400" spans="1:17" x14ac:dyDescent="0.2">
      <c r="A400" t="e">
        <v>#REF!</v>
      </c>
      <c r="B400">
        <v>908</v>
      </c>
      <c r="C400" t="e">
        <v>#REF!</v>
      </c>
      <c r="D400">
        <v>300</v>
      </c>
      <c r="E400">
        <v>10002</v>
      </c>
      <c r="F400" t="s">
        <v>1280</v>
      </c>
      <c r="G400" t="s">
        <v>1281</v>
      </c>
      <c r="I400" t="s">
        <v>1282</v>
      </c>
      <c r="J400" t="s">
        <v>58</v>
      </c>
      <c r="K400" t="s">
        <v>1283</v>
      </c>
      <c r="L400">
        <v>1</v>
      </c>
      <c r="N400">
        <v>999</v>
      </c>
      <c r="O400">
        <v>999</v>
      </c>
      <c r="Q400">
        <v>32</v>
      </c>
    </row>
    <row r="401" spans="1:17" x14ac:dyDescent="0.2">
      <c r="A401" t="e">
        <v>#REF!</v>
      </c>
      <c r="B401">
        <v>908</v>
      </c>
      <c r="C401" t="e">
        <v>#REF!</v>
      </c>
      <c r="D401">
        <v>300</v>
      </c>
      <c r="E401">
        <v>10003</v>
      </c>
      <c r="F401" t="s">
        <v>1284</v>
      </c>
      <c r="G401" t="s">
        <v>1285</v>
      </c>
      <c r="I401" t="s">
        <v>1286</v>
      </c>
      <c r="J401" t="s">
        <v>58</v>
      </c>
      <c r="K401" t="s">
        <v>1283</v>
      </c>
      <c r="L401">
        <v>1</v>
      </c>
      <c r="N401">
        <v>999</v>
      </c>
      <c r="O401">
        <v>999</v>
      </c>
      <c r="Q401">
        <v>64</v>
      </c>
    </row>
    <row r="402" spans="1:17" x14ac:dyDescent="0.2">
      <c r="A402" t="e">
        <v>#REF!</v>
      </c>
      <c r="B402">
        <v>908</v>
      </c>
      <c r="C402" t="e">
        <v>#REF!</v>
      </c>
      <c r="D402">
        <v>300</v>
      </c>
      <c r="E402">
        <v>10004</v>
      </c>
      <c r="F402" t="s">
        <v>1287</v>
      </c>
      <c r="G402" t="s">
        <v>1288</v>
      </c>
      <c r="I402" t="s">
        <v>1289</v>
      </c>
      <c r="J402" t="s">
        <v>58</v>
      </c>
      <c r="K402" t="s">
        <v>1283</v>
      </c>
      <c r="L402">
        <v>1</v>
      </c>
      <c r="N402">
        <v>999</v>
      </c>
      <c r="O402">
        <v>999</v>
      </c>
      <c r="Q402">
        <v>16</v>
      </c>
    </row>
    <row r="403" spans="1:17" x14ac:dyDescent="0.2">
      <c r="A403" t="e">
        <v>#REF!</v>
      </c>
      <c r="B403">
        <v>908</v>
      </c>
      <c r="C403" t="e">
        <v>#REF!</v>
      </c>
      <c r="D403">
        <v>300</v>
      </c>
      <c r="E403">
        <v>10005</v>
      </c>
      <c r="F403" t="s">
        <v>1290</v>
      </c>
      <c r="G403" t="s">
        <v>1291</v>
      </c>
      <c r="I403" t="s">
        <v>1292</v>
      </c>
      <c r="J403" t="s">
        <v>58</v>
      </c>
      <c r="K403" t="s">
        <v>1283</v>
      </c>
      <c r="L403">
        <v>1</v>
      </c>
      <c r="N403">
        <v>999</v>
      </c>
      <c r="O403">
        <v>999</v>
      </c>
      <c r="Q403">
        <v>64</v>
      </c>
    </row>
    <row r="404" spans="1:17" x14ac:dyDescent="0.2">
      <c r="A404" t="e">
        <v>#REF!</v>
      </c>
      <c r="B404">
        <v>908</v>
      </c>
      <c r="C404" t="e">
        <v>#REF!</v>
      </c>
      <c r="D404">
        <v>300</v>
      </c>
      <c r="E404">
        <v>10006</v>
      </c>
      <c r="F404" t="s">
        <v>1293</v>
      </c>
      <c r="G404" t="s">
        <v>1294</v>
      </c>
      <c r="I404" t="s">
        <v>1295</v>
      </c>
      <c r="J404" t="s">
        <v>58</v>
      </c>
      <c r="K404" t="s">
        <v>1283</v>
      </c>
      <c r="L404">
        <v>1</v>
      </c>
      <c r="N404">
        <v>999</v>
      </c>
      <c r="O404">
        <v>999</v>
      </c>
      <c r="Q404">
        <v>16</v>
      </c>
    </row>
    <row r="405" spans="1:17" x14ac:dyDescent="0.2">
      <c r="A405" t="e">
        <v>#REF!</v>
      </c>
      <c r="B405">
        <v>908</v>
      </c>
      <c r="C405" t="e">
        <v>#REF!</v>
      </c>
      <c r="D405">
        <v>300</v>
      </c>
      <c r="E405">
        <v>10007</v>
      </c>
      <c r="F405" t="s">
        <v>1277</v>
      </c>
      <c r="G405" t="s">
        <v>1278</v>
      </c>
      <c r="I405" t="s">
        <v>1279</v>
      </c>
      <c r="J405" t="s">
        <v>58</v>
      </c>
      <c r="K405" t="s">
        <v>1283</v>
      </c>
      <c r="L405">
        <v>1</v>
      </c>
      <c r="N405">
        <v>999</v>
      </c>
      <c r="O405">
        <v>999</v>
      </c>
      <c r="Q405">
        <v>16</v>
      </c>
    </row>
    <row r="406" spans="1:17" x14ac:dyDescent="0.2">
      <c r="A406" t="e">
        <v>#REF!</v>
      </c>
      <c r="B406">
        <v>908</v>
      </c>
      <c r="C406" t="e">
        <v>#REF!</v>
      </c>
      <c r="D406">
        <v>300</v>
      </c>
      <c r="E406">
        <v>10008</v>
      </c>
      <c r="F406" t="s">
        <v>1296</v>
      </c>
      <c r="G406" t="s">
        <v>1297</v>
      </c>
      <c r="H406" t="s">
        <v>1298</v>
      </c>
      <c r="I406" t="s">
        <v>1299</v>
      </c>
      <c r="J406" t="s">
        <v>58</v>
      </c>
      <c r="K406" t="s">
        <v>1300</v>
      </c>
      <c r="L406">
        <v>1</v>
      </c>
      <c r="N406">
        <v>999</v>
      </c>
      <c r="O406">
        <v>999</v>
      </c>
      <c r="Q406">
        <v>16</v>
      </c>
    </row>
    <row r="407" spans="1:17" x14ac:dyDescent="0.2">
      <c r="A407" t="e">
        <v>#REF!</v>
      </c>
      <c r="B407">
        <v>908</v>
      </c>
      <c r="C407" t="e">
        <v>#REF!</v>
      </c>
      <c r="D407">
        <v>300</v>
      </c>
      <c r="E407">
        <v>10009</v>
      </c>
      <c r="F407" t="s">
        <v>1301</v>
      </c>
      <c r="G407" t="s">
        <v>1302</v>
      </c>
      <c r="I407" t="s">
        <v>1303</v>
      </c>
      <c r="J407" t="s">
        <v>58</v>
      </c>
      <c r="K407" t="s">
        <v>1304</v>
      </c>
      <c r="L407">
        <v>1</v>
      </c>
      <c r="N407">
        <v>999</v>
      </c>
      <c r="O407">
        <v>999</v>
      </c>
      <c r="Q407">
        <v>16</v>
      </c>
    </row>
    <row r="408" spans="1:17" x14ac:dyDescent="0.2">
      <c r="A408" t="e">
        <v>#REF!</v>
      </c>
      <c r="B408">
        <v>803</v>
      </c>
      <c r="C408" t="e">
        <v>#REF!</v>
      </c>
      <c r="D408">
        <v>300</v>
      </c>
      <c r="E408">
        <v>10001</v>
      </c>
      <c r="F408" t="s">
        <v>1305</v>
      </c>
      <c r="G408" t="s">
        <v>1306</v>
      </c>
      <c r="I408" t="s">
        <v>1307</v>
      </c>
      <c r="J408" t="s">
        <v>49</v>
      </c>
      <c r="K408">
        <v>1</v>
      </c>
      <c r="L408">
        <v>1</v>
      </c>
      <c r="N408">
        <v>999</v>
      </c>
      <c r="O408">
        <v>999</v>
      </c>
      <c r="Q408">
        <v>16</v>
      </c>
    </row>
    <row r="409" spans="1:17" x14ac:dyDescent="0.2">
      <c r="A409" t="e">
        <v>#REF!</v>
      </c>
      <c r="B409">
        <v>992</v>
      </c>
      <c r="C409" t="e">
        <v>#REF!</v>
      </c>
      <c r="D409">
        <v>300</v>
      </c>
      <c r="E409">
        <v>10001</v>
      </c>
      <c r="F409" t="s">
        <v>82</v>
      </c>
      <c r="J409" t="s">
        <v>60</v>
      </c>
      <c r="K409">
        <v>1</v>
      </c>
      <c r="L409">
        <v>1</v>
      </c>
    </row>
    <row r="410" spans="1:17" x14ac:dyDescent="0.2">
      <c r="A410" t="e">
        <v>#REF!</v>
      </c>
      <c r="B410">
        <v>992</v>
      </c>
      <c r="C410" t="e">
        <v>#REF!</v>
      </c>
      <c r="D410">
        <v>300</v>
      </c>
      <c r="E410">
        <v>10002</v>
      </c>
      <c r="F410" t="s">
        <v>82</v>
      </c>
      <c r="J410" t="s">
        <v>60</v>
      </c>
      <c r="K410" t="s">
        <v>1308</v>
      </c>
      <c r="L410">
        <v>1</v>
      </c>
    </row>
    <row r="411" spans="1:17" x14ac:dyDescent="0.2">
      <c r="A411" t="e">
        <v>#REF!</v>
      </c>
      <c r="B411">
        <v>992</v>
      </c>
      <c r="C411" t="e">
        <v>#REF!</v>
      </c>
      <c r="D411">
        <v>301</v>
      </c>
      <c r="E411">
        <v>10003</v>
      </c>
      <c r="F411" t="s">
        <v>1309</v>
      </c>
      <c r="G411" t="s">
        <v>1310</v>
      </c>
      <c r="J411" t="s">
        <v>60</v>
      </c>
      <c r="K411" t="s">
        <v>1308</v>
      </c>
      <c r="L411" t="s">
        <v>1311</v>
      </c>
      <c r="N411">
        <v>999</v>
      </c>
    </row>
    <row r="412" spans="1:17" x14ac:dyDescent="0.2">
      <c r="A412" t="e">
        <v>#REF!</v>
      </c>
      <c r="B412">
        <v>992</v>
      </c>
      <c r="C412" t="e">
        <v>#REF!</v>
      </c>
      <c r="D412">
        <v>302</v>
      </c>
      <c r="E412">
        <v>10004</v>
      </c>
      <c r="F412" t="s">
        <v>1312</v>
      </c>
      <c r="G412" t="s">
        <v>1313</v>
      </c>
      <c r="H412" t="s">
        <v>1314</v>
      </c>
      <c r="J412" t="s">
        <v>60</v>
      </c>
      <c r="K412" t="s">
        <v>1308</v>
      </c>
      <c r="L412" t="s">
        <v>1314</v>
      </c>
      <c r="N412">
        <v>999</v>
      </c>
    </row>
    <row r="413" spans="1:17" x14ac:dyDescent="0.2">
      <c r="A413" t="e">
        <v>#REF!</v>
      </c>
      <c r="B413">
        <v>992</v>
      </c>
      <c r="C413" t="e">
        <v>#REF!</v>
      </c>
      <c r="D413">
        <v>303</v>
      </c>
      <c r="E413">
        <v>10005</v>
      </c>
      <c r="F413" t="s">
        <v>1315</v>
      </c>
      <c r="G413" t="s">
        <v>1316</v>
      </c>
      <c r="H413" t="s">
        <v>1317</v>
      </c>
      <c r="J413" t="s">
        <v>60</v>
      </c>
      <c r="K413" t="s">
        <v>1308</v>
      </c>
      <c r="L413" t="s">
        <v>1317</v>
      </c>
      <c r="N413">
        <v>999</v>
      </c>
    </row>
    <row r="414" spans="1:17" x14ac:dyDescent="0.2">
      <c r="A414" t="e">
        <v>#REF!</v>
      </c>
      <c r="B414">
        <v>992</v>
      </c>
      <c r="C414" t="e">
        <v>#REF!</v>
      </c>
      <c r="D414">
        <v>304</v>
      </c>
      <c r="E414">
        <v>10006</v>
      </c>
      <c r="F414" t="s">
        <v>1318</v>
      </c>
      <c r="G414" t="s">
        <v>1319</v>
      </c>
      <c r="H414" t="s">
        <v>1320</v>
      </c>
      <c r="J414" t="s">
        <v>60</v>
      </c>
      <c r="K414" t="s">
        <v>1308</v>
      </c>
      <c r="L414" t="s">
        <v>1320</v>
      </c>
      <c r="N414">
        <v>999</v>
      </c>
    </row>
    <row r="415" spans="1:17" x14ac:dyDescent="0.2">
      <c r="A415" t="e">
        <v>#REF!</v>
      </c>
      <c r="B415">
        <v>992</v>
      </c>
      <c r="C415" t="e">
        <v>#REF!</v>
      </c>
      <c r="D415">
        <v>305</v>
      </c>
      <c r="E415">
        <v>10007</v>
      </c>
      <c r="F415" t="s">
        <v>1321</v>
      </c>
      <c r="G415" t="s">
        <v>1322</v>
      </c>
      <c r="H415" t="s">
        <v>1323</v>
      </c>
      <c r="J415" t="s">
        <v>60</v>
      </c>
      <c r="K415" t="s">
        <v>1308</v>
      </c>
      <c r="L415" t="s">
        <v>1323</v>
      </c>
      <c r="N415">
        <v>999</v>
      </c>
    </row>
    <row r="416" spans="1:17" x14ac:dyDescent="0.2">
      <c r="A416" t="e">
        <v>#REF!</v>
      </c>
      <c r="B416">
        <v>992</v>
      </c>
      <c r="C416" t="e">
        <v>#REF!</v>
      </c>
      <c r="D416">
        <v>306</v>
      </c>
      <c r="E416">
        <v>10008</v>
      </c>
      <c r="F416" t="s">
        <v>1324</v>
      </c>
      <c r="G416" t="s">
        <v>1325</v>
      </c>
      <c r="H416" t="s">
        <v>1326</v>
      </c>
      <c r="J416" t="s">
        <v>60</v>
      </c>
      <c r="K416" t="s">
        <v>1308</v>
      </c>
      <c r="L416" t="s">
        <v>1326</v>
      </c>
      <c r="N416">
        <v>999</v>
      </c>
    </row>
    <row r="417" spans="1:19" x14ac:dyDescent="0.2">
      <c r="A417" t="e">
        <v>#REF!</v>
      </c>
      <c r="B417">
        <v>992</v>
      </c>
      <c r="C417" t="e">
        <v>#REF!</v>
      </c>
      <c r="D417">
        <v>307</v>
      </c>
      <c r="E417">
        <v>10009</v>
      </c>
      <c r="F417" t="s">
        <v>1327</v>
      </c>
      <c r="G417" t="s">
        <v>1328</v>
      </c>
      <c r="H417" t="s">
        <v>1329</v>
      </c>
      <c r="J417" t="s">
        <v>60</v>
      </c>
      <c r="K417" t="s">
        <v>1308</v>
      </c>
      <c r="L417" t="s">
        <v>1329</v>
      </c>
      <c r="N417">
        <v>999</v>
      </c>
    </row>
    <row r="418" spans="1:19" x14ac:dyDescent="0.2">
      <c r="A418" t="e">
        <v>#REF!</v>
      </c>
      <c r="B418">
        <v>992</v>
      </c>
      <c r="C418" t="e">
        <v>#REF!</v>
      </c>
      <c r="D418">
        <v>308</v>
      </c>
      <c r="E418">
        <v>10010</v>
      </c>
      <c r="F418" t="s">
        <v>1330</v>
      </c>
      <c r="G418" t="s">
        <v>1331</v>
      </c>
      <c r="J418" t="s">
        <v>60</v>
      </c>
      <c r="K418" t="s">
        <v>1308</v>
      </c>
      <c r="L418" t="s">
        <v>1330</v>
      </c>
      <c r="N418">
        <v>999</v>
      </c>
    </row>
    <row r="419" spans="1:19" x14ac:dyDescent="0.2">
      <c r="A419" t="e">
        <v>#REF!</v>
      </c>
      <c r="B419">
        <v>991</v>
      </c>
      <c r="C419" t="e">
        <v>#REF!</v>
      </c>
      <c r="D419">
        <v>300</v>
      </c>
      <c r="E419">
        <v>10001</v>
      </c>
      <c r="F419" t="s">
        <v>82</v>
      </c>
      <c r="J419" t="s">
        <v>59</v>
      </c>
      <c r="K419">
        <v>1</v>
      </c>
      <c r="L419">
        <v>1</v>
      </c>
    </row>
    <row r="420" spans="1:19" x14ac:dyDescent="0.2">
      <c r="A420" t="e">
        <v>#REF!</v>
      </c>
      <c r="B420">
        <v>991</v>
      </c>
      <c r="C420" t="e">
        <v>#REF!</v>
      </c>
      <c r="D420">
        <v>300</v>
      </c>
      <c r="E420">
        <v>10002</v>
      </c>
      <c r="F420" t="s">
        <v>1332</v>
      </c>
      <c r="G420" t="s">
        <v>1333</v>
      </c>
      <c r="H420" t="s">
        <v>82</v>
      </c>
      <c r="I420" t="s">
        <v>1334</v>
      </c>
      <c r="J420" t="s">
        <v>59</v>
      </c>
      <c r="K420" t="s">
        <v>1283</v>
      </c>
      <c r="L420">
        <v>1</v>
      </c>
      <c r="N420">
        <v>999</v>
      </c>
      <c r="O420">
        <v>999</v>
      </c>
      <c r="Q420">
        <v>32</v>
      </c>
    </row>
    <row r="421" spans="1:19" x14ac:dyDescent="0.2">
      <c r="A421" t="e">
        <v>#REF!</v>
      </c>
      <c r="B421">
        <v>991</v>
      </c>
      <c r="C421" t="e">
        <v>#REF!</v>
      </c>
      <c r="D421">
        <v>300</v>
      </c>
      <c r="E421">
        <v>10003</v>
      </c>
      <c r="F421" t="s">
        <v>1335</v>
      </c>
      <c r="G421" t="s">
        <v>1336</v>
      </c>
      <c r="I421" t="s">
        <v>1337</v>
      </c>
      <c r="J421" t="s">
        <v>59</v>
      </c>
      <c r="K421" t="s">
        <v>1283</v>
      </c>
      <c r="L421">
        <v>1</v>
      </c>
      <c r="N421">
        <v>999</v>
      </c>
      <c r="O421">
        <v>999</v>
      </c>
      <c r="Q421">
        <v>32</v>
      </c>
    </row>
    <row r="422" spans="1:19" x14ac:dyDescent="0.2">
      <c r="A422" t="e">
        <v>#REF!</v>
      </c>
      <c r="B422">
        <v>991</v>
      </c>
      <c r="C422" t="e">
        <v>#REF!</v>
      </c>
      <c r="D422">
        <v>300</v>
      </c>
      <c r="E422">
        <v>10004</v>
      </c>
      <c r="F422" t="s">
        <v>1338</v>
      </c>
      <c r="G422" t="s">
        <v>1339</v>
      </c>
      <c r="I422" t="s">
        <v>1340</v>
      </c>
      <c r="J422" t="s">
        <v>59</v>
      </c>
      <c r="K422" t="s">
        <v>1283</v>
      </c>
      <c r="L422">
        <v>1</v>
      </c>
      <c r="N422">
        <v>999</v>
      </c>
      <c r="O422">
        <v>999</v>
      </c>
      <c r="Q422">
        <v>32</v>
      </c>
    </row>
    <row r="423" spans="1:19" x14ac:dyDescent="0.2">
      <c r="A423" t="e">
        <v>#REF!</v>
      </c>
      <c r="B423">
        <v>991</v>
      </c>
      <c r="C423" t="e">
        <v>#REF!</v>
      </c>
      <c r="D423">
        <v>300</v>
      </c>
      <c r="E423">
        <v>10005</v>
      </c>
      <c r="F423" t="s">
        <v>1341</v>
      </c>
      <c r="G423" t="s">
        <v>1342</v>
      </c>
      <c r="H423" t="s">
        <v>82</v>
      </c>
      <c r="J423" t="s">
        <v>59</v>
      </c>
      <c r="K423" t="s">
        <v>1283</v>
      </c>
      <c r="L423">
        <v>1</v>
      </c>
      <c r="N423">
        <v>999</v>
      </c>
      <c r="R423" t="s">
        <v>557</v>
      </c>
      <c r="S423" t="s">
        <v>558</v>
      </c>
    </row>
    <row r="424" spans="1:19" x14ac:dyDescent="0.2">
      <c r="A424" t="e">
        <v>#REF!</v>
      </c>
      <c r="B424">
        <v>991</v>
      </c>
      <c r="C424" t="e">
        <v>#REF!</v>
      </c>
      <c r="D424">
        <v>301</v>
      </c>
      <c r="E424">
        <v>10006</v>
      </c>
      <c r="F424" t="s">
        <v>1343</v>
      </c>
      <c r="G424" t="s">
        <v>1344</v>
      </c>
      <c r="H424" t="s">
        <v>1345</v>
      </c>
      <c r="J424" t="s">
        <v>59</v>
      </c>
      <c r="K424" t="s">
        <v>46</v>
      </c>
      <c r="L424" t="s">
        <v>1346</v>
      </c>
      <c r="N424">
        <v>999</v>
      </c>
    </row>
    <row r="425" spans="1:19" x14ac:dyDescent="0.2">
      <c r="A425" t="e">
        <v>#REF!</v>
      </c>
      <c r="B425">
        <v>991</v>
      </c>
      <c r="C425" t="e">
        <v>#REF!</v>
      </c>
      <c r="D425">
        <v>301</v>
      </c>
      <c r="E425">
        <v>10007</v>
      </c>
      <c r="F425" t="s">
        <v>1347</v>
      </c>
      <c r="G425" t="s">
        <v>1348</v>
      </c>
      <c r="H425" t="s">
        <v>1349</v>
      </c>
      <c r="J425" t="s">
        <v>59</v>
      </c>
      <c r="K425" t="s">
        <v>46</v>
      </c>
      <c r="L425" t="s">
        <v>1346</v>
      </c>
      <c r="N425">
        <v>999</v>
      </c>
    </row>
    <row r="426" spans="1:19" x14ac:dyDescent="0.2">
      <c r="A426" t="e">
        <v>#REF!</v>
      </c>
      <c r="B426">
        <v>991</v>
      </c>
      <c r="C426" t="e">
        <v>#REF!</v>
      </c>
      <c r="D426">
        <v>301</v>
      </c>
      <c r="E426">
        <v>10008</v>
      </c>
      <c r="F426" t="s">
        <v>1350</v>
      </c>
      <c r="G426" t="s">
        <v>1351</v>
      </c>
      <c r="H426" t="s">
        <v>1352</v>
      </c>
      <c r="J426" t="s">
        <v>59</v>
      </c>
      <c r="K426" t="s">
        <v>46</v>
      </c>
      <c r="L426" t="s">
        <v>1346</v>
      </c>
      <c r="N426">
        <v>999</v>
      </c>
    </row>
    <row r="427" spans="1:19" x14ac:dyDescent="0.2">
      <c r="A427" t="e">
        <v>#REF!</v>
      </c>
      <c r="B427">
        <v>991</v>
      </c>
      <c r="C427" t="e">
        <v>#REF!</v>
      </c>
      <c r="D427">
        <v>301</v>
      </c>
      <c r="E427">
        <v>10009</v>
      </c>
      <c r="F427" t="s">
        <v>1353</v>
      </c>
      <c r="G427" t="s">
        <v>1354</v>
      </c>
      <c r="H427" t="s">
        <v>1355</v>
      </c>
      <c r="J427" t="s">
        <v>59</v>
      </c>
      <c r="K427" t="s">
        <v>46</v>
      </c>
      <c r="L427" t="s">
        <v>1346</v>
      </c>
      <c r="N427">
        <v>999</v>
      </c>
    </row>
    <row r="428" spans="1:19" x14ac:dyDescent="0.2">
      <c r="A428" t="e">
        <v>#REF!</v>
      </c>
      <c r="B428">
        <v>991</v>
      </c>
      <c r="C428" t="e">
        <v>#REF!</v>
      </c>
      <c r="D428">
        <v>302</v>
      </c>
      <c r="E428">
        <v>10010</v>
      </c>
      <c r="F428" t="s">
        <v>1356</v>
      </c>
      <c r="G428" t="s">
        <v>1357</v>
      </c>
      <c r="J428" t="s">
        <v>59</v>
      </c>
      <c r="K428" t="s">
        <v>46</v>
      </c>
      <c r="L428" t="s">
        <v>1358</v>
      </c>
      <c r="N428">
        <v>999</v>
      </c>
    </row>
    <row r="429" spans="1:19" x14ac:dyDescent="0.2">
      <c r="A429" t="e">
        <v>#REF!</v>
      </c>
      <c r="B429">
        <v>991</v>
      </c>
      <c r="C429" t="e">
        <v>#REF!</v>
      </c>
      <c r="D429">
        <v>302</v>
      </c>
      <c r="E429">
        <v>10011</v>
      </c>
      <c r="F429" t="s">
        <v>1359</v>
      </c>
      <c r="G429" t="s">
        <v>1360</v>
      </c>
      <c r="H429" t="s">
        <v>1361</v>
      </c>
      <c r="J429" t="s">
        <v>59</v>
      </c>
      <c r="K429" t="s">
        <v>46</v>
      </c>
      <c r="L429" t="s">
        <v>1358</v>
      </c>
      <c r="N429">
        <v>999</v>
      </c>
    </row>
    <row r="430" spans="1:19" x14ac:dyDescent="0.2">
      <c r="A430" t="e">
        <v>#REF!</v>
      </c>
      <c r="B430">
        <v>991</v>
      </c>
      <c r="C430" t="e">
        <v>#REF!</v>
      </c>
      <c r="D430">
        <v>302</v>
      </c>
      <c r="E430">
        <v>10012</v>
      </c>
      <c r="F430" t="s">
        <v>1362</v>
      </c>
      <c r="G430" t="s">
        <v>1363</v>
      </c>
      <c r="H430" t="s">
        <v>1364</v>
      </c>
      <c r="J430" t="s">
        <v>59</v>
      </c>
      <c r="K430" t="s">
        <v>46</v>
      </c>
      <c r="L430" t="s">
        <v>1358</v>
      </c>
      <c r="N430">
        <v>999</v>
      </c>
    </row>
    <row r="431" spans="1:19" x14ac:dyDescent="0.2">
      <c r="A431" t="e">
        <v>#REF!</v>
      </c>
      <c r="B431">
        <v>991</v>
      </c>
      <c r="C431" t="e">
        <v>#REF!</v>
      </c>
      <c r="D431">
        <v>302</v>
      </c>
      <c r="E431">
        <v>10013</v>
      </c>
      <c r="F431" t="s">
        <v>1365</v>
      </c>
      <c r="G431" t="s">
        <v>1366</v>
      </c>
      <c r="H431" t="s">
        <v>1367</v>
      </c>
      <c r="J431" t="s">
        <v>59</v>
      </c>
      <c r="K431" t="s">
        <v>46</v>
      </c>
      <c r="L431" t="s">
        <v>1358</v>
      </c>
      <c r="N431">
        <v>999</v>
      </c>
    </row>
    <row r="432" spans="1:19" x14ac:dyDescent="0.2">
      <c r="A432" t="e">
        <v>#REF!</v>
      </c>
      <c r="B432">
        <v>991</v>
      </c>
      <c r="C432" t="e">
        <v>#REF!</v>
      </c>
      <c r="D432">
        <v>303</v>
      </c>
      <c r="E432">
        <v>10014</v>
      </c>
      <c r="F432" t="s">
        <v>1368</v>
      </c>
      <c r="G432" t="s">
        <v>1369</v>
      </c>
      <c r="J432" t="s">
        <v>59</v>
      </c>
      <c r="K432" t="s">
        <v>46</v>
      </c>
      <c r="L432" t="s">
        <v>1370</v>
      </c>
      <c r="N432">
        <v>999</v>
      </c>
    </row>
    <row r="433" spans="1:14" x14ac:dyDescent="0.2">
      <c r="A433" t="e">
        <v>#REF!</v>
      </c>
      <c r="B433">
        <v>991</v>
      </c>
      <c r="C433" t="e">
        <v>#REF!</v>
      </c>
      <c r="D433">
        <v>303</v>
      </c>
      <c r="E433">
        <v>10015</v>
      </c>
      <c r="F433" t="s">
        <v>1371</v>
      </c>
      <c r="G433" t="s">
        <v>1372</v>
      </c>
      <c r="J433" t="s">
        <v>59</v>
      </c>
      <c r="K433" t="s">
        <v>46</v>
      </c>
      <c r="L433" t="s">
        <v>1370</v>
      </c>
      <c r="N433">
        <v>999</v>
      </c>
    </row>
    <row r="434" spans="1:14" x14ac:dyDescent="0.2">
      <c r="A434" t="e">
        <v>#REF!</v>
      </c>
      <c r="B434">
        <v>991</v>
      </c>
      <c r="C434" t="e">
        <v>#REF!</v>
      </c>
      <c r="D434">
        <v>303</v>
      </c>
      <c r="E434">
        <v>10016</v>
      </c>
      <c r="F434" t="s">
        <v>1373</v>
      </c>
      <c r="G434" t="s">
        <v>1374</v>
      </c>
      <c r="H434" t="s">
        <v>1375</v>
      </c>
      <c r="J434" t="s">
        <v>59</v>
      </c>
      <c r="K434" t="s">
        <v>46</v>
      </c>
      <c r="L434" t="s">
        <v>1370</v>
      </c>
      <c r="N434">
        <v>999</v>
      </c>
    </row>
    <row r="435" spans="1:14" x14ac:dyDescent="0.2">
      <c r="A435" t="e">
        <v>#REF!</v>
      </c>
      <c r="B435">
        <v>991</v>
      </c>
      <c r="C435" t="e">
        <v>#REF!</v>
      </c>
      <c r="D435">
        <v>303</v>
      </c>
      <c r="E435">
        <v>10017</v>
      </c>
      <c r="F435" t="s">
        <v>1376</v>
      </c>
      <c r="G435" t="s">
        <v>1377</v>
      </c>
      <c r="H435" t="s">
        <v>1378</v>
      </c>
      <c r="J435" t="s">
        <v>59</v>
      </c>
      <c r="K435" t="s">
        <v>46</v>
      </c>
      <c r="L435" t="s">
        <v>1370</v>
      </c>
      <c r="N435">
        <v>999</v>
      </c>
    </row>
    <row r="436" spans="1:14" x14ac:dyDescent="0.2">
      <c r="A436" t="e">
        <v>#REF!</v>
      </c>
      <c r="B436">
        <v>991</v>
      </c>
      <c r="C436" t="e">
        <v>#REF!</v>
      </c>
      <c r="D436">
        <v>303</v>
      </c>
      <c r="E436">
        <v>10018</v>
      </c>
      <c r="F436" t="s">
        <v>1379</v>
      </c>
      <c r="G436" t="s">
        <v>1380</v>
      </c>
      <c r="H436" t="s">
        <v>1381</v>
      </c>
      <c r="J436" t="s">
        <v>59</v>
      </c>
      <c r="K436" t="s">
        <v>46</v>
      </c>
      <c r="L436" t="s">
        <v>1370</v>
      </c>
      <c r="N436">
        <v>999</v>
      </c>
    </row>
    <row r="437" spans="1:14" x14ac:dyDescent="0.2">
      <c r="A437" t="e">
        <v>#REF!</v>
      </c>
      <c r="B437">
        <v>991</v>
      </c>
      <c r="C437" t="e">
        <v>#REF!</v>
      </c>
      <c r="D437">
        <v>303</v>
      </c>
      <c r="E437">
        <v>10019</v>
      </c>
      <c r="F437" t="s">
        <v>1382</v>
      </c>
      <c r="G437" t="s">
        <v>1383</v>
      </c>
      <c r="J437" t="s">
        <v>59</v>
      </c>
      <c r="K437" t="s">
        <v>46</v>
      </c>
      <c r="L437" t="s">
        <v>1370</v>
      </c>
      <c r="N437">
        <v>999</v>
      </c>
    </row>
    <row r="438" spans="1:14" x14ac:dyDescent="0.2">
      <c r="A438" t="e">
        <v>#REF!</v>
      </c>
      <c r="B438">
        <v>991</v>
      </c>
      <c r="C438" t="e">
        <v>#REF!</v>
      </c>
      <c r="D438">
        <v>303</v>
      </c>
      <c r="E438">
        <v>10020</v>
      </c>
      <c r="F438" t="s">
        <v>1384</v>
      </c>
      <c r="G438" t="s">
        <v>1385</v>
      </c>
      <c r="J438" t="s">
        <v>59</v>
      </c>
      <c r="K438" t="s">
        <v>46</v>
      </c>
      <c r="L438" t="s">
        <v>1370</v>
      </c>
      <c r="N438">
        <v>999</v>
      </c>
    </row>
    <row r="439" spans="1:14" x14ac:dyDescent="0.2">
      <c r="A439" t="e">
        <v>#REF!</v>
      </c>
      <c r="B439">
        <v>991</v>
      </c>
      <c r="C439" t="e">
        <v>#REF!</v>
      </c>
      <c r="D439">
        <v>303</v>
      </c>
      <c r="E439">
        <v>10021</v>
      </c>
      <c r="F439" t="s">
        <v>1386</v>
      </c>
      <c r="G439" t="s">
        <v>1387</v>
      </c>
      <c r="J439" t="s">
        <v>59</v>
      </c>
      <c r="K439" t="s">
        <v>46</v>
      </c>
      <c r="L439" t="s">
        <v>1370</v>
      </c>
      <c r="N439">
        <v>999</v>
      </c>
    </row>
    <row r="440" spans="1:14" x14ac:dyDescent="0.2">
      <c r="A440" t="e">
        <v>#REF!</v>
      </c>
      <c r="B440">
        <v>991</v>
      </c>
      <c r="C440" t="e">
        <v>#REF!</v>
      </c>
      <c r="D440">
        <v>303</v>
      </c>
      <c r="E440">
        <v>10022</v>
      </c>
      <c r="F440" t="s">
        <v>1388</v>
      </c>
      <c r="G440" t="s">
        <v>1389</v>
      </c>
      <c r="J440" t="s">
        <v>59</v>
      </c>
      <c r="K440" t="s">
        <v>46</v>
      </c>
      <c r="L440" t="s">
        <v>1370</v>
      </c>
      <c r="N440">
        <v>999</v>
      </c>
    </row>
    <row r="441" spans="1:14" x14ac:dyDescent="0.2">
      <c r="A441" t="e">
        <v>#REF!</v>
      </c>
      <c r="B441">
        <v>991</v>
      </c>
      <c r="C441" t="e">
        <v>#REF!</v>
      </c>
      <c r="D441">
        <v>303</v>
      </c>
      <c r="E441">
        <v>10023</v>
      </c>
      <c r="F441" t="s">
        <v>1390</v>
      </c>
      <c r="G441" t="s">
        <v>1391</v>
      </c>
      <c r="J441" t="s">
        <v>59</v>
      </c>
      <c r="K441" t="s">
        <v>46</v>
      </c>
      <c r="L441" t="s">
        <v>1370</v>
      </c>
      <c r="N441">
        <v>999</v>
      </c>
    </row>
    <row r="442" spans="1:14" x14ac:dyDescent="0.2">
      <c r="A442" t="e">
        <v>#REF!</v>
      </c>
      <c r="B442">
        <v>991</v>
      </c>
      <c r="C442" t="e">
        <v>#REF!</v>
      </c>
      <c r="D442">
        <v>303</v>
      </c>
      <c r="E442">
        <v>10024</v>
      </c>
      <c r="F442" t="s">
        <v>1392</v>
      </c>
      <c r="G442" t="s">
        <v>1393</v>
      </c>
      <c r="J442" t="s">
        <v>59</v>
      </c>
      <c r="K442" t="s">
        <v>46</v>
      </c>
      <c r="L442" t="s">
        <v>1370</v>
      </c>
      <c r="N442">
        <v>999</v>
      </c>
    </row>
    <row r="443" spans="1:14" x14ac:dyDescent="0.2">
      <c r="A443" t="e">
        <v>#REF!</v>
      </c>
      <c r="B443">
        <v>991</v>
      </c>
      <c r="C443" t="e">
        <v>#REF!</v>
      </c>
      <c r="D443">
        <v>303</v>
      </c>
      <c r="E443">
        <v>10025</v>
      </c>
      <c r="F443" t="s">
        <v>1394</v>
      </c>
      <c r="G443" t="s">
        <v>1395</v>
      </c>
      <c r="H443" t="s">
        <v>1396</v>
      </c>
      <c r="J443" t="s">
        <v>59</v>
      </c>
      <c r="K443" t="s">
        <v>46</v>
      </c>
      <c r="L443" t="s">
        <v>1370</v>
      </c>
      <c r="N443">
        <v>999</v>
      </c>
    </row>
    <row r="444" spans="1:14" x14ac:dyDescent="0.2">
      <c r="A444" t="e">
        <v>#REF!</v>
      </c>
      <c r="B444">
        <v>991</v>
      </c>
      <c r="C444" t="e">
        <v>#REF!</v>
      </c>
      <c r="D444">
        <v>303</v>
      </c>
      <c r="E444">
        <v>10026</v>
      </c>
      <c r="F444" t="s">
        <v>1397</v>
      </c>
      <c r="G444" t="s">
        <v>1398</v>
      </c>
      <c r="J444" t="s">
        <v>59</v>
      </c>
      <c r="K444" t="s">
        <v>46</v>
      </c>
      <c r="L444" t="s">
        <v>1370</v>
      </c>
      <c r="N444">
        <v>999</v>
      </c>
    </row>
    <row r="445" spans="1:14" x14ac:dyDescent="0.2">
      <c r="A445" t="e">
        <v>#REF!</v>
      </c>
      <c r="B445">
        <v>991</v>
      </c>
      <c r="C445" t="e">
        <v>#REF!</v>
      </c>
      <c r="D445">
        <v>303</v>
      </c>
      <c r="E445">
        <v>10027</v>
      </c>
      <c r="F445" t="s">
        <v>1399</v>
      </c>
      <c r="G445" t="s">
        <v>1400</v>
      </c>
      <c r="J445" t="s">
        <v>59</v>
      </c>
      <c r="K445" t="s">
        <v>46</v>
      </c>
      <c r="L445" t="s">
        <v>1370</v>
      </c>
      <c r="N445">
        <v>999</v>
      </c>
    </row>
    <row r="446" spans="1:14" x14ac:dyDescent="0.2">
      <c r="A446" t="e">
        <v>#REF!</v>
      </c>
      <c r="B446">
        <v>991</v>
      </c>
      <c r="C446" t="e">
        <v>#REF!</v>
      </c>
      <c r="D446">
        <v>303</v>
      </c>
      <c r="E446">
        <v>10028</v>
      </c>
      <c r="F446" t="s">
        <v>1401</v>
      </c>
      <c r="G446" t="s">
        <v>1402</v>
      </c>
      <c r="J446" t="s">
        <v>59</v>
      </c>
      <c r="K446" t="s">
        <v>46</v>
      </c>
      <c r="L446" t="s">
        <v>1370</v>
      </c>
      <c r="N446">
        <v>999</v>
      </c>
    </row>
    <row r="447" spans="1:14" x14ac:dyDescent="0.2">
      <c r="A447" t="e">
        <v>#REF!</v>
      </c>
      <c r="B447">
        <v>991</v>
      </c>
      <c r="C447" t="e">
        <v>#REF!</v>
      </c>
      <c r="D447">
        <v>303</v>
      </c>
      <c r="E447">
        <v>10029</v>
      </c>
      <c r="F447" t="s">
        <v>1403</v>
      </c>
      <c r="G447" t="s">
        <v>1404</v>
      </c>
      <c r="J447" t="s">
        <v>59</v>
      </c>
      <c r="K447" t="s">
        <v>46</v>
      </c>
      <c r="L447" t="s">
        <v>1370</v>
      </c>
      <c r="N447">
        <v>999</v>
      </c>
    </row>
    <row r="448" spans="1:14" x14ac:dyDescent="0.2">
      <c r="A448" t="e">
        <v>#REF!</v>
      </c>
      <c r="B448">
        <v>991</v>
      </c>
      <c r="C448" t="e">
        <v>#REF!</v>
      </c>
      <c r="D448">
        <v>303</v>
      </c>
      <c r="E448">
        <v>10030</v>
      </c>
      <c r="F448" t="s">
        <v>1405</v>
      </c>
      <c r="G448" t="s">
        <v>1406</v>
      </c>
      <c r="H448" t="s">
        <v>1407</v>
      </c>
      <c r="J448" t="s">
        <v>59</v>
      </c>
      <c r="K448" t="s">
        <v>46</v>
      </c>
      <c r="L448" t="s">
        <v>1370</v>
      </c>
      <c r="N448">
        <v>999</v>
      </c>
    </row>
    <row r="449" spans="1:14" x14ac:dyDescent="0.2">
      <c r="A449" t="e">
        <v>#REF!</v>
      </c>
      <c r="B449">
        <v>991</v>
      </c>
      <c r="C449" t="e">
        <v>#REF!</v>
      </c>
      <c r="D449">
        <v>303</v>
      </c>
      <c r="E449">
        <v>10031</v>
      </c>
      <c r="F449" t="s">
        <v>1408</v>
      </c>
      <c r="G449" t="s">
        <v>1409</v>
      </c>
      <c r="H449" t="s">
        <v>1410</v>
      </c>
      <c r="J449" t="s">
        <v>59</v>
      </c>
      <c r="K449" t="s">
        <v>46</v>
      </c>
      <c r="L449" t="s">
        <v>1370</v>
      </c>
      <c r="N449">
        <v>999</v>
      </c>
    </row>
    <row r="450" spans="1:14" x14ac:dyDescent="0.2">
      <c r="A450" t="e">
        <v>#REF!</v>
      </c>
      <c r="B450">
        <v>991</v>
      </c>
      <c r="C450" t="e">
        <v>#REF!</v>
      </c>
      <c r="D450">
        <v>303</v>
      </c>
      <c r="E450">
        <v>10032</v>
      </c>
      <c r="F450" t="s">
        <v>1411</v>
      </c>
      <c r="G450" t="s">
        <v>1412</v>
      </c>
      <c r="J450" t="s">
        <v>59</v>
      </c>
      <c r="K450" t="s">
        <v>46</v>
      </c>
      <c r="L450" t="s">
        <v>1370</v>
      </c>
      <c r="N450">
        <v>999</v>
      </c>
    </row>
    <row r="451" spans="1:14" x14ac:dyDescent="0.2">
      <c r="A451" t="e">
        <v>#REF!</v>
      </c>
      <c r="B451">
        <v>991</v>
      </c>
      <c r="C451" t="e">
        <v>#REF!</v>
      </c>
      <c r="D451">
        <v>303</v>
      </c>
      <c r="E451">
        <v>10033</v>
      </c>
      <c r="F451" t="s">
        <v>1413</v>
      </c>
      <c r="G451" t="s">
        <v>1414</v>
      </c>
      <c r="H451" t="s">
        <v>1415</v>
      </c>
      <c r="J451" t="s">
        <v>59</v>
      </c>
      <c r="K451" t="s">
        <v>46</v>
      </c>
      <c r="L451" t="s">
        <v>1370</v>
      </c>
      <c r="N451">
        <v>999</v>
      </c>
    </row>
    <row r="452" spans="1:14" x14ac:dyDescent="0.2">
      <c r="A452" t="e">
        <v>#REF!</v>
      </c>
      <c r="B452">
        <v>991</v>
      </c>
      <c r="C452" t="e">
        <v>#REF!</v>
      </c>
      <c r="D452">
        <v>303</v>
      </c>
      <c r="E452">
        <v>10034</v>
      </c>
      <c r="F452" t="s">
        <v>1416</v>
      </c>
      <c r="G452" t="s">
        <v>1417</v>
      </c>
      <c r="H452" t="s">
        <v>1418</v>
      </c>
      <c r="J452" t="s">
        <v>59</v>
      </c>
      <c r="K452" t="s">
        <v>46</v>
      </c>
      <c r="L452" t="s">
        <v>1370</v>
      </c>
      <c r="N452">
        <v>999</v>
      </c>
    </row>
    <row r="453" spans="1:14" x14ac:dyDescent="0.2">
      <c r="A453" t="e">
        <v>#REF!</v>
      </c>
      <c r="B453">
        <v>991</v>
      </c>
      <c r="C453" t="e">
        <v>#REF!</v>
      </c>
      <c r="D453">
        <v>303</v>
      </c>
      <c r="E453">
        <v>10035</v>
      </c>
      <c r="F453" t="s">
        <v>1419</v>
      </c>
      <c r="G453" t="s">
        <v>1420</v>
      </c>
      <c r="H453" t="s">
        <v>1421</v>
      </c>
      <c r="J453" t="s">
        <v>59</v>
      </c>
      <c r="K453" t="s">
        <v>46</v>
      </c>
      <c r="L453" t="s">
        <v>1370</v>
      </c>
      <c r="N453">
        <v>999</v>
      </c>
    </row>
    <row r="454" spans="1:14" x14ac:dyDescent="0.2">
      <c r="A454" t="e">
        <v>#REF!</v>
      </c>
      <c r="B454">
        <v>991</v>
      </c>
      <c r="C454" t="e">
        <v>#REF!</v>
      </c>
      <c r="D454">
        <v>303</v>
      </c>
      <c r="E454">
        <v>10036</v>
      </c>
      <c r="F454" t="s">
        <v>1422</v>
      </c>
      <c r="G454" t="s">
        <v>1423</v>
      </c>
      <c r="H454" t="s">
        <v>1424</v>
      </c>
      <c r="J454" t="s">
        <v>59</v>
      </c>
      <c r="K454" t="s">
        <v>46</v>
      </c>
      <c r="L454" t="s">
        <v>1370</v>
      </c>
      <c r="N454">
        <v>999</v>
      </c>
    </row>
    <row r="455" spans="1:14" x14ac:dyDescent="0.2">
      <c r="A455" t="e">
        <v>#REF!</v>
      </c>
      <c r="B455">
        <v>991</v>
      </c>
      <c r="C455" t="e">
        <v>#REF!</v>
      </c>
      <c r="D455">
        <v>303</v>
      </c>
      <c r="E455">
        <v>10037</v>
      </c>
      <c r="F455" t="s">
        <v>1425</v>
      </c>
      <c r="G455" t="s">
        <v>1426</v>
      </c>
      <c r="J455" t="s">
        <v>59</v>
      </c>
      <c r="K455" t="s">
        <v>46</v>
      </c>
      <c r="L455" t="s">
        <v>1370</v>
      </c>
      <c r="N455">
        <v>999</v>
      </c>
    </row>
    <row r="456" spans="1:14" x14ac:dyDescent="0.2">
      <c r="A456" t="e">
        <v>#REF!</v>
      </c>
      <c r="B456">
        <v>991</v>
      </c>
      <c r="C456" t="e">
        <v>#REF!</v>
      </c>
      <c r="D456">
        <v>303</v>
      </c>
      <c r="E456">
        <v>10038</v>
      </c>
      <c r="F456" t="s">
        <v>1427</v>
      </c>
      <c r="G456" t="s">
        <v>1428</v>
      </c>
      <c r="J456" t="s">
        <v>59</v>
      </c>
      <c r="K456" t="s">
        <v>46</v>
      </c>
      <c r="L456" t="s">
        <v>1370</v>
      </c>
      <c r="N456">
        <v>999</v>
      </c>
    </row>
    <row r="457" spans="1:14" x14ac:dyDescent="0.2">
      <c r="A457" t="e">
        <v>#REF!</v>
      </c>
      <c r="B457">
        <v>991</v>
      </c>
      <c r="C457" t="e">
        <v>#REF!</v>
      </c>
      <c r="D457">
        <v>303</v>
      </c>
      <c r="E457">
        <v>10039</v>
      </c>
      <c r="F457" t="s">
        <v>1429</v>
      </c>
      <c r="G457" t="s">
        <v>1430</v>
      </c>
      <c r="J457" t="s">
        <v>59</v>
      </c>
      <c r="K457" t="s">
        <v>46</v>
      </c>
      <c r="L457" t="s">
        <v>1370</v>
      </c>
      <c r="N457">
        <v>999</v>
      </c>
    </row>
    <row r="458" spans="1:14" x14ac:dyDescent="0.2">
      <c r="A458" t="e">
        <v>#REF!</v>
      </c>
      <c r="B458">
        <v>991</v>
      </c>
      <c r="C458" t="e">
        <v>#REF!</v>
      </c>
      <c r="D458">
        <v>303</v>
      </c>
      <c r="E458">
        <v>10040</v>
      </c>
      <c r="F458" t="s">
        <v>1431</v>
      </c>
      <c r="G458" t="s">
        <v>1432</v>
      </c>
      <c r="H458" t="s">
        <v>1433</v>
      </c>
      <c r="J458" t="s">
        <v>59</v>
      </c>
      <c r="K458" t="s">
        <v>46</v>
      </c>
      <c r="L458" t="s">
        <v>1370</v>
      </c>
      <c r="N458">
        <v>999</v>
      </c>
    </row>
    <row r="459" spans="1:14" x14ac:dyDescent="0.2">
      <c r="A459" t="e">
        <v>#REF!</v>
      </c>
      <c r="B459">
        <v>991</v>
      </c>
      <c r="C459" t="e">
        <v>#REF!</v>
      </c>
      <c r="D459">
        <v>303</v>
      </c>
      <c r="E459">
        <v>10041</v>
      </c>
      <c r="F459" t="s">
        <v>1434</v>
      </c>
      <c r="G459" t="s">
        <v>1435</v>
      </c>
      <c r="H459" t="s">
        <v>1436</v>
      </c>
      <c r="J459" t="s">
        <v>59</v>
      </c>
      <c r="K459" t="s">
        <v>46</v>
      </c>
      <c r="L459" t="s">
        <v>1370</v>
      </c>
      <c r="N459">
        <v>999</v>
      </c>
    </row>
    <row r="460" spans="1:14" x14ac:dyDescent="0.2">
      <c r="A460" t="e">
        <v>#REF!</v>
      </c>
      <c r="B460">
        <v>991</v>
      </c>
      <c r="C460" t="e">
        <v>#REF!</v>
      </c>
      <c r="D460">
        <v>303</v>
      </c>
      <c r="E460">
        <v>10042</v>
      </c>
      <c r="F460" t="s">
        <v>1437</v>
      </c>
      <c r="G460" t="s">
        <v>1438</v>
      </c>
      <c r="J460" t="s">
        <v>59</v>
      </c>
      <c r="K460" t="s">
        <v>46</v>
      </c>
      <c r="L460" t="s">
        <v>1370</v>
      </c>
      <c r="N460">
        <v>999</v>
      </c>
    </row>
    <row r="461" spans="1:14" x14ac:dyDescent="0.2">
      <c r="A461" t="e">
        <v>#REF!</v>
      </c>
      <c r="B461">
        <v>991</v>
      </c>
      <c r="C461" t="e">
        <v>#REF!</v>
      </c>
      <c r="D461">
        <v>303</v>
      </c>
      <c r="E461">
        <v>10043</v>
      </c>
      <c r="F461" t="s">
        <v>1439</v>
      </c>
      <c r="G461" t="s">
        <v>1440</v>
      </c>
      <c r="J461" t="s">
        <v>59</v>
      </c>
      <c r="K461" t="s">
        <v>46</v>
      </c>
      <c r="L461" t="s">
        <v>1370</v>
      </c>
      <c r="N461">
        <v>999</v>
      </c>
    </row>
    <row r="462" spans="1:14" x14ac:dyDescent="0.2">
      <c r="A462" t="e">
        <v>#REF!</v>
      </c>
      <c r="B462">
        <v>991</v>
      </c>
      <c r="C462" t="e">
        <v>#REF!</v>
      </c>
      <c r="D462">
        <v>303</v>
      </c>
      <c r="E462">
        <v>10044</v>
      </c>
      <c r="F462" t="s">
        <v>1441</v>
      </c>
      <c r="G462" t="s">
        <v>1442</v>
      </c>
      <c r="J462" t="s">
        <v>59</v>
      </c>
      <c r="K462" t="s">
        <v>46</v>
      </c>
      <c r="L462" t="s">
        <v>1370</v>
      </c>
      <c r="N462">
        <v>999</v>
      </c>
    </row>
    <row r="463" spans="1:14" x14ac:dyDescent="0.2">
      <c r="A463" t="e">
        <v>#REF!</v>
      </c>
      <c r="B463">
        <v>991</v>
      </c>
      <c r="C463" t="e">
        <v>#REF!</v>
      </c>
      <c r="D463">
        <v>303</v>
      </c>
      <c r="E463">
        <v>10045</v>
      </c>
      <c r="F463" t="s">
        <v>1443</v>
      </c>
      <c r="G463" t="s">
        <v>1444</v>
      </c>
      <c r="H463" t="s">
        <v>1445</v>
      </c>
      <c r="J463" t="s">
        <v>59</v>
      </c>
      <c r="K463" t="s">
        <v>46</v>
      </c>
      <c r="L463" t="s">
        <v>1370</v>
      </c>
      <c r="N463">
        <v>999</v>
      </c>
    </row>
    <row r="464" spans="1:14" x14ac:dyDescent="0.2">
      <c r="A464" t="e">
        <v>#REF!</v>
      </c>
      <c r="B464">
        <v>991</v>
      </c>
      <c r="C464" t="e">
        <v>#REF!</v>
      </c>
      <c r="D464">
        <v>303</v>
      </c>
      <c r="E464">
        <v>10046</v>
      </c>
      <c r="F464" t="s">
        <v>1446</v>
      </c>
      <c r="G464" t="s">
        <v>1447</v>
      </c>
      <c r="J464" t="s">
        <v>59</v>
      </c>
      <c r="K464" t="s">
        <v>46</v>
      </c>
      <c r="L464" t="s">
        <v>1370</v>
      </c>
      <c r="N464">
        <v>999</v>
      </c>
    </row>
    <row r="465" spans="1:14" x14ac:dyDescent="0.2">
      <c r="A465" t="e">
        <v>#REF!</v>
      </c>
      <c r="B465">
        <v>991</v>
      </c>
      <c r="C465" t="e">
        <v>#REF!</v>
      </c>
      <c r="D465">
        <v>303</v>
      </c>
      <c r="E465">
        <v>10047</v>
      </c>
      <c r="F465" t="s">
        <v>1448</v>
      </c>
      <c r="G465" t="s">
        <v>1449</v>
      </c>
      <c r="J465" t="s">
        <v>59</v>
      </c>
      <c r="K465" t="s">
        <v>46</v>
      </c>
      <c r="L465" t="s">
        <v>1370</v>
      </c>
      <c r="N465">
        <v>999</v>
      </c>
    </row>
    <row r="466" spans="1:14" x14ac:dyDescent="0.2">
      <c r="A466" t="e">
        <v>#REF!</v>
      </c>
      <c r="B466">
        <v>991</v>
      </c>
      <c r="C466" t="e">
        <v>#REF!</v>
      </c>
      <c r="D466">
        <v>303</v>
      </c>
      <c r="E466">
        <v>10048</v>
      </c>
      <c r="F466" t="s">
        <v>1450</v>
      </c>
      <c r="G466" t="s">
        <v>1451</v>
      </c>
      <c r="J466" t="s">
        <v>59</v>
      </c>
      <c r="K466" t="s">
        <v>46</v>
      </c>
      <c r="L466" t="s">
        <v>1370</v>
      </c>
      <c r="N466">
        <v>999</v>
      </c>
    </row>
    <row r="467" spans="1:14" x14ac:dyDescent="0.2">
      <c r="A467" t="e">
        <v>#REF!</v>
      </c>
      <c r="B467">
        <v>991</v>
      </c>
      <c r="C467" t="e">
        <v>#REF!</v>
      </c>
      <c r="D467">
        <v>303</v>
      </c>
      <c r="E467">
        <v>10049</v>
      </c>
      <c r="F467" t="s">
        <v>1452</v>
      </c>
      <c r="G467" t="s">
        <v>1453</v>
      </c>
      <c r="J467" t="s">
        <v>59</v>
      </c>
      <c r="K467" t="s">
        <v>46</v>
      </c>
      <c r="L467" t="s">
        <v>1370</v>
      </c>
      <c r="N467">
        <v>999</v>
      </c>
    </row>
    <row r="468" spans="1:14" x14ac:dyDescent="0.2">
      <c r="A468" t="e">
        <v>#REF!</v>
      </c>
      <c r="B468">
        <v>991</v>
      </c>
      <c r="C468" t="e">
        <v>#REF!</v>
      </c>
      <c r="D468">
        <v>303</v>
      </c>
      <c r="E468">
        <v>10050</v>
      </c>
      <c r="F468" t="s">
        <v>1454</v>
      </c>
      <c r="G468" t="s">
        <v>1455</v>
      </c>
      <c r="J468" t="s">
        <v>59</v>
      </c>
      <c r="K468" t="s">
        <v>46</v>
      </c>
      <c r="L468" t="s">
        <v>1370</v>
      </c>
      <c r="N468">
        <v>999</v>
      </c>
    </row>
    <row r="469" spans="1:14" x14ac:dyDescent="0.2">
      <c r="A469" t="e">
        <v>#REF!</v>
      </c>
      <c r="B469">
        <v>991</v>
      </c>
      <c r="C469" t="e">
        <v>#REF!</v>
      </c>
      <c r="D469">
        <v>303</v>
      </c>
      <c r="E469">
        <v>10051</v>
      </c>
      <c r="F469" t="s">
        <v>1456</v>
      </c>
      <c r="G469" t="s">
        <v>1457</v>
      </c>
      <c r="H469" t="s">
        <v>1458</v>
      </c>
      <c r="J469" t="s">
        <v>59</v>
      </c>
      <c r="K469" t="s">
        <v>46</v>
      </c>
      <c r="L469" t="s">
        <v>1370</v>
      </c>
      <c r="N469">
        <v>999</v>
      </c>
    </row>
    <row r="470" spans="1:14" x14ac:dyDescent="0.2">
      <c r="A470" t="e">
        <v>#REF!</v>
      </c>
      <c r="B470">
        <v>991</v>
      </c>
      <c r="C470" t="e">
        <v>#REF!</v>
      </c>
      <c r="D470">
        <v>303</v>
      </c>
      <c r="E470">
        <v>10052</v>
      </c>
      <c r="F470" t="s">
        <v>1459</v>
      </c>
      <c r="G470" t="s">
        <v>1460</v>
      </c>
      <c r="J470" t="s">
        <v>59</v>
      </c>
      <c r="K470" t="s">
        <v>46</v>
      </c>
      <c r="L470" t="s">
        <v>1370</v>
      </c>
      <c r="N470">
        <v>999</v>
      </c>
    </row>
    <row r="471" spans="1:14" x14ac:dyDescent="0.2">
      <c r="A471" t="e">
        <v>#REF!</v>
      </c>
      <c r="B471">
        <v>991</v>
      </c>
      <c r="C471" t="e">
        <v>#REF!</v>
      </c>
      <c r="D471">
        <v>303</v>
      </c>
      <c r="E471">
        <v>10053</v>
      </c>
      <c r="F471" t="s">
        <v>1461</v>
      </c>
      <c r="G471" t="s">
        <v>1462</v>
      </c>
      <c r="J471" t="s">
        <v>59</v>
      </c>
      <c r="K471" t="s">
        <v>46</v>
      </c>
      <c r="L471" t="s">
        <v>1370</v>
      </c>
      <c r="N471">
        <v>999</v>
      </c>
    </row>
    <row r="472" spans="1:14" x14ac:dyDescent="0.2">
      <c r="A472" t="e">
        <v>#REF!</v>
      </c>
      <c r="B472">
        <v>991</v>
      </c>
      <c r="C472" t="e">
        <v>#REF!</v>
      </c>
      <c r="D472">
        <v>303</v>
      </c>
      <c r="E472">
        <v>10054</v>
      </c>
      <c r="F472" t="s">
        <v>1463</v>
      </c>
      <c r="G472" t="s">
        <v>1464</v>
      </c>
      <c r="J472" t="s">
        <v>59</v>
      </c>
      <c r="K472" t="s">
        <v>46</v>
      </c>
      <c r="L472" t="s">
        <v>1370</v>
      </c>
      <c r="N472">
        <v>999</v>
      </c>
    </row>
    <row r="473" spans="1:14" x14ac:dyDescent="0.2">
      <c r="A473" t="e">
        <v>#REF!</v>
      </c>
      <c r="B473">
        <v>991</v>
      </c>
      <c r="C473" t="e">
        <v>#REF!</v>
      </c>
      <c r="D473">
        <v>303</v>
      </c>
      <c r="E473">
        <v>10055</v>
      </c>
      <c r="F473" t="s">
        <v>1465</v>
      </c>
      <c r="G473" t="s">
        <v>1466</v>
      </c>
      <c r="H473" t="s">
        <v>1467</v>
      </c>
      <c r="J473" t="s">
        <v>59</v>
      </c>
      <c r="K473" t="s">
        <v>46</v>
      </c>
      <c r="L473" t="s">
        <v>1370</v>
      </c>
      <c r="N473">
        <v>999</v>
      </c>
    </row>
    <row r="474" spans="1:14" x14ac:dyDescent="0.2">
      <c r="A474" t="e">
        <v>#REF!</v>
      </c>
      <c r="B474">
        <v>991</v>
      </c>
      <c r="C474" t="e">
        <v>#REF!</v>
      </c>
      <c r="D474">
        <v>303</v>
      </c>
      <c r="E474">
        <v>10056</v>
      </c>
      <c r="F474" t="s">
        <v>1468</v>
      </c>
      <c r="G474" t="s">
        <v>1469</v>
      </c>
      <c r="J474" t="s">
        <v>59</v>
      </c>
      <c r="K474" t="s">
        <v>46</v>
      </c>
      <c r="L474" t="s">
        <v>1370</v>
      </c>
      <c r="N474">
        <v>999</v>
      </c>
    </row>
    <row r="475" spans="1:14" x14ac:dyDescent="0.2">
      <c r="A475" t="e">
        <v>#REF!</v>
      </c>
      <c r="B475">
        <v>991</v>
      </c>
      <c r="C475" t="e">
        <v>#REF!</v>
      </c>
      <c r="D475">
        <v>304</v>
      </c>
      <c r="E475">
        <v>10057</v>
      </c>
      <c r="F475" t="s">
        <v>1470</v>
      </c>
      <c r="G475" t="s">
        <v>1471</v>
      </c>
      <c r="J475" t="s">
        <v>59</v>
      </c>
      <c r="K475" t="s">
        <v>46</v>
      </c>
      <c r="L475" t="s">
        <v>1283</v>
      </c>
      <c r="N475">
        <v>999</v>
      </c>
    </row>
    <row r="476" spans="1:14" x14ac:dyDescent="0.2">
      <c r="A476" t="e">
        <v>#REF!</v>
      </c>
      <c r="B476">
        <v>991</v>
      </c>
      <c r="C476" t="e">
        <v>#REF!</v>
      </c>
      <c r="D476">
        <v>304</v>
      </c>
      <c r="E476">
        <v>10058</v>
      </c>
      <c r="F476" t="s">
        <v>1472</v>
      </c>
      <c r="G476" t="s">
        <v>1473</v>
      </c>
      <c r="J476" t="s">
        <v>59</v>
      </c>
      <c r="K476" t="s">
        <v>46</v>
      </c>
      <c r="L476" t="s">
        <v>1283</v>
      </c>
      <c r="N476">
        <v>999</v>
      </c>
    </row>
    <row r="477" spans="1:14" x14ac:dyDescent="0.2">
      <c r="A477" t="e">
        <v>#REF!</v>
      </c>
      <c r="B477">
        <v>991</v>
      </c>
      <c r="C477" t="e">
        <v>#REF!</v>
      </c>
      <c r="D477">
        <v>304</v>
      </c>
      <c r="E477">
        <v>10059</v>
      </c>
      <c r="F477" t="s">
        <v>1474</v>
      </c>
      <c r="G477" t="s">
        <v>1475</v>
      </c>
      <c r="J477" t="s">
        <v>59</v>
      </c>
      <c r="K477" t="s">
        <v>46</v>
      </c>
      <c r="L477" t="s">
        <v>1283</v>
      </c>
      <c r="N477">
        <v>999</v>
      </c>
    </row>
    <row r="478" spans="1:14" x14ac:dyDescent="0.2">
      <c r="A478" t="e">
        <v>#REF!</v>
      </c>
      <c r="B478">
        <v>991</v>
      </c>
      <c r="C478" t="e">
        <v>#REF!</v>
      </c>
      <c r="D478">
        <v>304</v>
      </c>
      <c r="E478">
        <v>10060</v>
      </c>
      <c r="F478" t="s">
        <v>1476</v>
      </c>
      <c r="G478" t="s">
        <v>1477</v>
      </c>
      <c r="J478" t="s">
        <v>59</v>
      </c>
      <c r="K478" t="s">
        <v>46</v>
      </c>
      <c r="L478" t="s">
        <v>1283</v>
      </c>
      <c r="N478">
        <v>999</v>
      </c>
    </row>
    <row r="479" spans="1:14" x14ac:dyDescent="0.2">
      <c r="A479" t="e">
        <v>#REF!</v>
      </c>
      <c r="B479">
        <v>991</v>
      </c>
      <c r="C479" t="e">
        <v>#REF!</v>
      </c>
      <c r="D479">
        <v>304</v>
      </c>
      <c r="E479">
        <v>10061</v>
      </c>
      <c r="F479" t="s">
        <v>1478</v>
      </c>
      <c r="G479" t="s">
        <v>1479</v>
      </c>
      <c r="J479" t="s">
        <v>59</v>
      </c>
      <c r="K479" t="s">
        <v>46</v>
      </c>
      <c r="L479" t="s">
        <v>1283</v>
      </c>
      <c r="N479">
        <v>999</v>
      </c>
    </row>
    <row r="480" spans="1:14" x14ac:dyDescent="0.2">
      <c r="A480" t="e">
        <v>#REF!</v>
      </c>
      <c r="B480">
        <v>991</v>
      </c>
      <c r="C480" t="e">
        <v>#REF!</v>
      </c>
      <c r="D480">
        <v>304</v>
      </c>
      <c r="E480">
        <v>10062</v>
      </c>
      <c r="F480" t="s">
        <v>1480</v>
      </c>
      <c r="G480" t="s">
        <v>1481</v>
      </c>
      <c r="J480" t="s">
        <v>59</v>
      </c>
      <c r="K480" t="s">
        <v>46</v>
      </c>
      <c r="L480" t="s">
        <v>1283</v>
      </c>
      <c r="N480">
        <v>999</v>
      </c>
    </row>
    <row r="481" spans="1:14" x14ac:dyDescent="0.2">
      <c r="A481" t="e">
        <v>#REF!</v>
      </c>
      <c r="B481">
        <v>991</v>
      </c>
      <c r="C481" t="e">
        <v>#REF!</v>
      </c>
      <c r="D481">
        <v>304</v>
      </c>
      <c r="E481">
        <v>10063</v>
      </c>
      <c r="F481" t="s">
        <v>1482</v>
      </c>
      <c r="G481" t="s">
        <v>1483</v>
      </c>
      <c r="J481" t="s">
        <v>59</v>
      </c>
      <c r="K481" t="s">
        <v>46</v>
      </c>
      <c r="L481" t="s">
        <v>1283</v>
      </c>
      <c r="N481">
        <v>999</v>
      </c>
    </row>
    <row r="482" spans="1:14" x14ac:dyDescent="0.2">
      <c r="A482" t="e">
        <v>#REF!</v>
      </c>
      <c r="B482">
        <v>991</v>
      </c>
      <c r="C482" t="e">
        <v>#REF!</v>
      </c>
      <c r="D482">
        <v>304</v>
      </c>
      <c r="E482">
        <v>10064</v>
      </c>
      <c r="F482" t="s">
        <v>1484</v>
      </c>
      <c r="G482" t="s">
        <v>1485</v>
      </c>
      <c r="J482" t="s">
        <v>59</v>
      </c>
      <c r="K482" t="s">
        <v>46</v>
      </c>
      <c r="L482" t="s">
        <v>1283</v>
      </c>
      <c r="N482">
        <v>999</v>
      </c>
    </row>
    <row r="483" spans="1:14" x14ac:dyDescent="0.2">
      <c r="A483" t="e">
        <v>#REF!</v>
      </c>
      <c r="B483">
        <v>991</v>
      </c>
      <c r="C483" t="e">
        <v>#REF!</v>
      </c>
      <c r="D483">
        <v>304</v>
      </c>
      <c r="E483">
        <v>10065</v>
      </c>
      <c r="F483" t="s">
        <v>1486</v>
      </c>
      <c r="G483" t="s">
        <v>1487</v>
      </c>
      <c r="J483" t="s">
        <v>59</v>
      </c>
      <c r="K483" t="s">
        <v>46</v>
      </c>
      <c r="L483" t="s">
        <v>1283</v>
      </c>
      <c r="N483">
        <v>999</v>
      </c>
    </row>
    <row r="484" spans="1:14" x14ac:dyDescent="0.2">
      <c r="A484" t="e">
        <v>#REF!</v>
      </c>
      <c r="B484">
        <v>991</v>
      </c>
      <c r="C484" t="e">
        <v>#REF!</v>
      </c>
      <c r="D484">
        <v>304</v>
      </c>
      <c r="E484">
        <v>10066</v>
      </c>
      <c r="F484" t="s">
        <v>1488</v>
      </c>
      <c r="G484" t="s">
        <v>1489</v>
      </c>
      <c r="J484" t="s">
        <v>59</v>
      </c>
      <c r="K484" t="s">
        <v>46</v>
      </c>
      <c r="L484" t="s">
        <v>1283</v>
      </c>
      <c r="N484">
        <v>999</v>
      </c>
    </row>
    <row r="485" spans="1:14" x14ac:dyDescent="0.2">
      <c r="A485" t="e">
        <v>#REF!</v>
      </c>
      <c r="B485">
        <v>991</v>
      </c>
      <c r="C485" t="e">
        <v>#REF!</v>
      </c>
      <c r="D485">
        <v>304</v>
      </c>
      <c r="E485">
        <v>10067</v>
      </c>
      <c r="F485" t="s">
        <v>1490</v>
      </c>
      <c r="G485" t="s">
        <v>1491</v>
      </c>
      <c r="J485" t="s">
        <v>59</v>
      </c>
      <c r="K485" t="s">
        <v>46</v>
      </c>
      <c r="L485" t="s">
        <v>1283</v>
      </c>
      <c r="N485">
        <v>999</v>
      </c>
    </row>
    <row r="486" spans="1:14" x14ac:dyDescent="0.2">
      <c r="A486" t="e">
        <v>#REF!</v>
      </c>
      <c r="B486">
        <v>991</v>
      </c>
      <c r="C486" t="e">
        <v>#REF!</v>
      </c>
      <c r="D486">
        <v>304</v>
      </c>
      <c r="E486">
        <v>10068</v>
      </c>
      <c r="F486" t="s">
        <v>1492</v>
      </c>
      <c r="G486" t="s">
        <v>1493</v>
      </c>
      <c r="J486" t="s">
        <v>59</v>
      </c>
      <c r="K486" t="s">
        <v>46</v>
      </c>
      <c r="L486" t="s">
        <v>1283</v>
      </c>
      <c r="N486">
        <v>999</v>
      </c>
    </row>
    <row r="487" spans="1:14" x14ac:dyDescent="0.2">
      <c r="A487" t="e">
        <v>#REF!</v>
      </c>
      <c r="B487">
        <v>991</v>
      </c>
      <c r="C487" t="e">
        <v>#REF!</v>
      </c>
      <c r="D487">
        <v>304</v>
      </c>
      <c r="E487">
        <v>10069</v>
      </c>
      <c r="F487" t="s">
        <v>1494</v>
      </c>
      <c r="G487" t="s">
        <v>1495</v>
      </c>
      <c r="J487" t="s">
        <v>59</v>
      </c>
      <c r="K487" t="s">
        <v>46</v>
      </c>
      <c r="L487" t="s">
        <v>1283</v>
      </c>
      <c r="N487">
        <v>999</v>
      </c>
    </row>
    <row r="488" spans="1:14" x14ac:dyDescent="0.2">
      <c r="A488" t="e">
        <v>#REF!</v>
      </c>
      <c r="B488">
        <v>991</v>
      </c>
      <c r="C488" t="e">
        <v>#REF!</v>
      </c>
      <c r="D488">
        <v>304</v>
      </c>
      <c r="E488">
        <v>10070</v>
      </c>
      <c r="F488" t="s">
        <v>1496</v>
      </c>
      <c r="G488" t="s">
        <v>1497</v>
      </c>
      <c r="J488" t="s">
        <v>59</v>
      </c>
      <c r="K488" t="s">
        <v>46</v>
      </c>
      <c r="L488" t="s">
        <v>1283</v>
      </c>
      <c r="N488">
        <v>999</v>
      </c>
    </row>
    <row r="489" spans="1:14" x14ac:dyDescent="0.2">
      <c r="A489" t="e">
        <v>#REF!</v>
      </c>
      <c r="B489">
        <v>991</v>
      </c>
      <c r="C489" t="e">
        <v>#REF!</v>
      </c>
      <c r="D489">
        <v>304</v>
      </c>
      <c r="E489">
        <v>10071</v>
      </c>
      <c r="F489" t="s">
        <v>1498</v>
      </c>
      <c r="G489" t="s">
        <v>1499</v>
      </c>
      <c r="J489" t="s">
        <v>59</v>
      </c>
      <c r="K489" t="s">
        <v>46</v>
      </c>
      <c r="L489" t="s">
        <v>1283</v>
      </c>
      <c r="N489">
        <v>999</v>
      </c>
    </row>
    <row r="490" spans="1:14" x14ac:dyDescent="0.2">
      <c r="A490" t="e">
        <v>#REF!</v>
      </c>
      <c r="B490">
        <v>991</v>
      </c>
      <c r="C490" t="e">
        <v>#REF!</v>
      </c>
      <c r="D490">
        <v>304</v>
      </c>
      <c r="E490">
        <v>10072</v>
      </c>
      <c r="F490" t="s">
        <v>1500</v>
      </c>
      <c r="G490" t="s">
        <v>1501</v>
      </c>
      <c r="J490" t="s">
        <v>59</v>
      </c>
      <c r="K490" t="s">
        <v>46</v>
      </c>
      <c r="L490" t="s">
        <v>1283</v>
      </c>
      <c r="N490">
        <v>999</v>
      </c>
    </row>
    <row r="491" spans="1:14" x14ac:dyDescent="0.2">
      <c r="A491" t="e">
        <v>#REF!</v>
      </c>
      <c r="B491">
        <v>991</v>
      </c>
      <c r="C491" t="e">
        <v>#REF!</v>
      </c>
      <c r="D491">
        <v>304</v>
      </c>
      <c r="E491">
        <v>10073</v>
      </c>
      <c r="F491" t="s">
        <v>1502</v>
      </c>
      <c r="G491" t="s">
        <v>1503</v>
      </c>
      <c r="J491" t="s">
        <v>59</v>
      </c>
      <c r="K491" t="s">
        <v>46</v>
      </c>
      <c r="L491" t="s">
        <v>1283</v>
      </c>
      <c r="N491">
        <v>999</v>
      </c>
    </row>
    <row r="492" spans="1:14" x14ac:dyDescent="0.2">
      <c r="A492" t="e">
        <v>#REF!</v>
      </c>
      <c r="B492">
        <v>991</v>
      </c>
      <c r="C492" t="e">
        <v>#REF!</v>
      </c>
      <c r="D492">
        <v>304</v>
      </c>
      <c r="E492">
        <v>10074</v>
      </c>
      <c r="F492" t="s">
        <v>1504</v>
      </c>
      <c r="G492" t="s">
        <v>1505</v>
      </c>
      <c r="J492" t="s">
        <v>59</v>
      </c>
      <c r="K492" t="s">
        <v>46</v>
      </c>
      <c r="L492" t="s">
        <v>1283</v>
      </c>
      <c r="N492">
        <v>999</v>
      </c>
    </row>
    <row r="493" spans="1:14" x14ac:dyDescent="0.2">
      <c r="A493" t="e">
        <v>#REF!</v>
      </c>
      <c r="B493">
        <v>991</v>
      </c>
      <c r="C493" t="e">
        <v>#REF!</v>
      </c>
      <c r="D493">
        <v>304</v>
      </c>
      <c r="E493">
        <v>10075</v>
      </c>
      <c r="F493" t="s">
        <v>1506</v>
      </c>
      <c r="G493" t="s">
        <v>1507</v>
      </c>
      <c r="J493" t="s">
        <v>59</v>
      </c>
      <c r="K493" t="s">
        <v>46</v>
      </c>
      <c r="L493" t="s">
        <v>1283</v>
      </c>
      <c r="N493">
        <v>999</v>
      </c>
    </row>
    <row r="494" spans="1:14" x14ac:dyDescent="0.2">
      <c r="A494" t="e">
        <v>#REF!</v>
      </c>
      <c r="B494">
        <v>991</v>
      </c>
      <c r="C494" t="e">
        <v>#REF!</v>
      </c>
      <c r="D494">
        <v>304</v>
      </c>
      <c r="E494">
        <v>10076</v>
      </c>
      <c r="F494" t="s">
        <v>1508</v>
      </c>
      <c r="G494" t="s">
        <v>1509</v>
      </c>
      <c r="J494" t="s">
        <v>59</v>
      </c>
      <c r="K494" t="s">
        <v>46</v>
      </c>
      <c r="L494" t="s">
        <v>1283</v>
      </c>
      <c r="N494">
        <v>999</v>
      </c>
    </row>
    <row r="495" spans="1:14" x14ac:dyDescent="0.2">
      <c r="A495" t="e">
        <v>#REF!</v>
      </c>
      <c r="B495">
        <v>991</v>
      </c>
      <c r="C495" t="e">
        <v>#REF!</v>
      </c>
      <c r="D495">
        <v>304</v>
      </c>
      <c r="E495">
        <v>10077</v>
      </c>
      <c r="F495" t="s">
        <v>1510</v>
      </c>
      <c r="G495" t="s">
        <v>1511</v>
      </c>
      <c r="J495" t="s">
        <v>59</v>
      </c>
      <c r="K495" t="s">
        <v>46</v>
      </c>
      <c r="L495" t="s">
        <v>1283</v>
      </c>
      <c r="N495">
        <v>999</v>
      </c>
    </row>
    <row r="496" spans="1:14" x14ac:dyDescent="0.2">
      <c r="A496" t="e">
        <v>#REF!</v>
      </c>
      <c r="B496">
        <v>991</v>
      </c>
      <c r="C496" t="e">
        <v>#REF!</v>
      </c>
      <c r="D496">
        <v>304</v>
      </c>
      <c r="E496">
        <v>10078</v>
      </c>
      <c r="F496" t="s">
        <v>1512</v>
      </c>
      <c r="G496" t="s">
        <v>1513</v>
      </c>
      <c r="J496" t="s">
        <v>59</v>
      </c>
      <c r="K496" t="s">
        <v>46</v>
      </c>
      <c r="L496" t="s">
        <v>1283</v>
      </c>
      <c r="N496">
        <v>999</v>
      </c>
    </row>
    <row r="497" spans="1:14" x14ac:dyDescent="0.2">
      <c r="A497" t="e">
        <v>#REF!</v>
      </c>
      <c r="B497">
        <v>991</v>
      </c>
      <c r="C497" t="e">
        <v>#REF!</v>
      </c>
      <c r="D497">
        <v>304</v>
      </c>
      <c r="E497">
        <v>10079</v>
      </c>
      <c r="F497" t="s">
        <v>1514</v>
      </c>
      <c r="G497" t="s">
        <v>1515</v>
      </c>
      <c r="J497" t="s">
        <v>59</v>
      </c>
      <c r="K497" t="s">
        <v>46</v>
      </c>
      <c r="L497" t="s">
        <v>1283</v>
      </c>
      <c r="N497">
        <v>999</v>
      </c>
    </row>
    <row r="498" spans="1:14" x14ac:dyDescent="0.2">
      <c r="A498" t="e">
        <v>#REF!</v>
      </c>
      <c r="B498">
        <v>991</v>
      </c>
      <c r="C498" t="e">
        <v>#REF!</v>
      </c>
      <c r="D498">
        <v>304</v>
      </c>
      <c r="E498">
        <v>10080</v>
      </c>
      <c r="F498" t="s">
        <v>1516</v>
      </c>
      <c r="G498" t="s">
        <v>1517</v>
      </c>
      <c r="J498" t="s">
        <v>59</v>
      </c>
      <c r="K498" t="s">
        <v>46</v>
      </c>
      <c r="L498" t="s">
        <v>1283</v>
      </c>
      <c r="N498">
        <v>999</v>
      </c>
    </row>
    <row r="499" spans="1:14" x14ac:dyDescent="0.2">
      <c r="A499" t="e">
        <v>#REF!</v>
      </c>
      <c r="B499">
        <v>991</v>
      </c>
      <c r="C499" t="e">
        <v>#REF!</v>
      </c>
      <c r="D499">
        <v>304</v>
      </c>
      <c r="E499">
        <v>10081</v>
      </c>
      <c r="F499" t="s">
        <v>1518</v>
      </c>
      <c r="G499" t="s">
        <v>1519</v>
      </c>
      <c r="J499" t="s">
        <v>59</v>
      </c>
      <c r="K499" t="s">
        <v>46</v>
      </c>
      <c r="L499" t="s">
        <v>1283</v>
      </c>
      <c r="N499">
        <v>999</v>
      </c>
    </row>
    <row r="500" spans="1:14" x14ac:dyDescent="0.2">
      <c r="A500" t="e">
        <v>#REF!</v>
      </c>
      <c r="B500">
        <v>991</v>
      </c>
      <c r="C500" t="e">
        <v>#REF!</v>
      </c>
      <c r="D500">
        <v>304</v>
      </c>
      <c r="E500">
        <v>10082</v>
      </c>
      <c r="F500" t="s">
        <v>1520</v>
      </c>
      <c r="G500" t="s">
        <v>1521</v>
      </c>
      <c r="J500" t="s">
        <v>59</v>
      </c>
      <c r="K500" t="s">
        <v>46</v>
      </c>
      <c r="L500" t="s">
        <v>1283</v>
      </c>
      <c r="N500">
        <v>999</v>
      </c>
    </row>
    <row r="501" spans="1:14" x14ac:dyDescent="0.2">
      <c r="A501" t="e">
        <v>#REF!</v>
      </c>
      <c r="B501">
        <v>991</v>
      </c>
      <c r="C501" t="e">
        <v>#REF!</v>
      </c>
      <c r="D501">
        <v>304</v>
      </c>
      <c r="E501">
        <v>10083</v>
      </c>
      <c r="F501" t="s">
        <v>1522</v>
      </c>
      <c r="G501" t="s">
        <v>1523</v>
      </c>
      <c r="J501" t="s">
        <v>59</v>
      </c>
      <c r="K501" t="s">
        <v>46</v>
      </c>
      <c r="L501" t="s">
        <v>1283</v>
      </c>
      <c r="N501">
        <v>999</v>
      </c>
    </row>
    <row r="502" spans="1:14" x14ac:dyDescent="0.2">
      <c r="A502" t="e">
        <v>#REF!</v>
      </c>
      <c r="B502">
        <v>991</v>
      </c>
      <c r="C502" t="e">
        <v>#REF!</v>
      </c>
      <c r="D502">
        <v>304</v>
      </c>
      <c r="E502">
        <v>10084</v>
      </c>
      <c r="F502" t="s">
        <v>1524</v>
      </c>
      <c r="G502" t="s">
        <v>1525</v>
      </c>
      <c r="J502" t="s">
        <v>59</v>
      </c>
      <c r="K502" t="s">
        <v>46</v>
      </c>
      <c r="L502" t="s">
        <v>1283</v>
      </c>
      <c r="N502">
        <v>999</v>
      </c>
    </row>
    <row r="503" spans="1:14" x14ac:dyDescent="0.2">
      <c r="A503" t="e">
        <v>#REF!</v>
      </c>
      <c r="B503">
        <v>991</v>
      </c>
      <c r="C503" t="e">
        <v>#REF!</v>
      </c>
      <c r="D503">
        <v>304</v>
      </c>
      <c r="E503">
        <v>10085</v>
      </c>
      <c r="F503" t="s">
        <v>1526</v>
      </c>
      <c r="G503" t="s">
        <v>1527</v>
      </c>
      <c r="J503" t="s">
        <v>59</v>
      </c>
      <c r="K503" t="s">
        <v>46</v>
      </c>
      <c r="L503" t="s">
        <v>1283</v>
      </c>
      <c r="N503">
        <v>999</v>
      </c>
    </row>
    <row r="504" spans="1:14" x14ac:dyDescent="0.2">
      <c r="A504" t="e">
        <v>#REF!</v>
      </c>
      <c r="B504">
        <v>991</v>
      </c>
      <c r="C504" t="e">
        <v>#REF!</v>
      </c>
      <c r="D504">
        <v>304</v>
      </c>
      <c r="E504">
        <v>10086</v>
      </c>
      <c r="F504" t="s">
        <v>1528</v>
      </c>
      <c r="G504" t="s">
        <v>1529</v>
      </c>
      <c r="J504" t="s">
        <v>59</v>
      </c>
      <c r="K504" t="s">
        <v>46</v>
      </c>
      <c r="L504" t="s">
        <v>1283</v>
      </c>
      <c r="N504">
        <v>999</v>
      </c>
    </row>
    <row r="505" spans="1:14" x14ac:dyDescent="0.2">
      <c r="A505" t="e">
        <v>#REF!</v>
      </c>
      <c r="B505">
        <v>991</v>
      </c>
      <c r="C505" t="e">
        <v>#REF!</v>
      </c>
      <c r="D505">
        <v>304</v>
      </c>
      <c r="E505">
        <v>10087</v>
      </c>
      <c r="F505" t="s">
        <v>1530</v>
      </c>
      <c r="G505" t="s">
        <v>1531</v>
      </c>
      <c r="J505" t="s">
        <v>59</v>
      </c>
      <c r="K505" t="s">
        <v>46</v>
      </c>
      <c r="L505" t="s">
        <v>1283</v>
      </c>
      <c r="N505">
        <v>999</v>
      </c>
    </row>
    <row r="506" spans="1:14" x14ac:dyDescent="0.2">
      <c r="A506" t="e">
        <v>#REF!</v>
      </c>
      <c r="B506">
        <v>991</v>
      </c>
      <c r="C506" t="e">
        <v>#REF!</v>
      </c>
      <c r="D506">
        <v>304</v>
      </c>
      <c r="E506">
        <v>10088</v>
      </c>
      <c r="F506" t="s">
        <v>1532</v>
      </c>
      <c r="G506" t="s">
        <v>1533</v>
      </c>
      <c r="J506" t="s">
        <v>59</v>
      </c>
      <c r="K506" t="s">
        <v>46</v>
      </c>
      <c r="L506" t="s">
        <v>1283</v>
      </c>
      <c r="N506">
        <v>999</v>
      </c>
    </row>
    <row r="507" spans="1:14" x14ac:dyDescent="0.2">
      <c r="A507" t="e">
        <v>#REF!</v>
      </c>
      <c r="B507">
        <v>991</v>
      </c>
      <c r="C507" t="e">
        <v>#REF!</v>
      </c>
      <c r="D507">
        <v>304</v>
      </c>
      <c r="E507">
        <v>10089</v>
      </c>
      <c r="F507" t="s">
        <v>1534</v>
      </c>
      <c r="G507" t="s">
        <v>1535</v>
      </c>
      <c r="J507" t="s">
        <v>59</v>
      </c>
      <c r="K507" t="s">
        <v>46</v>
      </c>
      <c r="L507" t="s">
        <v>1283</v>
      </c>
      <c r="N507">
        <v>999</v>
      </c>
    </row>
    <row r="508" spans="1:14" x14ac:dyDescent="0.2">
      <c r="A508" t="e">
        <v>#REF!</v>
      </c>
      <c r="B508">
        <v>991</v>
      </c>
      <c r="C508" t="e">
        <v>#REF!</v>
      </c>
      <c r="D508">
        <v>304</v>
      </c>
      <c r="E508">
        <v>10090</v>
      </c>
      <c r="F508" t="s">
        <v>1536</v>
      </c>
      <c r="G508" t="s">
        <v>1537</v>
      </c>
      <c r="J508" t="s">
        <v>59</v>
      </c>
      <c r="K508" t="s">
        <v>46</v>
      </c>
      <c r="L508" t="s">
        <v>1283</v>
      </c>
      <c r="N508">
        <v>999</v>
      </c>
    </row>
    <row r="509" spans="1:14" x14ac:dyDescent="0.2">
      <c r="A509" t="e">
        <v>#REF!</v>
      </c>
      <c r="B509">
        <v>991</v>
      </c>
      <c r="C509" t="e">
        <v>#REF!</v>
      </c>
      <c r="D509">
        <v>304</v>
      </c>
      <c r="E509">
        <v>10091</v>
      </c>
      <c r="F509" t="s">
        <v>1538</v>
      </c>
      <c r="G509" t="s">
        <v>1539</v>
      </c>
      <c r="J509" t="s">
        <v>59</v>
      </c>
      <c r="K509" t="s">
        <v>46</v>
      </c>
      <c r="L509" t="s">
        <v>1283</v>
      </c>
      <c r="N509">
        <v>999</v>
      </c>
    </row>
    <row r="510" spans="1:14" x14ac:dyDescent="0.2">
      <c r="A510" t="e">
        <v>#REF!</v>
      </c>
      <c r="B510">
        <v>991</v>
      </c>
      <c r="C510" t="e">
        <v>#REF!</v>
      </c>
      <c r="D510">
        <v>304</v>
      </c>
      <c r="E510">
        <v>10092</v>
      </c>
      <c r="F510" t="s">
        <v>1540</v>
      </c>
      <c r="G510" t="s">
        <v>1541</v>
      </c>
      <c r="J510" t="s">
        <v>59</v>
      </c>
      <c r="K510" t="s">
        <v>46</v>
      </c>
      <c r="L510" t="s">
        <v>1283</v>
      </c>
      <c r="N510">
        <v>999</v>
      </c>
    </row>
    <row r="511" spans="1:14" x14ac:dyDescent="0.2">
      <c r="A511" t="e">
        <v>#REF!</v>
      </c>
      <c r="B511">
        <v>991</v>
      </c>
      <c r="C511" t="e">
        <v>#REF!</v>
      </c>
      <c r="D511">
        <v>304</v>
      </c>
      <c r="E511">
        <v>10093</v>
      </c>
      <c r="F511" t="s">
        <v>1542</v>
      </c>
      <c r="G511" t="s">
        <v>1543</v>
      </c>
      <c r="J511" t="s">
        <v>59</v>
      </c>
      <c r="K511" t="s">
        <v>46</v>
      </c>
      <c r="L511" t="s">
        <v>1283</v>
      </c>
      <c r="N511">
        <v>999</v>
      </c>
    </row>
    <row r="512" spans="1:14" x14ac:dyDescent="0.2">
      <c r="A512" t="e">
        <v>#REF!</v>
      </c>
      <c r="B512">
        <v>991</v>
      </c>
      <c r="C512" t="e">
        <v>#REF!</v>
      </c>
      <c r="D512">
        <v>304</v>
      </c>
      <c r="E512">
        <v>10094</v>
      </c>
      <c r="F512" t="s">
        <v>1544</v>
      </c>
      <c r="G512" t="s">
        <v>1545</v>
      </c>
      <c r="J512" t="s">
        <v>59</v>
      </c>
      <c r="K512" t="s">
        <v>46</v>
      </c>
      <c r="L512" t="s">
        <v>1283</v>
      </c>
      <c r="N512">
        <v>999</v>
      </c>
    </row>
    <row r="513" spans="1:14" x14ac:dyDescent="0.2">
      <c r="A513" t="e">
        <v>#REF!</v>
      </c>
      <c r="B513">
        <v>991</v>
      </c>
      <c r="C513" t="e">
        <v>#REF!</v>
      </c>
      <c r="D513">
        <v>304</v>
      </c>
      <c r="E513">
        <v>10095</v>
      </c>
      <c r="F513" t="s">
        <v>1546</v>
      </c>
      <c r="G513" t="s">
        <v>1547</v>
      </c>
      <c r="J513" t="s">
        <v>59</v>
      </c>
      <c r="K513" t="s">
        <v>46</v>
      </c>
      <c r="L513" t="s">
        <v>1283</v>
      </c>
      <c r="N513">
        <v>999</v>
      </c>
    </row>
    <row r="514" spans="1:14" x14ac:dyDescent="0.2">
      <c r="A514" t="e">
        <v>#REF!</v>
      </c>
      <c r="B514">
        <v>991</v>
      </c>
      <c r="C514" t="e">
        <v>#REF!</v>
      </c>
      <c r="D514">
        <v>304</v>
      </c>
      <c r="E514">
        <v>10096</v>
      </c>
      <c r="F514" t="s">
        <v>1548</v>
      </c>
      <c r="G514" t="s">
        <v>1549</v>
      </c>
      <c r="J514" t="s">
        <v>59</v>
      </c>
      <c r="K514" t="s">
        <v>46</v>
      </c>
      <c r="L514" t="s">
        <v>1283</v>
      </c>
      <c r="N514">
        <v>999</v>
      </c>
    </row>
    <row r="515" spans="1:14" x14ac:dyDescent="0.2">
      <c r="A515" t="e">
        <v>#REF!</v>
      </c>
      <c r="B515">
        <v>991</v>
      </c>
      <c r="C515" t="e">
        <v>#REF!</v>
      </c>
      <c r="D515">
        <v>304</v>
      </c>
      <c r="E515">
        <v>10097</v>
      </c>
      <c r="F515" t="s">
        <v>1550</v>
      </c>
      <c r="G515" t="s">
        <v>1451</v>
      </c>
      <c r="J515" t="s">
        <v>59</v>
      </c>
      <c r="K515" t="s">
        <v>46</v>
      </c>
      <c r="L515" t="s">
        <v>1283</v>
      </c>
      <c r="N515">
        <v>999</v>
      </c>
    </row>
    <row r="516" spans="1:14" x14ac:dyDescent="0.2">
      <c r="A516" t="e">
        <v>#REF!</v>
      </c>
      <c r="B516">
        <v>991</v>
      </c>
      <c r="C516" t="e">
        <v>#REF!</v>
      </c>
      <c r="D516">
        <v>304</v>
      </c>
      <c r="E516">
        <v>10098</v>
      </c>
      <c r="F516" t="s">
        <v>1551</v>
      </c>
      <c r="G516" t="s">
        <v>1552</v>
      </c>
      <c r="J516" t="s">
        <v>59</v>
      </c>
      <c r="K516" t="s">
        <v>46</v>
      </c>
      <c r="L516" t="s">
        <v>1283</v>
      </c>
      <c r="N516">
        <v>999</v>
      </c>
    </row>
    <row r="517" spans="1:14" x14ac:dyDescent="0.2">
      <c r="A517" t="e">
        <v>#REF!</v>
      </c>
      <c r="B517">
        <v>991</v>
      </c>
      <c r="C517" t="e">
        <v>#REF!</v>
      </c>
      <c r="D517">
        <v>304</v>
      </c>
      <c r="E517">
        <v>10099</v>
      </c>
      <c r="F517" t="s">
        <v>1553</v>
      </c>
      <c r="G517" t="s">
        <v>1554</v>
      </c>
      <c r="J517" t="s">
        <v>59</v>
      </c>
      <c r="K517" t="s">
        <v>46</v>
      </c>
      <c r="L517" t="s">
        <v>1283</v>
      </c>
      <c r="N517">
        <v>999</v>
      </c>
    </row>
    <row r="518" spans="1:14" x14ac:dyDescent="0.2">
      <c r="A518" t="e">
        <v>#REF!</v>
      </c>
      <c r="B518">
        <v>991</v>
      </c>
      <c r="C518" t="e">
        <v>#REF!</v>
      </c>
      <c r="D518">
        <v>304</v>
      </c>
      <c r="E518">
        <v>10100</v>
      </c>
      <c r="F518" t="s">
        <v>1555</v>
      </c>
      <c r="G518" t="s">
        <v>1556</v>
      </c>
      <c r="J518" t="s">
        <v>59</v>
      </c>
      <c r="K518" t="s">
        <v>46</v>
      </c>
      <c r="L518" t="s">
        <v>1283</v>
      </c>
      <c r="N518">
        <v>999</v>
      </c>
    </row>
    <row r="519" spans="1:14" x14ac:dyDescent="0.2">
      <c r="A519" t="e">
        <v>#REF!</v>
      </c>
      <c r="B519">
        <v>991</v>
      </c>
      <c r="C519" t="e">
        <v>#REF!</v>
      </c>
      <c r="D519">
        <v>304</v>
      </c>
      <c r="E519">
        <v>10101</v>
      </c>
      <c r="F519" t="s">
        <v>1557</v>
      </c>
      <c r="G519" t="s">
        <v>1558</v>
      </c>
      <c r="J519" t="s">
        <v>59</v>
      </c>
      <c r="K519" t="s">
        <v>46</v>
      </c>
      <c r="L519" t="s">
        <v>1283</v>
      </c>
      <c r="N519">
        <v>999</v>
      </c>
    </row>
    <row r="520" spans="1:14" x14ac:dyDescent="0.2">
      <c r="A520" t="e">
        <v>#REF!</v>
      </c>
      <c r="B520">
        <v>991</v>
      </c>
      <c r="C520" t="e">
        <v>#REF!</v>
      </c>
      <c r="D520">
        <v>304</v>
      </c>
      <c r="E520">
        <v>10102</v>
      </c>
      <c r="F520" t="s">
        <v>1559</v>
      </c>
      <c r="G520" t="s">
        <v>1560</v>
      </c>
      <c r="J520" t="s">
        <v>59</v>
      </c>
      <c r="K520" t="s">
        <v>46</v>
      </c>
      <c r="L520" t="s">
        <v>1283</v>
      </c>
      <c r="N520">
        <v>999</v>
      </c>
    </row>
    <row r="521" spans="1:14" x14ac:dyDescent="0.2">
      <c r="A521" t="e">
        <v>#REF!</v>
      </c>
      <c r="B521">
        <v>991</v>
      </c>
      <c r="C521" t="e">
        <v>#REF!</v>
      </c>
      <c r="D521">
        <v>304</v>
      </c>
      <c r="E521">
        <v>10103</v>
      </c>
      <c r="F521" t="s">
        <v>1561</v>
      </c>
      <c r="G521" t="s">
        <v>1562</v>
      </c>
      <c r="J521" t="s">
        <v>59</v>
      </c>
      <c r="K521" t="s">
        <v>46</v>
      </c>
      <c r="L521" t="s">
        <v>1283</v>
      </c>
      <c r="N521">
        <v>999</v>
      </c>
    </row>
    <row r="522" spans="1:14" x14ac:dyDescent="0.2">
      <c r="A522" t="e">
        <v>#REF!</v>
      </c>
      <c r="B522">
        <v>991</v>
      </c>
      <c r="C522" t="e">
        <v>#REF!</v>
      </c>
      <c r="D522">
        <v>304</v>
      </c>
      <c r="E522">
        <v>10104</v>
      </c>
      <c r="F522" t="s">
        <v>1563</v>
      </c>
      <c r="G522" t="s">
        <v>1564</v>
      </c>
      <c r="J522" t="s">
        <v>59</v>
      </c>
      <c r="K522" t="s">
        <v>46</v>
      </c>
      <c r="L522" t="s">
        <v>1283</v>
      </c>
      <c r="N522">
        <v>999</v>
      </c>
    </row>
    <row r="523" spans="1:14" x14ac:dyDescent="0.2">
      <c r="A523" t="e">
        <v>#REF!</v>
      </c>
      <c r="B523">
        <v>991</v>
      </c>
      <c r="C523" t="e">
        <v>#REF!</v>
      </c>
      <c r="D523">
        <v>304</v>
      </c>
      <c r="E523">
        <v>10105</v>
      </c>
      <c r="F523" t="s">
        <v>1565</v>
      </c>
      <c r="G523" t="s">
        <v>1566</v>
      </c>
      <c r="J523" t="s">
        <v>59</v>
      </c>
      <c r="K523" t="s">
        <v>46</v>
      </c>
      <c r="L523" t="s">
        <v>1283</v>
      </c>
      <c r="N523">
        <v>999</v>
      </c>
    </row>
    <row r="524" spans="1:14" x14ac:dyDescent="0.2">
      <c r="A524" t="e">
        <v>#REF!</v>
      </c>
      <c r="B524">
        <v>991</v>
      </c>
      <c r="C524" t="e">
        <v>#REF!</v>
      </c>
      <c r="D524">
        <v>304</v>
      </c>
      <c r="E524">
        <v>10106</v>
      </c>
      <c r="F524" t="s">
        <v>1567</v>
      </c>
      <c r="G524" t="s">
        <v>1568</v>
      </c>
      <c r="J524" t="s">
        <v>59</v>
      </c>
      <c r="K524" t="s">
        <v>46</v>
      </c>
      <c r="L524" t="s">
        <v>1283</v>
      </c>
      <c r="N524">
        <v>999</v>
      </c>
    </row>
    <row r="525" spans="1:14" x14ac:dyDescent="0.2">
      <c r="A525" t="e">
        <v>#REF!</v>
      </c>
      <c r="B525">
        <v>991</v>
      </c>
      <c r="C525" t="e">
        <v>#REF!</v>
      </c>
      <c r="D525">
        <v>304</v>
      </c>
      <c r="E525">
        <v>10107</v>
      </c>
      <c r="F525" t="s">
        <v>1569</v>
      </c>
      <c r="G525" t="s">
        <v>1570</v>
      </c>
      <c r="J525" t="s">
        <v>59</v>
      </c>
      <c r="K525" t="s">
        <v>46</v>
      </c>
      <c r="L525" t="s">
        <v>1283</v>
      </c>
      <c r="N525">
        <v>999</v>
      </c>
    </row>
    <row r="526" spans="1:14" x14ac:dyDescent="0.2">
      <c r="A526" t="e">
        <v>#REF!</v>
      </c>
      <c r="B526">
        <v>991</v>
      </c>
      <c r="C526" t="e">
        <v>#REF!</v>
      </c>
      <c r="D526">
        <v>304</v>
      </c>
      <c r="E526">
        <v>10108</v>
      </c>
      <c r="F526" t="s">
        <v>1571</v>
      </c>
      <c r="G526" t="s">
        <v>1572</v>
      </c>
      <c r="J526" t="s">
        <v>59</v>
      </c>
      <c r="K526" t="s">
        <v>46</v>
      </c>
      <c r="L526" t="s">
        <v>1283</v>
      </c>
      <c r="N526">
        <v>999</v>
      </c>
    </row>
    <row r="527" spans="1:14" x14ac:dyDescent="0.2">
      <c r="A527" t="e">
        <v>#REF!</v>
      </c>
      <c r="B527">
        <v>991</v>
      </c>
      <c r="C527" t="e">
        <v>#REF!</v>
      </c>
      <c r="D527">
        <v>300</v>
      </c>
      <c r="E527">
        <v>10109</v>
      </c>
      <c r="J527" t="s">
        <v>59</v>
      </c>
      <c r="K527" t="s">
        <v>1573</v>
      </c>
      <c r="L527">
        <v>1</v>
      </c>
    </row>
    <row r="528" spans="1:14" x14ac:dyDescent="0.2">
      <c r="A528" t="e">
        <v>#REF!</v>
      </c>
      <c r="B528">
        <v>991</v>
      </c>
      <c r="C528" t="e">
        <v>#REF!</v>
      </c>
      <c r="D528">
        <v>301</v>
      </c>
      <c r="E528">
        <v>10110</v>
      </c>
      <c r="F528" t="s">
        <v>1574</v>
      </c>
      <c r="G528" t="s">
        <v>1575</v>
      </c>
      <c r="H528" t="s">
        <v>82</v>
      </c>
      <c r="J528" t="s">
        <v>59</v>
      </c>
      <c r="K528" t="s">
        <v>1573</v>
      </c>
      <c r="L528" t="s">
        <v>1576</v>
      </c>
      <c r="N528">
        <v>999</v>
      </c>
    </row>
    <row r="529" spans="1:17" x14ac:dyDescent="0.2">
      <c r="A529" t="e">
        <v>#REF!</v>
      </c>
      <c r="B529">
        <v>991</v>
      </c>
      <c r="C529" t="e">
        <v>#REF!</v>
      </c>
      <c r="D529">
        <v>302</v>
      </c>
      <c r="E529">
        <v>10111</v>
      </c>
      <c r="F529" t="s">
        <v>1577</v>
      </c>
      <c r="G529" t="s">
        <v>1578</v>
      </c>
      <c r="H529" t="s">
        <v>82</v>
      </c>
      <c r="J529" t="s">
        <v>59</v>
      </c>
      <c r="K529" t="s">
        <v>1573</v>
      </c>
      <c r="L529" t="s">
        <v>1579</v>
      </c>
      <c r="N529">
        <v>999</v>
      </c>
    </row>
    <row r="530" spans="1:17" x14ac:dyDescent="0.2">
      <c r="A530" t="e">
        <v>#REF!</v>
      </c>
      <c r="B530">
        <v>991</v>
      </c>
      <c r="C530" t="e">
        <v>#REF!</v>
      </c>
      <c r="D530">
        <v>303</v>
      </c>
      <c r="E530">
        <v>10112</v>
      </c>
      <c r="F530" t="s">
        <v>1580</v>
      </c>
      <c r="G530" t="s">
        <v>1581</v>
      </c>
      <c r="H530" t="s">
        <v>82</v>
      </c>
      <c r="J530" t="s">
        <v>59</v>
      </c>
      <c r="K530" t="s">
        <v>1573</v>
      </c>
      <c r="L530" t="s">
        <v>1283</v>
      </c>
      <c r="N530">
        <v>999</v>
      </c>
    </row>
    <row r="531" spans="1:17" x14ac:dyDescent="0.2">
      <c r="A531" t="e">
        <v>#REF!</v>
      </c>
      <c r="B531">
        <v>991</v>
      </c>
      <c r="C531" t="e">
        <v>#REF!</v>
      </c>
      <c r="D531">
        <v>303</v>
      </c>
      <c r="E531">
        <v>10113</v>
      </c>
      <c r="F531" t="s">
        <v>1582</v>
      </c>
      <c r="G531" t="s">
        <v>1583</v>
      </c>
      <c r="H531" t="s">
        <v>82</v>
      </c>
      <c r="J531" t="s">
        <v>59</v>
      </c>
      <c r="K531" t="s">
        <v>1573</v>
      </c>
      <c r="L531" t="s">
        <v>1283</v>
      </c>
      <c r="N531">
        <v>999</v>
      </c>
    </row>
    <row r="532" spans="1:17" x14ac:dyDescent="0.2">
      <c r="A532" t="e">
        <v>#REF!</v>
      </c>
      <c r="B532">
        <v>991</v>
      </c>
      <c r="C532" t="e">
        <v>#REF!</v>
      </c>
      <c r="D532">
        <v>304</v>
      </c>
      <c r="E532">
        <v>10114</v>
      </c>
      <c r="F532" t="s">
        <v>1584</v>
      </c>
      <c r="G532" t="s">
        <v>1585</v>
      </c>
      <c r="I532" t="s">
        <v>1586</v>
      </c>
      <c r="J532" t="s">
        <v>59</v>
      </c>
      <c r="K532" t="s">
        <v>1573</v>
      </c>
      <c r="L532" t="s">
        <v>1587</v>
      </c>
      <c r="N532">
        <v>999</v>
      </c>
      <c r="O532">
        <v>999</v>
      </c>
      <c r="Q532">
        <v>32</v>
      </c>
    </row>
    <row r="533" spans="1:17" x14ac:dyDescent="0.2">
      <c r="A533" t="e">
        <v>#REF!</v>
      </c>
      <c r="B533">
        <v>991</v>
      </c>
      <c r="C533" t="e">
        <v>#REF!</v>
      </c>
      <c r="D533">
        <v>304</v>
      </c>
      <c r="E533">
        <v>10115</v>
      </c>
      <c r="F533" t="s">
        <v>1588</v>
      </c>
      <c r="G533" t="s">
        <v>1589</v>
      </c>
      <c r="I533" t="s">
        <v>1590</v>
      </c>
      <c r="J533" t="s">
        <v>59</v>
      </c>
      <c r="K533" t="s">
        <v>1573</v>
      </c>
      <c r="L533" t="s">
        <v>1587</v>
      </c>
      <c r="N533">
        <v>999</v>
      </c>
      <c r="O533">
        <v>999</v>
      </c>
      <c r="Q533">
        <v>32</v>
      </c>
    </row>
    <row r="534" spans="1:17" x14ac:dyDescent="0.2">
      <c r="A534" t="e">
        <v>#REF!</v>
      </c>
      <c r="B534">
        <v>991</v>
      </c>
      <c r="C534" t="e">
        <v>#REF!</v>
      </c>
      <c r="D534">
        <v>304</v>
      </c>
      <c r="E534">
        <v>10116</v>
      </c>
      <c r="F534" t="s">
        <v>1591</v>
      </c>
      <c r="G534" t="s">
        <v>1592</v>
      </c>
      <c r="I534" t="s">
        <v>1593</v>
      </c>
      <c r="J534" t="s">
        <v>59</v>
      </c>
      <c r="K534" t="s">
        <v>1573</v>
      </c>
      <c r="L534" t="s">
        <v>1587</v>
      </c>
      <c r="N534">
        <v>999</v>
      </c>
      <c r="O534">
        <v>999</v>
      </c>
      <c r="Q534">
        <v>48</v>
      </c>
    </row>
    <row r="535" spans="1:17" x14ac:dyDescent="0.2">
      <c r="A535" t="e">
        <v>#REF!</v>
      </c>
      <c r="B535">
        <v>991</v>
      </c>
      <c r="C535" t="e">
        <v>#REF!</v>
      </c>
      <c r="D535">
        <v>304</v>
      </c>
      <c r="E535">
        <v>10117</v>
      </c>
      <c r="F535" t="s">
        <v>1594</v>
      </c>
      <c r="G535" t="s">
        <v>1595</v>
      </c>
      <c r="I535" t="s">
        <v>1596</v>
      </c>
      <c r="J535" t="s">
        <v>59</v>
      </c>
      <c r="K535" t="s">
        <v>1573</v>
      </c>
      <c r="L535" t="s">
        <v>1587</v>
      </c>
      <c r="N535">
        <v>999</v>
      </c>
      <c r="O535">
        <v>999</v>
      </c>
      <c r="Q535">
        <v>80</v>
      </c>
    </row>
    <row r="536" spans="1:17" x14ac:dyDescent="0.2">
      <c r="A536" t="e">
        <v>#REF!</v>
      </c>
      <c r="B536">
        <v>991</v>
      </c>
      <c r="C536" t="e">
        <v>#REF!</v>
      </c>
      <c r="D536">
        <v>304</v>
      </c>
      <c r="E536">
        <v>10118</v>
      </c>
      <c r="F536" t="s">
        <v>1597</v>
      </c>
      <c r="G536" t="s">
        <v>1598</v>
      </c>
      <c r="I536" t="s">
        <v>1599</v>
      </c>
      <c r="J536" t="s">
        <v>59</v>
      </c>
      <c r="K536" t="s">
        <v>1573</v>
      </c>
      <c r="L536" t="s">
        <v>1587</v>
      </c>
      <c r="N536">
        <v>999</v>
      </c>
      <c r="O536">
        <v>999</v>
      </c>
      <c r="Q536">
        <v>128</v>
      </c>
    </row>
    <row r="537" spans="1:17" x14ac:dyDescent="0.2">
      <c r="A537" t="e">
        <v>#REF!</v>
      </c>
      <c r="B537">
        <v>991</v>
      </c>
      <c r="C537" t="e">
        <v>#REF!</v>
      </c>
      <c r="D537">
        <v>304</v>
      </c>
      <c r="E537">
        <v>10119</v>
      </c>
      <c r="F537" t="s">
        <v>1600</v>
      </c>
      <c r="G537" t="s">
        <v>1601</v>
      </c>
      <c r="I537" t="s">
        <v>1602</v>
      </c>
      <c r="J537" t="s">
        <v>59</v>
      </c>
      <c r="K537" t="s">
        <v>1573</v>
      </c>
      <c r="L537" t="s">
        <v>1587</v>
      </c>
      <c r="N537">
        <v>999</v>
      </c>
      <c r="O537">
        <v>999</v>
      </c>
    </row>
    <row r="538" spans="1:17" x14ac:dyDescent="0.2">
      <c r="A538" t="e">
        <v>#REF!</v>
      </c>
      <c r="B538">
        <v>991</v>
      </c>
      <c r="C538" t="e">
        <v>#REF!</v>
      </c>
      <c r="D538">
        <v>304</v>
      </c>
      <c r="E538">
        <v>10120</v>
      </c>
      <c r="F538" t="s">
        <v>1603</v>
      </c>
      <c r="G538" t="s">
        <v>1604</v>
      </c>
      <c r="I538" t="s">
        <v>1605</v>
      </c>
      <c r="J538" t="s">
        <v>59</v>
      </c>
      <c r="K538" t="s">
        <v>1573</v>
      </c>
      <c r="L538" t="s">
        <v>1587</v>
      </c>
      <c r="N538">
        <v>999</v>
      </c>
      <c r="O538">
        <v>999</v>
      </c>
    </row>
    <row r="539" spans="1:17" x14ac:dyDescent="0.2">
      <c r="A539" t="e">
        <v>#REF!</v>
      </c>
      <c r="B539">
        <v>991</v>
      </c>
      <c r="C539" t="e">
        <v>#REF!</v>
      </c>
      <c r="D539">
        <v>304</v>
      </c>
      <c r="E539">
        <v>10121</v>
      </c>
      <c r="F539" t="s">
        <v>1606</v>
      </c>
      <c r="G539" t="s">
        <v>1607</v>
      </c>
      <c r="I539" t="s">
        <v>1608</v>
      </c>
      <c r="J539" t="s">
        <v>59</v>
      </c>
      <c r="K539" t="s">
        <v>1573</v>
      </c>
      <c r="L539" t="s">
        <v>1587</v>
      </c>
      <c r="N539">
        <v>999</v>
      </c>
      <c r="O539">
        <v>999</v>
      </c>
    </row>
    <row r="540" spans="1:17" x14ac:dyDescent="0.2">
      <c r="A540" t="e">
        <v>#REF!</v>
      </c>
      <c r="B540">
        <v>991</v>
      </c>
      <c r="C540" t="e">
        <v>#REF!</v>
      </c>
      <c r="D540">
        <v>304</v>
      </c>
      <c r="E540">
        <v>10122</v>
      </c>
      <c r="F540" t="s">
        <v>1609</v>
      </c>
      <c r="G540" t="s">
        <v>1610</v>
      </c>
      <c r="I540" t="s">
        <v>1611</v>
      </c>
      <c r="J540" t="s">
        <v>59</v>
      </c>
      <c r="K540" t="s">
        <v>1573</v>
      </c>
      <c r="L540" t="s">
        <v>1587</v>
      </c>
      <c r="N540">
        <v>999</v>
      </c>
      <c r="O540">
        <v>999</v>
      </c>
    </row>
    <row r="541" spans="1:17" x14ac:dyDescent="0.2">
      <c r="A541" t="e">
        <v>#REF!</v>
      </c>
      <c r="B541">
        <v>991</v>
      </c>
      <c r="C541" t="e">
        <v>#REF!</v>
      </c>
      <c r="D541">
        <v>304</v>
      </c>
      <c r="E541">
        <v>10123</v>
      </c>
      <c r="F541" t="s">
        <v>1612</v>
      </c>
      <c r="G541" t="s">
        <v>1613</v>
      </c>
      <c r="I541" t="s">
        <v>1614</v>
      </c>
      <c r="J541" t="s">
        <v>59</v>
      </c>
      <c r="K541" t="s">
        <v>1573</v>
      </c>
      <c r="L541" t="s">
        <v>1587</v>
      </c>
      <c r="N541">
        <v>999</v>
      </c>
      <c r="O541">
        <v>999</v>
      </c>
    </row>
    <row r="542" spans="1:17" x14ac:dyDescent="0.2">
      <c r="A542" t="e">
        <v>#REF!</v>
      </c>
      <c r="B542">
        <v>991</v>
      </c>
      <c r="C542" t="e">
        <v>#REF!</v>
      </c>
      <c r="D542">
        <v>304</v>
      </c>
      <c r="E542">
        <v>10124</v>
      </c>
      <c r="F542" t="s">
        <v>1615</v>
      </c>
      <c r="G542" t="s">
        <v>1616</v>
      </c>
      <c r="I542" t="s">
        <v>1617</v>
      </c>
      <c r="J542" t="s">
        <v>59</v>
      </c>
      <c r="K542" t="s">
        <v>1573</v>
      </c>
      <c r="L542" t="s">
        <v>1587</v>
      </c>
      <c r="N542">
        <v>999</v>
      </c>
      <c r="O542">
        <v>999</v>
      </c>
    </row>
    <row r="543" spans="1:17" x14ac:dyDescent="0.2">
      <c r="A543" t="e">
        <v>#REF!</v>
      </c>
      <c r="B543">
        <v>991</v>
      </c>
      <c r="C543" t="e">
        <v>#REF!</v>
      </c>
      <c r="D543">
        <v>304</v>
      </c>
      <c r="E543">
        <v>10125</v>
      </c>
      <c r="F543" t="s">
        <v>1618</v>
      </c>
      <c r="G543" t="s">
        <v>1619</v>
      </c>
      <c r="I543" t="s">
        <v>1620</v>
      </c>
      <c r="J543" t="s">
        <v>59</v>
      </c>
      <c r="K543" t="s">
        <v>1573</v>
      </c>
      <c r="L543" t="s">
        <v>1587</v>
      </c>
      <c r="N543">
        <v>999</v>
      </c>
      <c r="O543">
        <v>999</v>
      </c>
    </row>
    <row r="544" spans="1:17" x14ac:dyDescent="0.2">
      <c r="A544" t="e">
        <v>#REF!</v>
      </c>
      <c r="B544">
        <v>991</v>
      </c>
      <c r="C544" t="e">
        <v>#REF!</v>
      </c>
      <c r="D544">
        <v>304</v>
      </c>
      <c r="E544">
        <v>10126</v>
      </c>
      <c r="F544" t="s">
        <v>1621</v>
      </c>
      <c r="G544" t="s">
        <v>1622</v>
      </c>
      <c r="J544" t="s">
        <v>59</v>
      </c>
      <c r="K544" t="s">
        <v>1573</v>
      </c>
      <c r="L544" t="s">
        <v>1587</v>
      </c>
      <c r="N544">
        <v>999</v>
      </c>
    </row>
    <row r="545" spans="1:15" x14ac:dyDescent="0.2">
      <c r="A545" t="e">
        <v>#REF!</v>
      </c>
      <c r="B545">
        <v>991</v>
      </c>
      <c r="C545" t="e">
        <v>#REF!</v>
      </c>
      <c r="D545">
        <v>304</v>
      </c>
      <c r="E545">
        <v>10127</v>
      </c>
      <c r="F545" t="s">
        <v>1623</v>
      </c>
      <c r="G545" t="s">
        <v>1624</v>
      </c>
      <c r="I545" t="s">
        <v>1625</v>
      </c>
      <c r="J545" t="s">
        <v>59</v>
      </c>
      <c r="K545" t="s">
        <v>1573</v>
      </c>
      <c r="L545" t="s">
        <v>1587</v>
      </c>
      <c r="N545">
        <v>999</v>
      </c>
      <c r="O545">
        <v>999</v>
      </c>
    </row>
    <row r="546" spans="1:15" x14ac:dyDescent="0.2">
      <c r="A546" t="e">
        <v>#REF!</v>
      </c>
      <c r="B546">
        <v>991</v>
      </c>
      <c r="C546" t="e">
        <v>#REF!</v>
      </c>
      <c r="D546">
        <v>304</v>
      </c>
      <c r="E546">
        <v>10128</v>
      </c>
      <c r="F546" t="s">
        <v>1626</v>
      </c>
      <c r="G546" t="s">
        <v>1627</v>
      </c>
      <c r="I546" t="s">
        <v>1628</v>
      </c>
      <c r="J546" t="s">
        <v>59</v>
      </c>
      <c r="K546" t="s">
        <v>1573</v>
      </c>
      <c r="L546" t="s">
        <v>1587</v>
      </c>
      <c r="N546">
        <v>999</v>
      </c>
      <c r="O546">
        <v>999</v>
      </c>
    </row>
    <row r="547" spans="1:15" x14ac:dyDescent="0.2">
      <c r="A547" t="e">
        <v>#REF!</v>
      </c>
      <c r="B547">
        <v>991</v>
      </c>
      <c r="C547" t="e">
        <v>#REF!</v>
      </c>
      <c r="D547">
        <v>304</v>
      </c>
      <c r="E547">
        <v>10129</v>
      </c>
      <c r="F547" t="s">
        <v>1629</v>
      </c>
      <c r="G547" t="s">
        <v>1630</v>
      </c>
      <c r="I547" t="s">
        <v>1631</v>
      </c>
      <c r="J547" t="s">
        <v>59</v>
      </c>
      <c r="K547" t="s">
        <v>1573</v>
      </c>
      <c r="L547" t="s">
        <v>1587</v>
      </c>
      <c r="N547">
        <v>999</v>
      </c>
      <c r="O547">
        <v>999</v>
      </c>
    </row>
    <row r="548" spans="1:15" x14ac:dyDescent="0.2">
      <c r="A548" t="e">
        <v>#REF!</v>
      </c>
      <c r="B548">
        <v>991</v>
      </c>
      <c r="C548" t="e">
        <v>#REF!</v>
      </c>
      <c r="D548">
        <v>304</v>
      </c>
      <c r="E548">
        <v>10130</v>
      </c>
      <c r="F548" t="s">
        <v>1632</v>
      </c>
      <c r="G548" t="s">
        <v>1633</v>
      </c>
      <c r="J548" t="s">
        <v>59</v>
      </c>
      <c r="K548" t="s">
        <v>1573</v>
      </c>
      <c r="L548" t="s">
        <v>1587</v>
      </c>
      <c r="N548">
        <v>999</v>
      </c>
    </row>
    <row r="549" spans="1:15" x14ac:dyDescent="0.2">
      <c r="A549" t="e">
        <v>#REF!</v>
      </c>
      <c r="B549">
        <v>991</v>
      </c>
      <c r="C549" t="e">
        <v>#REF!</v>
      </c>
      <c r="D549">
        <v>304</v>
      </c>
      <c r="E549">
        <v>10131</v>
      </c>
      <c r="F549" t="s">
        <v>1634</v>
      </c>
      <c r="G549" t="s">
        <v>1635</v>
      </c>
      <c r="I549" t="s">
        <v>1636</v>
      </c>
      <c r="J549" t="s">
        <v>59</v>
      </c>
      <c r="K549" t="s">
        <v>1573</v>
      </c>
      <c r="L549" t="s">
        <v>1587</v>
      </c>
      <c r="N549">
        <v>999</v>
      </c>
      <c r="O549">
        <v>999</v>
      </c>
    </row>
    <row r="550" spans="1:15" x14ac:dyDescent="0.2">
      <c r="A550" t="e">
        <v>#REF!</v>
      </c>
      <c r="B550">
        <v>991</v>
      </c>
      <c r="C550" t="e">
        <v>#REF!</v>
      </c>
      <c r="D550">
        <v>304</v>
      </c>
      <c r="E550">
        <v>10132</v>
      </c>
      <c r="F550" t="s">
        <v>1637</v>
      </c>
      <c r="G550" t="s">
        <v>1638</v>
      </c>
      <c r="I550" t="s">
        <v>1639</v>
      </c>
      <c r="J550" t="s">
        <v>59</v>
      </c>
      <c r="K550" t="s">
        <v>1573</v>
      </c>
      <c r="L550" t="s">
        <v>1587</v>
      </c>
      <c r="N550">
        <v>999</v>
      </c>
      <c r="O550">
        <v>999</v>
      </c>
    </row>
    <row r="551" spans="1:15" x14ac:dyDescent="0.2">
      <c r="A551" t="e">
        <v>#REF!</v>
      </c>
      <c r="B551">
        <v>991</v>
      </c>
      <c r="C551" t="e">
        <v>#REF!</v>
      </c>
      <c r="D551">
        <v>304</v>
      </c>
      <c r="E551">
        <v>10133</v>
      </c>
      <c r="F551" t="s">
        <v>1640</v>
      </c>
      <c r="G551" t="s">
        <v>1641</v>
      </c>
      <c r="I551" t="s">
        <v>1642</v>
      </c>
      <c r="J551" t="s">
        <v>59</v>
      </c>
      <c r="K551" t="s">
        <v>1573</v>
      </c>
      <c r="L551" t="s">
        <v>1587</v>
      </c>
      <c r="N551">
        <v>999</v>
      </c>
      <c r="O551">
        <v>999</v>
      </c>
    </row>
    <row r="552" spans="1:15" x14ac:dyDescent="0.2">
      <c r="A552" t="e">
        <v>#REF!</v>
      </c>
      <c r="B552">
        <v>991</v>
      </c>
      <c r="C552" t="e">
        <v>#REF!</v>
      </c>
      <c r="D552">
        <v>304</v>
      </c>
      <c r="E552">
        <v>10134</v>
      </c>
      <c r="F552" t="s">
        <v>1643</v>
      </c>
      <c r="G552" t="s">
        <v>1644</v>
      </c>
      <c r="I552" t="s">
        <v>1645</v>
      </c>
      <c r="J552" t="s">
        <v>59</v>
      </c>
      <c r="K552" t="s">
        <v>1573</v>
      </c>
      <c r="L552" t="s">
        <v>1587</v>
      </c>
      <c r="N552">
        <v>999</v>
      </c>
      <c r="O552">
        <v>999</v>
      </c>
    </row>
    <row r="553" spans="1:15" x14ac:dyDescent="0.2">
      <c r="A553" t="e">
        <v>#REF!</v>
      </c>
      <c r="B553">
        <v>991</v>
      </c>
      <c r="C553" t="e">
        <v>#REF!</v>
      </c>
      <c r="D553">
        <v>304</v>
      </c>
      <c r="E553">
        <v>10135</v>
      </c>
      <c r="F553" t="s">
        <v>1646</v>
      </c>
      <c r="G553" t="s">
        <v>1647</v>
      </c>
      <c r="I553" t="s">
        <v>1648</v>
      </c>
      <c r="J553" t="s">
        <v>59</v>
      </c>
      <c r="K553" t="s">
        <v>1573</v>
      </c>
      <c r="L553" t="s">
        <v>1587</v>
      </c>
      <c r="N553">
        <v>999</v>
      </c>
      <c r="O553">
        <v>999</v>
      </c>
    </row>
    <row r="554" spans="1:15" x14ac:dyDescent="0.2">
      <c r="A554" t="e">
        <v>#REF!</v>
      </c>
      <c r="B554">
        <v>991</v>
      </c>
      <c r="C554" t="e">
        <v>#REF!</v>
      </c>
      <c r="D554">
        <v>304</v>
      </c>
      <c r="E554">
        <v>10136</v>
      </c>
      <c r="F554" t="s">
        <v>1649</v>
      </c>
      <c r="G554" t="s">
        <v>1650</v>
      </c>
      <c r="I554" t="s">
        <v>1651</v>
      </c>
      <c r="J554" t="s">
        <v>59</v>
      </c>
      <c r="K554" t="s">
        <v>1573</v>
      </c>
      <c r="L554" t="s">
        <v>1587</v>
      </c>
      <c r="N554">
        <v>999</v>
      </c>
      <c r="O554">
        <v>999</v>
      </c>
    </row>
    <row r="555" spans="1:15" x14ac:dyDescent="0.2">
      <c r="A555" t="e">
        <v>#REF!</v>
      </c>
      <c r="B555">
        <v>991</v>
      </c>
      <c r="C555" t="e">
        <v>#REF!</v>
      </c>
      <c r="D555">
        <v>304</v>
      </c>
      <c r="E555">
        <v>10137</v>
      </c>
      <c r="F555" t="s">
        <v>1652</v>
      </c>
      <c r="G555" t="s">
        <v>1653</v>
      </c>
      <c r="I555" t="s">
        <v>1654</v>
      </c>
      <c r="J555" t="s">
        <v>59</v>
      </c>
      <c r="K555" t="s">
        <v>1573</v>
      </c>
      <c r="L555" t="s">
        <v>1587</v>
      </c>
      <c r="N555">
        <v>999</v>
      </c>
      <c r="O555">
        <v>999</v>
      </c>
    </row>
    <row r="556" spans="1:15" x14ac:dyDescent="0.2">
      <c r="A556" t="e">
        <v>#REF!</v>
      </c>
      <c r="B556">
        <v>991</v>
      </c>
      <c r="C556" t="e">
        <v>#REF!</v>
      </c>
      <c r="D556">
        <v>304</v>
      </c>
      <c r="E556">
        <v>10138</v>
      </c>
      <c r="F556" t="s">
        <v>1655</v>
      </c>
      <c r="G556" t="s">
        <v>1656</v>
      </c>
      <c r="I556" t="s">
        <v>1657</v>
      </c>
      <c r="J556" t="s">
        <v>59</v>
      </c>
      <c r="K556" t="s">
        <v>1573</v>
      </c>
      <c r="L556" t="s">
        <v>1587</v>
      </c>
      <c r="N556">
        <v>999</v>
      </c>
      <c r="O556">
        <v>999</v>
      </c>
    </row>
    <row r="557" spans="1:15" x14ac:dyDescent="0.2">
      <c r="A557" t="e">
        <v>#REF!</v>
      </c>
      <c r="B557">
        <v>991</v>
      </c>
      <c r="C557" t="e">
        <v>#REF!</v>
      </c>
      <c r="D557">
        <v>304</v>
      </c>
      <c r="E557">
        <v>10139</v>
      </c>
      <c r="F557" t="s">
        <v>1658</v>
      </c>
      <c r="G557" t="s">
        <v>1659</v>
      </c>
      <c r="I557" t="s">
        <v>1660</v>
      </c>
      <c r="J557" t="s">
        <v>59</v>
      </c>
      <c r="K557" t="s">
        <v>1573</v>
      </c>
      <c r="L557" t="s">
        <v>1587</v>
      </c>
      <c r="N557">
        <v>999</v>
      </c>
      <c r="O557">
        <v>999</v>
      </c>
    </row>
    <row r="558" spans="1:15" x14ac:dyDescent="0.2">
      <c r="A558" t="e">
        <v>#REF!</v>
      </c>
      <c r="B558">
        <v>991</v>
      </c>
      <c r="C558" t="e">
        <v>#REF!</v>
      </c>
      <c r="D558">
        <v>304</v>
      </c>
      <c r="E558">
        <v>10140</v>
      </c>
      <c r="F558" t="s">
        <v>1661</v>
      </c>
      <c r="G558" t="s">
        <v>1662</v>
      </c>
      <c r="H558" t="s">
        <v>82</v>
      </c>
      <c r="J558" t="s">
        <v>59</v>
      </c>
      <c r="K558" t="s">
        <v>1573</v>
      </c>
      <c r="L558" t="s">
        <v>1587</v>
      </c>
      <c r="N558">
        <v>999</v>
      </c>
    </row>
    <row r="559" spans="1:15" x14ac:dyDescent="0.2">
      <c r="A559" t="e">
        <v>#REF!</v>
      </c>
      <c r="B559">
        <v>991</v>
      </c>
      <c r="C559" t="e">
        <v>#REF!</v>
      </c>
      <c r="D559">
        <v>304</v>
      </c>
      <c r="E559">
        <v>10141</v>
      </c>
      <c r="F559" t="s">
        <v>1663</v>
      </c>
      <c r="G559" t="s">
        <v>1664</v>
      </c>
      <c r="H559" t="s">
        <v>82</v>
      </c>
      <c r="J559" t="s">
        <v>59</v>
      </c>
      <c r="K559" t="s">
        <v>1573</v>
      </c>
      <c r="L559" t="s">
        <v>1587</v>
      </c>
      <c r="N559">
        <v>999</v>
      </c>
    </row>
    <row r="560" spans="1:15" x14ac:dyDescent="0.2">
      <c r="A560" t="e">
        <v>#REF!</v>
      </c>
      <c r="B560">
        <v>991</v>
      </c>
      <c r="C560" t="e">
        <v>#REF!</v>
      </c>
      <c r="D560">
        <v>304</v>
      </c>
      <c r="E560">
        <v>10142</v>
      </c>
      <c r="F560" t="s">
        <v>1665</v>
      </c>
      <c r="G560" t="s">
        <v>1666</v>
      </c>
      <c r="H560" t="s">
        <v>82</v>
      </c>
      <c r="J560" t="s">
        <v>59</v>
      </c>
      <c r="K560" t="s">
        <v>1573</v>
      </c>
      <c r="L560" t="s">
        <v>1587</v>
      </c>
      <c r="N560">
        <v>999</v>
      </c>
    </row>
    <row r="561" spans="1:17" x14ac:dyDescent="0.2">
      <c r="A561" t="e">
        <v>#REF!</v>
      </c>
      <c r="B561">
        <v>991</v>
      </c>
      <c r="C561" t="e">
        <v>#REF!</v>
      </c>
      <c r="D561">
        <v>304</v>
      </c>
      <c r="E561">
        <v>10143</v>
      </c>
      <c r="F561">
        <v>5566</v>
      </c>
      <c r="G561" t="s">
        <v>1667</v>
      </c>
      <c r="H561" t="s">
        <v>82</v>
      </c>
      <c r="J561" t="s">
        <v>59</v>
      </c>
      <c r="K561" t="s">
        <v>1573</v>
      </c>
      <c r="L561" t="s">
        <v>1587</v>
      </c>
      <c r="N561">
        <v>999</v>
      </c>
    </row>
    <row r="562" spans="1:17" x14ac:dyDescent="0.2">
      <c r="A562" t="e">
        <v>#REF!</v>
      </c>
      <c r="B562">
        <v>991</v>
      </c>
      <c r="C562" t="e">
        <v>#REF!</v>
      </c>
      <c r="D562">
        <v>304</v>
      </c>
      <c r="E562">
        <v>10144</v>
      </c>
      <c r="F562">
        <v>7999</v>
      </c>
      <c r="G562" t="s">
        <v>1668</v>
      </c>
      <c r="H562" t="s">
        <v>82</v>
      </c>
      <c r="J562" t="s">
        <v>59</v>
      </c>
      <c r="K562" t="s">
        <v>1573</v>
      </c>
      <c r="L562" t="s">
        <v>1587</v>
      </c>
      <c r="N562">
        <v>999</v>
      </c>
    </row>
    <row r="563" spans="1:17" x14ac:dyDescent="0.2">
      <c r="A563" t="e">
        <v>#REF!</v>
      </c>
      <c r="B563">
        <v>991</v>
      </c>
      <c r="C563" t="e">
        <v>#REF!</v>
      </c>
      <c r="D563">
        <v>304</v>
      </c>
      <c r="E563">
        <v>10145</v>
      </c>
      <c r="F563" t="s">
        <v>1669</v>
      </c>
      <c r="G563" t="s">
        <v>1670</v>
      </c>
      <c r="H563" t="s">
        <v>82</v>
      </c>
      <c r="J563" t="s">
        <v>59</v>
      </c>
      <c r="K563" t="s">
        <v>1573</v>
      </c>
      <c r="L563" t="s">
        <v>1587</v>
      </c>
      <c r="N563">
        <v>999</v>
      </c>
    </row>
    <row r="564" spans="1:17" x14ac:dyDescent="0.2">
      <c r="A564" t="e">
        <v>#REF!</v>
      </c>
      <c r="B564">
        <v>991</v>
      </c>
      <c r="C564" t="e">
        <v>#REF!</v>
      </c>
      <c r="D564">
        <v>304</v>
      </c>
      <c r="E564">
        <v>10146</v>
      </c>
      <c r="F564" t="s">
        <v>1671</v>
      </c>
      <c r="G564" t="s">
        <v>1672</v>
      </c>
      <c r="H564" t="s">
        <v>82</v>
      </c>
      <c r="J564" t="s">
        <v>59</v>
      </c>
      <c r="K564" t="s">
        <v>1573</v>
      </c>
      <c r="L564" t="s">
        <v>1587</v>
      </c>
      <c r="N564">
        <v>999</v>
      </c>
    </row>
    <row r="565" spans="1:17" x14ac:dyDescent="0.2">
      <c r="A565" t="e">
        <v>#REF!</v>
      </c>
      <c r="B565">
        <v>991</v>
      </c>
      <c r="C565" t="e">
        <v>#REF!</v>
      </c>
      <c r="D565">
        <v>304</v>
      </c>
      <c r="E565">
        <v>10147</v>
      </c>
      <c r="F565" t="s">
        <v>1673</v>
      </c>
      <c r="G565" t="s">
        <v>1674</v>
      </c>
      <c r="H565" t="s">
        <v>82</v>
      </c>
      <c r="J565" t="s">
        <v>59</v>
      </c>
      <c r="K565" t="s">
        <v>1573</v>
      </c>
      <c r="L565" t="s">
        <v>1587</v>
      </c>
      <c r="N565">
        <v>999</v>
      </c>
    </row>
    <row r="566" spans="1:17" x14ac:dyDescent="0.2">
      <c r="A566" t="e">
        <v>#REF!</v>
      </c>
      <c r="B566">
        <v>991</v>
      </c>
      <c r="C566" t="e">
        <v>#REF!</v>
      </c>
      <c r="D566">
        <v>304</v>
      </c>
      <c r="E566">
        <v>10148</v>
      </c>
      <c r="F566" t="s">
        <v>1675</v>
      </c>
      <c r="G566" t="s">
        <v>1676</v>
      </c>
      <c r="H566" t="s">
        <v>82</v>
      </c>
      <c r="J566" t="s">
        <v>59</v>
      </c>
      <c r="K566" t="s">
        <v>1573</v>
      </c>
      <c r="L566" t="s">
        <v>1587</v>
      </c>
      <c r="N566">
        <v>999</v>
      </c>
    </row>
    <row r="567" spans="1:17" x14ac:dyDescent="0.2">
      <c r="A567" t="e">
        <v>#REF!</v>
      </c>
      <c r="B567">
        <v>991</v>
      </c>
      <c r="C567" t="e">
        <v>#REF!</v>
      </c>
      <c r="D567">
        <v>300</v>
      </c>
      <c r="E567">
        <v>10149</v>
      </c>
      <c r="F567" t="s">
        <v>1677</v>
      </c>
      <c r="G567" t="s">
        <v>1678</v>
      </c>
      <c r="J567" t="s">
        <v>59</v>
      </c>
      <c r="K567" t="s">
        <v>1679</v>
      </c>
      <c r="L567">
        <v>1</v>
      </c>
      <c r="N567">
        <v>999</v>
      </c>
    </row>
    <row r="568" spans="1:17" x14ac:dyDescent="0.2">
      <c r="A568" t="e">
        <v>#REF!</v>
      </c>
      <c r="B568">
        <v>991</v>
      </c>
      <c r="C568" t="e">
        <v>#REF!</v>
      </c>
      <c r="D568">
        <v>301</v>
      </c>
      <c r="E568">
        <v>10150</v>
      </c>
      <c r="F568" t="s">
        <v>1680</v>
      </c>
      <c r="G568" t="s">
        <v>1681</v>
      </c>
      <c r="H568" t="s">
        <v>1682</v>
      </c>
      <c r="I568" t="s">
        <v>1683</v>
      </c>
      <c r="J568" t="s">
        <v>59</v>
      </c>
      <c r="K568" t="s">
        <v>1679</v>
      </c>
      <c r="L568" t="s">
        <v>1684</v>
      </c>
      <c r="N568">
        <v>999</v>
      </c>
      <c r="O568">
        <v>999</v>
      </c>
      <c r="Q568">
        <v>256</v>
      </c>
    </row>
    <row r="569" spans="1:17" x14ac:dyDescent="0.2">
      <c r="A569" t="e">
        <v>#REF!</v>
      </c>
      <c r="B569">
        <v>991</v>
      </c>
      <c r="C569" t="e">
        <v>#REF!</v>
      </c>
      <c r="D569">
        <v>302</v>
      </c>
      <c r="E569">
        <v>10151</v>
      </c>
      <c r="F569" t="s">
        <v>1685</v>
      </c>
      <c r="G569" t="s">
        <v>1686</v>
      </c>
      <c r="H569" t="s">
        <v>1687</v>
      </c>
      <c r="I569" t="s">
        <v>1688</v>
      </c>
      <c r="J569" t="s">
        <v>59</v>
      </c>
      <c r="K569" t="s">
        <v>1679</v>
      </c>
      <c r="L569" t="s">
        <v>905</v>
      </c>
      <c r="N569">
        <v>999</v>
      </c>
      <c r="O569">
        <v>999</v>
      </c>
      <c r="Q569">
        <v>32</v>
      </c>
    </row>
    <row r="570" spans="1:17" x14ac:dyDescent="0.2">
      <c r="A570" t="e">
        <v>#REF!</v>
      </c>
      <c r="B570">
        <v>991</v>
      </c>
      <c r="C570" t="e">
        <v>#REF!</v>
      </c>
      <c r="D570">
        <v>303</v>
      </c>
      <c r="E570">
        <v>10152</v>
      </c>
      <c r="F570" t="s">
        <v>1689</v>
      </c>
      <c r="G570" t="s">
        <v>1690</v>
      </c>
      <c r="H570" t="s">
        <v>1691</v>
      </c>
      <c r="I570" t="s">
        <v>1692</v>
      </c>
      <c r="J570" t="s">
        <v>59</v>
      </c>
      <c r="K570" t="s">
        <v>1679</v>
      </c>
      <c r="L570" t="s">
        <v>1693</v>
      </c>
      <c r="N570">
        <v>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B8415-0835-4A11-B5DA-3F9A9A8E6AA4}">
  <dimension ref="A1:AH3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24" sqref="K24"/>
    </sheetView>
  </sheetViews>
  <sheetFormatPr defaultColWidth="8.875" defaultRowHeight="14.25" x14ac:dyDescent="0.2"/>
  <cols>
    <col min="1" max="1" width="13" bestFit="1" customWidth="1"/>
    <col min="2" max="2" width="7.25" bestFit="1" customWidth="1"/>
    <col min="3" max="3" width="17.125" bestFit="1" customWidth="1"/>
    <col min="4" max="4" width="13" bestFit="1" customWidth="1"/>
  </cols>
  <sheetData>
    <row r="1" spans="1:34" x14ac:dyDescent="0.2">
      <c r="A1" t="s">
        <v>28</v>
      </c>
      <c r="B1" t="s">
        <v>61</v>
      </c>
      <c r="C1" t="s">
        <v>1695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1694</v>
      </c>
      <c r="M1" t="s">
        <v>1696</v>
      </c>
      <c r="N1" t="s">
        <v>1697</v>
      </c>
      <c r="O1" t="s">
        <v>1698</v>
      </c>
      <c r="P1" t="s">
        <v>1699</v>
      </c>
      <c r="Q1" t="s">
        <v>1700</v>
      </c>
      <c r="R1" t="s">
        <v>1701</v>
      </c>
      <c r="S1" t="s">
        <v>1702</v>
      </c>
      <c r="T1" t="s">
        <v>1703</v>
      </c>
      <c r="U1" t="s">
        <v>1704</v>
      </c>
      <c r="V1" t="s">
        <v>1705</v>
      </c>
      <c r="W1" t="s">
        <v>1706</v>
      </c>
      <c r="X1" t="s">
        <v>1707</v>
      </c>
      <c r="Y1" t="s">
        <v>1708</v>
      </c>
      <c r="Z1" t="s">
        <v>1709</v>
      </c>
      <c r="AA1" t="s">
        <v>1710</v>
      </c>
      <c r="AB1" t="s">
        <v>1711</v>
      </c>
      <c r="AC1" t="s">
        <v>1712</v>
      </c>
      <c r="AD1" t="s">
        <v>1713</v>
      </c>
      <c r="AE1" t="s">
        <v>1714</v>
      </c>
      <c r="AF1" t="s">
        <v>1715</v>
      </c>
      <c r="AG1" t="s">
        <v>1716</v>
      </c>
      <c r="AH1" t="s">
        <v>1717</v>
      </c>
    </row>
    <row r="2" spans="1:34" x14ac:dyDescent="0.2">
      <c r="A2" t="s">
        <v>29</v>
      </c>
      <c r="B2">
        <v>101</v>
      </c>
      <c r="C2">
        <f>COUNTIF(表_首次要关键词[[#This Row],[1]:[列24]],"&lt;&gt;")</f>
        <v>1</v>
      </c>
      <c r="D2" t="s">
        <v>79</v>
      </c>
    </row>
    <row r="3" spans="1:34" x14ac:dyDescent="0.2">
      <c r="A3" t="s">
        <v>30</v>
      </c>
      <c r="B3">
        <f>B2+1</f>
        <v>102</v>
      </c>
      <c r="C3">
        <f>COUNTIF(表_首次要关键词[[#This Row],[1]:[列24]],"&lt;&gt;")</f>
        <v>31</v>
      </c>
      <c r="D3" s="2" t="s">
        <v>335</v>
      </c>
      <c r="E3" s="3" t="s">
        <v>339</v>
      </c>
      <c r="F3" s="2" t="s">
        <v>343</v>
      </c>
      <c r="G3" s="3" t="s">
        <v>347</v>
      </c>
      <c r="H3" s="2" t="s">
        <v>351</v>
      </c>
      <c r="I3" s="3" t="s">
        <v>355</v>
      </c>
      <c r="J3" s="2" t="s">
        <v>359</v>
      </c>
      <c r="K3" s="3" t="s">
        <v>363</v>
      </c>
      <c r="L3" s="2" t="s">
        <v>367</v>
      </c>
      <c r="M3" s="3" t="s">
        <v>371</v>
      </c>
      <c r="N3" s="2" t="s">
        <v>375</v>
      </c>
      <c r="O3" s="3" t="s">
        <v>379</v>
      </c>
      <c r="P3" s="2" t="s">
        <v>383</v>
      </c>
      <c r="Q3" s="2" t="s">
        <v>470</v>
      </c>
      <c r="R3" s="3" t="s">
        <v>474</v>
      </c>
      <c r="S3" s="2" t="s">
        <v>478</v>
      </c>
      <c r="T3" s="3" t="s">
        <v>482</v>
      </c>
      <c r="U3" s="2" t="s">
        <v>486</v>
      </c>
      <c r="V3" s="2" t="s">
        <v>494</v>
      </c>
      <c r="W3" s="2" t="s">
        <v>502</v>
      </c>
      <c r="X3" s="3" t="s">
        <v>506</v>
      </c>
      <c r="Y3" s="2" t="s">
        <v>510</v>
      </c>
      <c r="Z3" s="3" t="s">
        <v>514</v>
      </c>
      <c r="AA3" s="2" t="s">
        <v>518</v>
      </c>
      <c r="AB3" s="3" t="s">
        <v>522</v>
      </c>
      <c r="AC3" s="2" t="s">
        <v>526</v>
      </c>
      <c r="AD3" s="3" t="s">
        <v>530</v>
      </c>
      <c r="AE3" s="2" t="s">
        <v>534</v>
      </c>
      <c r="AF3" s="3" t="s">
        <v>538</v>
      </c>
      <c r="AG3" s="2" t="s">
        <v>542</v>
      </c>
      <c r="AH3" s="3" t="s">
        <v>546</v>
      </c>
    </row>
    <row r="4" spans="1:34" x14ac:dyDescent="0.2">
      <c r="A4" t="s">
        <v>31</v>
      </c>
      <c r="B4">
        <f>B3+10</f>
        <v>112</v>
      </c>
      <c r="C4">
        <f>COUNTIF(表_首次要关键词[[#This Row],[1]:[列24]],"&lt;&gt;")</f>
        <v>1</v>
      </c>
      <c r="D4" t="s">
        <v>1718</v>
      </c>
    </row>
    <row r="5" spans="1:34" x14ac:dyDescent="0.2">
      <c r="A5" t="s">
        <v>32</v>
      </c>
      <c r="B5">
        <v>201</v>
      </c>
      <c r="C5">
        <f>COUNTIF(表_首次要关键词[[#This Row],[1]:[列24]],"&lt;&gt;")</f>
        <v>5</v>
      </c>
      <c r="D5" t="s">
        <v>52</v>
      </c>
      <c r="E5" t="s">
        <v>608</v>
      </c>
      <c r="F5" t="s">
        <v>612</v>
      </c>
      <c r="G5" t="s">
        <v>617</v>
      </c>
      <c r="H5" t="s">
        <v>1730</v>
      </c>
    </row>
    <row r="6" spans="1:34" x14ac:dyDescent="0.2">
      <c r="A6" t="s">
        <v>33</v>
      </c>
      <c r="B6">
        <f>B5+1</f>
        <v>202</v>
      </c>
      <c r="C6">
        <f>COUNTIF(表_首次要关键词[[#This Row],[1]:[列24]],"&lt;&gt;")</f>
        <v>0</v>
      </c>
    </row>
    <row r="7" spans="1:34" x14ac:dyDescent="0.2">
      <c r="A7" t="s">
        <v>34</v>
      </c>
      <c r="B7">
        <f>B6+1</f>
        <v>203</v>
      </c>
      <c r="C7">
        <f>COUNTIF(表_首次要关键词[[#This Row],[1]:[列24]],"&lt;&gt;")</f>
        <v>0</v>
      </c>
    </row>
    <row r="8" spans="1:34" x14ac:dyDescent="0.2">
      <c r="A8" t="s">
        <v>35</v>
      </c>
      <c r="B8">
        <f>B7+1</f>
        <v>204</v>
      </c>
      <c r="C8">
        <f>COUNTIF(表_首次要关键词[[#This Row],[1]:[列24]],"&lt;&gt;")</f>
        <v>0</v>
      </c>
    </row>
    <row r="9" spans="1:34" x14ac:dyDescent="0.2">
      <c r="A9" t="s">
        <v>36</v>
      </c>
      <c r="B9">
        <v>251</v>
      </c>
      <c r="C9">
        <f>COUNTIF(表_首次要关键词[[#This Row],[1]:[列24]],"&lt;&gt;")</f>
        <v>1</v>
      </c>
      <c r="D9" t="s">
        <v>982</v>
      </c>
    </row>
    <row r="10" spans="1:34" x14ac:dyDescent="0.2">
      <c r="A10" t="s">
        <v>37</v>
      </c>
      <c r="B10">
        <f>B9+1</f>
        <v>252</v>
      </c>
      <c r="C10">
        <f>COUNTIF(表_首次要关键词[[#This Row],[1]:[列24]],"&lt;&gt;")</f>
        <v>0</v>
      </c>
    </row>
    <row r="11" spans="1:34" x14ac:dyDescent="0.2">
      <c r="A11" t="s">
        <v>38</v>
      </c>
      <c r="B11">
        <f>B10+1</f>
        <v>253</v>
      </c>
      <c r="C11">
        <f>COUNTIF(表_首次要关键词[[#This Row],[1]:[列24]],"&lt;&gt;")</f>
        <v>0</v>
      </c>
    </row>
    <row r="12" spans="1:34" x14ac:dyDescent="0.2">
      <c r="A12" t="s">
        <v>39</v>
      </c>
      <c r="B12">
        <v>301</v>
      </c>
      <c r="C12">
        <f>COUNTIF(表_首次要关键词[[#This Row],[1]:[列24]],"&lt;&gt;")</f>
        <v>5</v>
      </c>
      <c r="D12" t="s">
        <v>674</v>
      </c>
      <c r="E12" t="s">
        <v>678</v>
      </c>
      <c r="F12" t="s">
        <v>702</v>
      </c>
      <c r="G12" t="s">
        <v>686</v>
      </c>
      <c r="H12" t="s">
        <v>1719</v>
      </c>
    </row>
    <row r="13" spans="1:34" x14ac:dyDescent="0.2">
      <c r="A13" t="s">
        <v>40</v>
      </c>
      <c r="B13">
        <f>B12+1</f>
        <v>302</v>
      </c>
      <c r="C13">
        <f>COUNTIF(表_首次要关键词[[#This Row],[1]:[列24]],"&lt;&gt;")</f>
        <v>0</v>
      </c>
    </row>
    <row r="14" spans="1:34" x14ac:dyDescent="0.2">
      <c r="A14" t="s">
        <v>41</v>
      </c>
      <c r="B14">
        <f>B13+1</f>
        <v>303</v>
      </c>
      <c r="C14">
        <f>COUNTIF(表_首次要关键词[[#This Row],[1]:[列24]],"&lt;&gt;")</f>
        <v>0</v>
      </c>
    </row>
    <row r="15" spans="1:34" x14ac:dyDescent="0.2">
      <c r="A15" t="s">
        <v>42</v>
      </c>
      <c r="B15">
        <v>601</v>
      </c>
      <c r="C15">
        <f>COUNTIF(表_首次要关键词[[#This Row],[1]:[列24]],"&lt;&gt;")</f>
        <v>17</v>
      </c>
      <c r="D15" s="5" t="s">
        <v>1170</v>
      </c>
      <c r="E15" s="3" t="s">
        <v>1173</v>
      </c>
      <c r="F15" s="3" t="s">
        <v>1178</v>
      </c>
      <c r="G15" s="2" t="s">
        <v>1181</v>
      </c>
      <c r="H15" s="3" t="s">
        <v>1185</v>
      </c>
      <c r="I15" s="2" t="s">
        <v>1188</v>
      </c>
      <c r="J15" s="3" t="s">
        <v>1191</v>
      </c>
      <c r="K15" s="2" t="s">
        <v>1192</v>
      </c>
      <c r="L15" s="2" t="s">
        <v>1198</v>
      </c>
      <c r="M15" s="2" t="s">
        <v>1203</v>
      </c>
      <c r="N15" s="3" t="s">
        <v>1206</v>
      </c>
      <c r="O15" s="2" t="s">
        <v>1209</v>
      </c>
      <c r="P15" s="3" t="s">
        <v>1212</v>
      </c>
      <c r="Q15" s="2" t="s">
        <v>1215</v>
      </c>
      <c r="R15" s="3" t="s">
        <v>1218</v>
      </c>
      <c r="S15" s="3" t="s">
        <v>1223</v>
      </c>
      <c r="T15" s="2" t="s">
        <v>1226</v>
      </c>
    </row>
    <row r="16" spans="1:34" x14ac:dyDescent="0.2">
      <c r="A16" t="s">
        <v>43</v>
      </c>
      <c r="B16">
        <f>B15+1</f>
        <v>602</v>
      </c>
      <c r="C16">
        <f>COUNTIF(表_首次要关键词[[#This Row],[1]:[列24]],"&lt;&gt;")</f>
        <v>1</v>
      </c>
      <c r="D16" t="s">
        <v>1233</v>
      </c>
    </row>
    <row r="17" spans="1:7" x14ac:dyDescent="0.2">
      <c r="A17" t="s">
        <v>44</v>
      </c>
      <c r="B17">
        <f>B16+1</f>
        <v>603</v>
      </c>
      <c r="C17">
        <f>COUNTIF(表_首次要关键词[[#This Row],[1]:[列24]],"&lt;&gt;")</f>
        <v>0</v>
      </c>
    </row>
    <row r="18" spans="1:7" x14ac:dyDescent="0.2">
      <c r="A18" t="s">
        <v>45</v>
      </c>
      <c r="B18">
        <f>B17+1</f>
        <v>604</v>
      </c>
      <c r="C18">
        <f>COUNTIF(表_首次要关键词[[#This Row],[1]:[列24]],"&lt;&gt;")</f>
        <v>0</v>
      </c>
    </row>
    <row r="19" spans="1:7" x14ac:dyDescent="0.2">
      <c r="A19" t="s">
        <v>46</v>
      </c>
      <c r="B19">
        <f>B18+1</f>
        <v>605</v>
      </c>
      <c r="C19">
        <f>COUNTIF(表_首次要关键词[[#This Row],[1]:[列24]],"&lt;&gt;")</f>
        <v>3</v>
      </c>
      <c r="D19" t="s">
        <v>1269</v>
      </c>
      <c r="E19" t="s">
        <v>1223</v>
      </c>
      <c r="F19" t="s">
        <v>1276</v>
      </c>
    </row>
    <row r="20" spans="1:7" x14ac:dyDescent="0.2">
      <c r="A20" t="s">
        <v>47</v>
      </c>
      <c r="B20">
        <v>801</v>
      </c>
      <c r="C20">
        <f>COUNTIF(表_首次要关键词[[#This Row],[1]:[列24]],"&lt;&gt;")</f>
        <v>0</v>
      </c>
    </row>
    <row r="21" spans="1:7" x14ac:dyDescent="0.2">
      <c r="A21" t="s">
        <v>48</v>
      </c>
      <c r="B21">
        <f>B20+1</f>
        <v>802</v>
      </c>
      <c r="C21">
        <f>COUNTIF(表_首次要关键词[[#This Row],[1]:[列24]],"&lt;&gt;")</f>
        <v>0</v>
      </c>
    </row>
    <row r="22" spans="1:7" x14ac:dyDescent="0.2">
      <c r="A22" t="s">
        <v>49</v>
      </c>
      <c r="B22">
        <f>B21+1</f>
        <v>803</v>
      </c>
      <c r="C22">
        <f>COUNTIF(表_首次要关键词[[#This Row],[1]:[列24]],"&lt;&gt;")</f>
        <v>0</v>
      </c>
    </row>
    <row r="23" spans="1:7" x14ac:dyDescent="0.2">
      <c r="A23" t="s">
        <v>50</v>
      </c>
      <c r="B23">
        <v>900</v>
      </c>
      <c r="C23">
        <f>COUNTIF(表_首次要关键词[[#This Row],[1]:[列24]],"&lt;&gt;")</f>
        <v>0</v>
      </c>
    </row>
    <row r="24" spans="1:7" x14ac:dyDescent="0.2">
      <c r="A24" t="s">
        <v>51</v>
      </c>
      <c r="B24">
        <f t="shared" ref="B24:B31" si="0">B23+1</f>
        <v>901</v>
      </c>
      <c r="C24">
        <f>COUNTIF(表_首次要关键词[[#This Row],[1]:[列24]],"&lt;&gt;")</f>
        <v>0</v>
      </c>
    </row>
    <row r="25" spans="1:7" x14ac:dyDescent="0.2">
      <c r="A25" t="s">
        <v>52</v>
      </c>
      <c r="B25">
        <f t="shared" si="0"/>
        <v>902</v>
      </c>
      <c r="C25">
        <f>COUNTIF(表_首次要关键词[[#This Row],[1]:[列24]],"&lt;&gt;")</f>
        <v>4</v>
      </c>
      <c r="D25" t="s">
        <v>883</v>
      </c>
      <c r="E25" t="s">
        <v>901</v>
      </c>
      <c r="F25" t="s">
        <v>905</v>
      </c>
      <c r="G25" t="s">
        <v>908</v>
      </c>
    </row>
    <row r="26" spans="1:7" x14ac:dyDescent="0.2">
      <c r="A26" t="s">
        <v>53</v>
      </c>
      <c r="B26">
        <f t="shared" si="0"/>
        <v>903</v>
      </c>
      <c r="C26">
        <f>COUNTIF(表_首次要关键词[[#This Row],[1]:[列24]],"&lt;&gt;")</f>
        <v>0</v>
      </c>
    </row>
    <row r="27" spans="1:7" x14ac:dyDescent="0.2">
      <c r="A27" t="s">
        <v>54</v>
      </c>
      <c r="B27">
        <f t="shared" si="0"/>
        <v>904</v>
      </c>
      <c r="C27">
        <f>COUNTIF(表_首次要关键词[[#This Row],[1]:[列24]],"&lt;&gt;")</f>
        <v>0</v>
      </c>
    </row>
    <row r="28" spans="1:7" x14ac:dyDescent="0.2">
      <c r="A28" t="s">
        <v>55</v>
      </c>
      <c r="B28">
        <f t="shared" si="0"/>
        <v>905</v>
      </c>
      <c r="C28">
        <f>COUNTIF(表_首次要关键词[[#This Row],[1]:[列24]],"&lt;&gt;")</f>
        <v>0</v>
      </c>
    </row>
    <row r="29" spans="1:7" x14ac:dyDescent="0.2">
      <c r="A29" t="s">
        <v>56</v>
      </c>
      <c r="B29">
        <f t="shared" si="0"/>
        <v>906</v>
      </c>
      <c r="C29">
        <f>COUNTIF(表_首次要关键词[[#This Row],[1]:[列24]],"&lt;&gt;")</f>
        <v>0</v>
      </c>
    </row>
    <row r="30" spans="1:7" x14ac:dyDescent="0.2">
      <c r="A30" t="s">
        <v>57</v>
      </c>
      <c r="B30">
        <f t="shared" si="0"/>
        <v>907</v>
      </c>
      <c r="C30">
        <f>COUNTIF(表_首次要关键词[[#This Row],[1]:[列24]],"&lt;&gt;")</f>
        <v>0</v>
      </c>
    </row>
    <row r="31" spans="1:7" x14ac:dyDescent="0.2">
      <c r="A31" t="s">
        <v>58</v>
      </c>
      <c r="B31">
        <f t="shared" si="0"/>
        <v>908</v>
      </c>
      <c r="C31">
        <f>COUNTIF(表_首次要关键词[[#This Row],[1]:[列24]],"&lt;&gt;")</f>
        <v>3</v>
      </c>
      <c r="D31" t="s">
        <v>1283</v>
      </c>
      <c r="E31" t="s">
        <v>1300</v>
      </c>
      <c r="F31" t="s">
        <v>1304</v>
      </c>
    </row>
    <row r="32" spans="1:7" x14ac:dyDescent="0.2">
      <c r="A32" t="s">
        <v>1722</v>
      </c>
      <c r="B32">
        <v>991</v>
      </c>
      <c r="C32">
        <f>COUNTIF(表_首次要关键词[[#This Row],[1]:[列24]],"&lt;&gt;")</f>
        <v>4</v>
      </c>
      <c r="D32" t="s">
        <v>1724</v>
      </c>
      <c r="E32" t="s">
        <v>1726</v>
      </c>
      <c r="F32" t="s">
        <v>1573</v>
      </c>
      <c r="G32" t="s">
        <v>1679</v>
      </c>
    </row>
    <row r="33" spans="1:4" x14ac:dyDescent="0.2">
      <c r="A33" t="s">
        <v>1723</v>
      </c>
      <c r="B33">
        <f>B32+1</f>
        <v>992</v>
      </c>
      <c r="C33">
        <f>COUNTIF(表_首次要关键词[[#This Row],[1]:[列24]],"&lt;&gt;")</f>
        <v>1</v>
      </c>
      <c r="D33" t="s">
        <v>1725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2165-563D-4E26-B289-125D1C503A2C}">
  <dimension ref="A1:AK16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0" sqref="B10"/>
    </sheetView>
  </sheetViews>
  <sheetFormatPr defaultRowHeight="14.25" x14ac:dyDescent="0.2"/>
  <cols>
    <col min="1" max="1" width="16.25" bestFit="1" customWidth="1"/>
    <col min="2" max="3" width="13" bestFit="1" customWidth="1"/>
    <col min="4" max="4" width="9" bestFit="1" customWidth="1"/>
    <col min="5" max="5" width="10.875" bestFit="1" customWidth="1"/>
    <col min="6" max="6" width="15.125" bestFit="1" customWidth="1"/>
    <col min="7" max="7" width="13" bestFit="1" customWidth="1"/>
    <col min="8" max="8" width="15.125" bestFit="1" customWidth="1"/>
    <col min="9" max="9" width="11" bestFit="1" customWidth="1"/>
  </cols>
  <sheetData>
    <row r="1" spans="1:37" x14ac:dyDescent="0.2">
      <c r="A1" t="str">
        <f>VLOOKUP("政府",表_首次要关键词[[#All],[首要关键词]:[排序]],2,0)&amp;"_政府"</f>
        <v>101_政府</v>
      </c>
      <c r="B1" t="s">
        <v>79</v>
      </c>
    </row>
    <row r="2" spans="1:37" x14ac:dyDescent="0.2">
      <c r="A2" t="str">
        <f t="shared" ref="A2:A33" si="0">A1</f>
        <v>101_政府</v>
      </c>
      <c r="B2">
        <f t="shared" ref="B2:AK2" si="1">COUNTIFS(B3:B50,"&lt;&gt;")</f>
        <v>7</v>
      </c>
      <c r="C2">
        <f t="shared" si="1"/>
        <v>0</v>
      </c>
      <c r="D2">
        <f t="shared" si="1"/>
        <v>0</v>
      </c>
      <c r="E2">
        <f t="shared" si="1"/>
        <v>0</v>
      </c>
      <c r="F2">
        <f t="shared" si="1"/>
        <v>0</v>
      </c>
      <c r="G2">
        <f t="shared" si="1"/>
        <v>0</v>
      </c>
      <c r="H2">
        <f t="shared" si="1"/>
        <v>0</v>
      </c>
      <c r="I2">
        <f t="shared" si="1"/>
        <v>0</v>
      </c>
      <c r="J2">
        <f t="shared" si="1"/>
        <v>0</v>
      </c>
      <c r="K2">
        <f t="shared" si="1"/>
        <v>0</v>
      </c>
      <c r="L2">
        <f t="shared" si="1"/>
        <v>0</v>
      </c>
      <c r="M2">
        <f t="shared" si="1"/>
        <v>0</v>
      </c>
      <c r="N2">
        <f t="shared" si="1"/>
        <v>0</v>
      </c>
      <c r="O2">
        <f t="shared" si="1"/>
        <v>0</v>
      </c>
      <c r="P2">
        <f t="shared" si="1"/>
        <v>0</v>
      </c>
      <c r="Q2">
        <f t="shared" si="1"/>
        <v>0</v>
      </c>
      <c r="R2">
        <f t="shared" si="1"/>
        <v>0</v>
      </c>
      <c r="S2">
        <f t="shared" si="1"/>
        <v>0</v>
      </c>
      <c r="T2">
        <f t="shared" si="1"/>
        <v>0</v>
      </c>
      <c r="U2">
        <f t="shared" si="1"/>
        <v>0</v>
      </c>
      <c r="V2">
        <f t="shared" si="1"/>
        <v>0</v>
      </c>
      <c r="W2">
        <f t="shared" si="1"/>
        <v>0</v>
      </c>
      <c r="X2">
        <f t="shared" si="1"/>
        <v>0</v>
      </c>
      <c r="Y2">
        <f t="shared" si="1"/>
        <v>0</v>
      </c>
      <c r="Z2">
        <f t="shared" si="1"/>
        <v>0</v>
      </c>
      <c r="AA2">
        <f t="shared" si="1"/>
        <v>0</v>
      </c>
      <c r="AB2">
        <f t="shared" si="1"/>
        <v>0</v>
      </c>
      <c r="AC2">
        <f t="shared" si="1"/>
        <v>0</v>
      </c>
      <c r="AD2">
        <f t="shared" si="1"/>
        <v>0</v>
      </c>
      <c r="AE2">
        <f t="shared" si="1"/>
        <v>0</v>
      </c>
      <c r="AF2">
        <f t="shared" si="1"/>
        <v>0</v>
      </c>
      <c r="AG2">
        <f t="shared" si="1"/>
        <v>0</v>
      </c>
      <c r="AH2">
        <f t="shared" si="1"/>
        <v>0</v>
      </c>
      <c r="AI2">
        <f t="shared" si="1"/>
        <v>0</v>
      </c>
      <c r="AJ2">
        <f t="shared" si="1"/>
        <v>0</v>
      </c>
      <c r="AK2">
        <f t="shared" si="1"/>
        <v>0</v>
      </c>
    </row>
    <row r="3" spans="1:37" x14ac:dyDescent="0.2">
      <c r="A3" t="str">
        <f t="shared" si="0"/>
        <v>101_政府</v>
      </c>
      <c r="B3" t="s">
        <v>84</v>
      </c>
    </row>
    <row r="4" spans="1:37" x14ac:dyDescent="0.2">
      <c r="A4" t="str">
        <f t="shared" si="0"/>
        <v>101_政府</v>
      </c>
      <c r="B4" t="s">
        <v>171</v>
      </c>
    </row>
    <row r="5" spans="1:37" x14ac:dyDescent="0.2">
      <c r="A5" t="str">
        <f t="shared" si="0"/>
        <v>101_政府</v>
      </c>
      <c r="B5" t="s">
        <v>175</v>
      </c>
    </row>
    <row r="6" spans="1:37" x14ac:dyDescent="0.2">
      <c r="A6" t="str">
        <f t="shared" si="0"/>
        <v>101_政府</v>
      </c>
      <c r="B6" t="s">
        <v>218</v>
      </c>
    </row>
    <row r="7" spans="1:37" x14ac:dyDescent="0.2">
      <c r="A7" t="str">
        <f t="shared" si="0"/>
        <v>101_政府</v>
      </c>
      <c r="B7" t="s">
        <v>236</v>
      </c>
    </row>
    <row r="8" spans="1:37" x14ac:dyDescent="0.2">
      <c r="A8" t="str">
        <f t="shared" si="0"/>
        <v>101_政府</v>
      </c>
      <c r="B8" t="s">
        <v>264</v>
      </c>
    </row>
    <row r="9" spans="1:37" x14ac:dyDescent="0.2">
      <c r="A9" t="str">
        <f t="shared" si="0"/>
        <v>101_政府</v>
      </c>
      <c r="B9" t="s">
        <v>323</v>
      </c>
    </row>
    <row r="10" spans="1:37" x14ac:dyDescent="0.2">
      <c r="A10" t="str">
        <f t="shared" si="0"/>
        <v>101_政府</v>
      </c>
    </row>
    <row r="11" spans="1:37" x14ac:dyDescent="0.2">
      <c r="A11" t="str">
        <f t="shared" si="0"/>
        <v>101_政府</v>
      </c>
    </row>
    <row r="12" spans="1:37" x14ac:dyDescent="0.2">
      <c r="A12" t="str">
        <f t="shared" si="0"/>
        <v>101_政府</v>
      </c>
    </row>
    <row r="13" spans="1:37" x14ac:dyDescent="0.2">
      <c r="A13" t="str">
        <f t="shared" si="0"/>
        <v>101_政府</v>
      </c>
    </row>
    <row r="14" spans="1:37" x14ac:dyDescent="0.2">
      <c r="A14" t="str">
        <f t="shared" si="0"/>
        <v>101_政府</v>
      </c>
    </row>
    <row r="15" spans="1:37" x14ac:dyDescent="0.2">
      <c r="A15" t="str">
        <f t="shared" si="0"/>
        <v>101_政府</v>
      </c>
    </row>
    <row r="16" spans="1:37" x14ac:dyDescent="0.2">
      <c r="A16" t="str">
        <f t="shared" si="0"/>
        <v>101_政府</v>
      </c>
    </row>
    <row r="17" spans="1:1" x14ac:dyDescent="0.2">
      <c r="A17" t="str">
        <f t="shared" si="0"/>
        <v>101_政府</v>
      </c>
    </row>
    <row r="18" spans="1:1" x14ac:dyDescent="0.2">
      <c r="A18" t="str">
        <f t="shared" si="0"/>
        <v>101_政府</v>
      </c>
    </row>
    <row r="19" spans="1:1" x14ac:dyDescent="0.2">
      <c r="A19" t="str">
        <f t="shared" si="0"/>
        <v>101_政府</v>
      </c>
    </row>
    <row r="20" spans="1:1" x14ac:dyDescent="0.2">
      <c r="A20" t="str">
        <f t="shared" si="0"/>
        <v>101_政府</v>
      </c>
    </row>
    <row r="21" spans="1:1" x14ac:dyDescent="0.2">
      <c r="A21" t="str">
        <f t="shared" si="0"/>
        <v>101_政府</v>
      </c>
    </row>
    <row r="22" spans="1:1" x14ac:dyDescent="0.2">
      <c r="A22" t="str">
        <f t="shared" si="0"/>
        <v>101_政府</v>
      </c>
    </row>
    <row r="23" spans="1:1" x14ac:dyDescent="0.2">
      <c r="A23" t="str">
        <f t="shared" si="0"/>
        <v>101_政府</v>
      </c>
    </row>
    <row r="24" spans="1:1" x14ac:dyDescent="0.2">
      <c r="A24" t="str">
        <f t="shared" si="0"/>
        <v>101_政府</v>
      </c>
    </row>
    <row r="25" spans="1:1" x14ac:dyDescent="0.2">
      <c r="A25" t="str">
        <f t="shared" si="0"/>
        <v>101_政府</v>
      </c>
    </row>
    <row r="26" spans="1:1" x14ac:dyDescent="0.2">
      <c r="A26" t="str">
        <f t="shared" si="0"/>
        <v>101_政府</v>
      </c>
    </row>
    <row r="27" spans="1:1" x14ac:dyDescent="0.2">
      <c r="A27" t="str">
        <f t="shared" si="0"/>
        <v>101_政府</v>
      </c>
    </row>
    <row r="28" spans="1:1" x14ac:dyDescent="0.2">
      <c r="A28" t="str">
        <f t="shared" si="0"/>
        <v>101_政府</v>
      </c>
    </row>
    <row r="29" spans="1:1" x14ac:dyDescent="0.2">
      <c r="A29" t="str">
        <f t="shared" si="0"/>
        <v>101_政府</v>
      </c>
    </row>
    <row r="30" spans="1:1" x14ac:dyDescent="0.2">
      <c r="A30" t="str">
        <f t="shared" si="0"/>
        <v>101_政府</v>
      </c>
    </row>
    <row r="31" spans="1:1" x14ac:dyDescent="0.2">
      <c r="A31" t="str">
        <f t="shared" si="0"/>
        <v>101_政府</v>
      </c>
    </row>
    <row r="32" spans="1:1" x14ac:dyDescent="0.2">
      <c r="A32" t="str">
        <f t="shared" si="0"/>
        <v>101_政府</v>
      </c>
    </row>
    <row r="33" spans="1:1" x14ac:dyDescent="0.2">
      <c r="A33" t="str">
        <f t="shared" si="0"/>
        <v>101_政府</v>
      </c>
    </row>
    <row r="34" spans="1:1" x14ac:dyDescent="0.2">
      <c r="A34" t="str">
        <f t="shared" ref="A34:A50" si="2">A33</f>
        <v>101_政府</v>
      </c>
    </row>
    <row r="35" spans="1:1" x14ac:dyDescent="0.2">
      <c r="A35" t="str">
        <f t="shared" si="2"/>
        <v>101_政府</v>
      </c>
    </row>
    <row r="36" spans="1:1" x14ac:dyDescent="0.2">
      <c r="A36" t="str">
        <f t="shared" si="2"/>
        <v>101_政府</v>
      </c>
    </row>
    <row r="37" spans="1:1" x14ac:dyDescent="0.2">
      <c r="A37" t="str">
        <f t="shared" si="2"/>
        <v>101_政府</v>
      </c>
    </row>
    <row r="38" spans="1:1" x14ac:dyDescent="0.2">
      <c r="A38" t="str">
        <f t="shared" si="2"/>
        <v>101_政府</v>
      </c>
    </row>
    <row r="39" spans="1:1" x14ac:dyDescent="0.2">
      <c r="A39" t="str">
        <f t="shared" si="2"/>
        <v>101_政府</v>
      </c>
    </row>
    <row r="40" spans="1:1" x14ac:dyDescent="0.2">
      <c r="A40" t="str">
        <f t="shared" si="2"/>
        <v>101_政府</v>
      </c>
    </row>
    <row r="41" spans="1:1" x14ac:dyDescent="0.2">
      <c r="A41" t="str">
        <f t="shared" si="2"/>
        <v>101_政府</v>
      </c>
    </row>
    <row r="42" spans="1:1" x14ac:dyDescent="0.2">
      <c r="A42" t="str">
        <f t="shared" si="2"/>
        <v>101_政府</v>
      </c>
    </row>
    <row r="43" spans="1:1" x14ac:dyDescent="0.2">
      <c r="A43" t="str">
        <f t="shared" si="2"/>
        <v>101_政府</v>
      </c>
    </row>
    <row r="44" spans="1:1" x14ac:dyDescent="0.2">
      <c r="A44" t="str">
        <f t="shared" si="2"/>
        <v>101_政府</v>
      </c>
    </row>
    <row r="45" spans="1:1" x14ac:dyDescent="0.2">
      <c r="A45" t="str">
        <f t="shared" si="2"/>
        <v>101_政府</v>
      </c>
    </row>
    <row r="46" spans="1:1" x14ac:dyDescent="0.2">
      <c r="A46" t="str">
        <f t="shared" si="2"/>
        <v>101_政府</v>
      </c>
    </row>
    <row r="47" spans="1:1" x14ac:dyDescent="0.2">
      <c r="A47" t="str">
        <f t="shared" si="2"/>
        <v>101_政府</v>
      </c>
    </row>
    <row r="48" spans="1:1" x14ac:dyDescent="0.2">
      <c r="A48" t="str">
        <f t="shared" si="2"/>
        <v>101_政府</v>
      </c>
    </row>
    <row r="49" spans="1:37" x14ac:dyDescent="0.2">
      <c r="A49" t="str">
        <f t="shared" si="2"/>
        <v>101_政府</v>
      </c>
    </row>
    <row r="50" spans="1:37" x14ac:dyDescent="0.2">
      <c r="A50" t="str">
        <f t="shared" si="2"/>
        <v>101_政府</v>
      </c>
    </row>
    <row r="51" spans="1:37" x14ac:dyDescent="0.2">
      <c r="A51" t="str">
        <f>VLOOKUP("政协",表_首次要关键词[[#All],[首要关键词]:[排序]],2,0)&amp;"_政协"</f>
        <v>102_政协</v>
      </c>
      <c r="B51" t="s">
        <v>335</v>
      </c>
      <c r="C51" t="s">
        <v>339</v>
      </c>
      <c r="D51" t="s">
        <v>343</v>
      </c>
      <c r="E51" t="s">
        <v>347</v>
      </c>
      <c r="F51" t="s">
        <v>351</v>
      </c>
      <c r="G51" t="s">
        <v>355</v>
      </c>
      <c r="H51" t="s">
        <v>359</v>
      </c>
      <c r="I51" t="s">
        <v>363</v>
      </c>
      <c r="J51" t="s">
        <v>367</v>
      </c>
      <c r="K51" t="s">
        <v>371</v>
      </c>
      <c r="L51" t="s">
        <v>375</v>
      </c>
      <c r="M51" t="s">
        <v>379</v>
      </c>
      <c r="N51" t="s">
        <v>383</v>
      </c>
      <c r="O51" t="s">
        <v>470</v>
      </c>
      <c r="P51" t="s">
        <v>474</v>
      </c>
      <c r="Q51" t="s">
        <v>478</v>
      </c>
      <c r="R51" t="s">
        <v>482</v>
      </c>
      <c r="S51" t="s">
        <v>486</v>
      </c>
      <c r="T51" t="s">
        <v>494</v>
      </c>
      <c r="U51" t="s">
        <v>502</v>
      </c>
      <c r="V51" t="s">
        <v>506</v>
      </c>
      <c r="W51" t="s">
        <v>510</v>
      </c>
      <c r="X51" t="s">
        <v>514</v>
      </c>
      <c r="Y51" t="s">
        <v>518</v>
      </c>
      <c r="Z51" t="s">
        <v>522</v>
      </c>
      <c r="AA51" t="s">
        <v>526</v>
      </c>
      <c r="AB51" t="s">
        <v>530</v>
      </c>
      <c r="AC51" t="s">
        <v>534</v>
      </c>
      <c r="AD51" t="s">
        <v>538</v>
      </c>
      <c r="AE51" t="s">
        <v>542</v>
      </c>
      <c r="AF51" t="s">
        <v>546</v>
      </c>
    </row>
    <row r="52" spans="1:37" x14ac:dyDescent="0.2">
      <c r="A52" t="str">
        <f t="shared" ref="A52:A83" si="3">A51</f>
        <v>102_政协</v>
      </c>
      <c r="B52">
        <f t="shared" ref="B52:AK52" si="4">COUNTIFS(B53:B99,"&lt;&gt;")</f>
        <v>0</v>
      </c>
      <c r="C52">
        <f t="shared" si="4"/>
        <v>0</v>
      </c>
      <c r="D52">
        <f t="shared" si="4"/>
        <v>0</v>
      </c>
      <c r="E52">
        <f t="shared" si="4"/>
        <v>0</v>
      </c>
      <c r="F52">
        <f t="shared" si="4"/>
        <v>0</v>
      </c>
      <c r="G52">
        <f t="shared" si="4"/>
        <v>0</v>
      </c>
      <c r="H52">
        <f t="shared" si="4"/>
        <v>0</v>
      </c>
      <c r="I52">
        <f t="shared" si="4"/>
        <v>0</v>
      </c>
      <c r="J52">
        <f t="shared" si="4"/>
        <v>0</v>
      </c>
      <c r="K52">
        <f t="shared" si="4"/>
        <v>0</v>
      </c>
      <c r="L52">
        <f t="shared" si="4"/>
        <v>0</v>
      </c>
      <c r="M52">
        <f t="shared" si="4"/>
        <v>0</v>
      </c>
      <c r="N52">
        <f t="shared" si="4"/>
        <v>20</v>
      </c>
      <c r="O52">
        <f t="shared" si="4"/>
        <v>0</v>
      </c>
      <c r="P52">
        <f t="shared" si="4"/>
        <v>0</v>
      </c>
      <c r="Q52">
        <f t="shared" si="4"/>
        <v>0</v>
      </c>
      <c r="R52">
        <f t="shared" si="4"/>
        <v>0</v>
      </c>
      <c r="S52">
        <f t="shared" si="4"/>
        <v>1</v>
      </c>
      <c r="T52">
        <f t="shared" si="4"/>
        <v>1</v>
      </c>
      <c r="U52">
        <f t="shared" si="4"/>
        <v>0</v>
      </c>
      <c r="V52">
        <f t="shared" si="4"/>
        <v>0</v>
      </c>
      <c r="W52">
        <f t="shared" si="4"/>
        <v>0</v>
      </c>
      <c r="X52">
        <f t="shared" si="4"/>
        <v>0</v>
      </c>
      <c r="Y52">
        <f t="shared" si="4"/>
        <v>0</v>
      </c>
      <c r="Z52">
        <f t="shared" si="4"/>
        <v>0</v>
      </c>
      <c r="AA52">
        <f t="shared" si="4"/>
        <v>0</v>
      </c>
      <c r="AB52">
        <f t="shared" si="4"/>
        <v>0</v>
      </c>
      <c r="AC52">
        <f t="shared" si="4"/>
        <v>0</v>
      </c>
      <c r="AD52">
        <f t="shared" si="4"/>
        <v>0</v>
      </c>
      <c r="AE52">
        <f t="shared" si="4"/>
        <v>0</v>
      </c>
      <c r="AF52">
        <f t="shared" si="4"/>
        <v>0</v>
      </c>
      <c r="AG52">
        <f t="shared" si="4"/>
        <v>0</v>
      </c>
      <c r="AH52">
        <f t="shared" si="4"/>
        <v>0</v>
      </c>
      <c r="AI52">
        <f t="shared" si="4"/>
        <v>0</v>
      </c>
      <c r="AJ52">
        <f t="shared" si="4"/>
        <v>0</v>
      </c>
      <c r="AK52">
        <f t="shared" si="4"/>
        <v>0</v>
      </c>
    </row>
    <row r="53" spans="1:37" x14ac:dyDescent="0.2">
      <c r="A53" t="str">
        <f t="shared" si="3"/>
        <v>102_政协</v>
      </c>
      <c r="N53" t="s">
        <v>387</v>
      </c>
      <c r="S53" t="s">
        <v>490</v>
      </c>
      <c r="T53" t="s">
        <v>498</v>
      </c>
    </row>
    <row r="54" spans="1:37" x14ac:dyDescent="0.2">
      <c r="A54" t="str">
        <f t="shared" si="3"/>
        <v>102_政协</v>
      </c>
      <c r="N54" t="s">
        <v>391</v>
      </c>
    </row>
    <row r="55" spans="1:37" x14ac:dyDescent="0.2">
      <c r="A55" t="str">
        <f t="shared" si="3"/>
        <v>102_政协</v>
      </c>
      <c r="N55" t="s">
        <v>395</v>
      </c>
    </row>
    <row r="56" spans="1:37" x14ac:dyDescent="0.2">
      <c r="A56" t="str">
        <f t="shared" si="3"/>
        <v>102_政协</v>
      </c>
      <c r="N56" t="s">
        <v>399</v>
      </c>
    </row>
    <row r="57" spans="1:37" x14ac:dyDescent="0.2">
      <c r="A57" t="str">
        <f t="shared" si="3"/>
        <v>102_政协</v>
      </c>
      <c r="N57" t="s">
        <v>406</v>
      </c>
    </row>
    <row r="58" spans="1:37" x14ac:dyDescent="0.2">
      <c r="A58" t="str">
        <f t="shared" si="3"/>
        <v>102_政协</v>
      </c>
      <c r="N58" t="s">
        <v>410</v>
      </c>
    </row>
    <row r="59" spans="1:37" x14ac:dyDescent="0.2">
      <c r="A59" t="str">
        <f t="shared" si="3"/>
        <v>102_政协</v>
      </c>
      <c r="N59" t="s">
        <v>414</v>
      </c>
    </row>
    <row r="60" spans="1:37" x14ac:dyDescent="0.2">
      <c r="A60" t="str">
        <f t="shared" si="3"/>
        <v>102_政协</v>
      </c>
      <c r="N60" t="s">
        <v>418</v>
      </c>
    </row>
    <row r="61" spans="1:37" x14ac:dyDescent="0.2">
      <c r="A61" t="str">
        <f t="shared" si="3"/>
        <v>102_政协</v>
      </c>
      <c r="N61" t="s">
        <v>422</v>
      </c>
    </row>
    <row r="62" spans="1:37" x14ac:dyDescent="0.2">
      <c r="A62" t="str">
        <f t="shared" si="3"/>
        <v>102_政协</v>
      </c>
      <c r="N62" t="s">
        <v>426</v>
      </c>
    </row>
    <row r="63" spans="1:37" x14ac:dyDescent="0.2">
      <c r="A63" t="str">
        <f t="shared" si="3"/>
        <v>102_政协</v>
      </c>
      <c r="N63" t="s">
        <v>430</v>
      </c>
    </row>
    <row r="64" spans="1:37" x14ac:dyDescent="0.2">
      <c r="A64" t="str">
        <f t="shared" si="3"/>
        <v>102_政协</v>
      </c>
      <c r="N64" t="s">
        <v>434</v>
      </c>
    </row>
    <row r="65" spans="1:14" x14ac:dyDescent="0.2">
      <c r="A65" t="str">
        <f t="shared" si="3"/>
        <v>102_政协</v>
      </c>
      <c r="N65" t="s">
        <v>438</v>
      </c>
    </row>
    <row r="66" spans="1:14" x14ac:dyDescent="0.2">
      <c r="A66" t="str">
        <f t="shared" si="3"/>
        <v>102_政协</v>
      </c>
      <c r="N66" t="s">
        <v>442</v>
      </c>
    </row>
    <row r="67" spans="1:14" x14ac:dyDescent="0.2">
      <c r="A67" t="str">
        <f t="shared" si="3"/>
        <v>102_政协</v>
      </c>
      <c r="N67" t="s">
        <v>446</v>
      </c>
    </row>
    <row r="68" spans="1:14" x14ac:dyDescent="0.2">
      <c r="A68" t="str">
        <f t="shared" si="3"/>
        <v>102_政协</v>
      </c>
      <c r="N68" t="s">
        <v>450</v>
      </c>
    </row>
    <row r="69" spans="1:14" x14ac:dyDescent="0.2">
      <c r="A69" t="str">
        <f t="shared" si="3"/>
        <v>102_政协</v>
      </c>
      <c r="N69" t="s">
        <v>454</v>
      </c>
    </row>
    <row r="70" spans="1:14" x14ac:dyDescent="0.2">
      <c r="A70" t="str">
        <f t="shared" si="3"/>
        <v>102_政协</v>
      </c>
      <c r="N70" t="s">
        <v>458</v>
      </c>
    </row>
    <row r="71" spans="1:14" x14ac:dyDescent="0.2">
      <c r="A71" t="str">
        <f t="shared" si="3"/>
        <v>102_政协</v>
      </c>
      <c r="N71" t="s">
        <v>462</v>
      </c>
    </row>
    <row r="72" spans="1:14" x14ac:dyDescent="0.2">
      <c r="A72" t="str">
        <f t="shared" si="3"/>
        <v>102_政协</v>
      </c>
      <c r="N72" t="s">
        <v>466</v>
      </c>
    </row>
    <row r="73" spans="1:14" x14ac:dyDescent="0.2">
      <c r="A73" t="str">
        <f t="shared" si="3"/>
        <v>102_政协</v>
      </c>
    </row>
    <row r="74" spans="1:14" x14ac:dyDescent="0.2">
      <c r="A74" t="str">
        <f t="shared" si="3"/>
        <v>102_政协</v>
      </c>
    </row>
    <row r="75" spans="1:14" x14ac:dyDescent="0.2">
      <c r="A75" t="str">
        <f t="shared" si="3"/>
        <v>102_政协</v>
      </c>
    </row>
    <row r="76" spans="1:14" x14ac:dyDescent="0.2">
      <c r="A76" t="str">
        <f t="shared" si="3"/>
        <v>102_政协</v>
      </c>
    </row>
    <row r="77" spans="1:14" x14ac:dyDescent="0.2">
      <c r="A77" t="str">
        <f t="shared" si="3"/>
        <v>102_政协</v>
      </c>
    </row>
    <row r="78" spans="1:14" x14ac:dyDescent="0.2">
      <c r="A78" t="str">
        <f t="shared" si="3"/>
        <v>102_政协</v>
      </c>
    </row>
    <row r="79" spans="1:14" x14ac:dyDescent="0.2">
      <c r="A79" t="str">
        <f t="shared" si="3"/>
        <v>102_政协</v>
      </c>
    </row>
    <row r="80" spans="1:14" x14ac:dyDescent="0.2">
      <c r="A80" t="str">
        <f t="shared" si="3"/>
        <v>102_政协</v>
      </c>
    </row>
    <row r="81" spans="1:1" x14ac:dyDescent="0.2">
      <c r="A81" t="str">
        <f t="shared" si="3"/>
        <v>102_政协</v>
      </c>
    </row>
    <row r="82" spans="1:1" x14ac:dyDescent="0.2">
      <c r="A82" t="str">
        <f t="shared" si="3"/>
        <v>102_政协</v>
      </c>
    </row>
    <row r="83" spans="1:1" x14ac:dyDescent="0.2">
      <c r="A83" t="str">
        <f t="shared" si="3"/>
        <v>102_政协</v>
      </c>
    </row>
    <row r="84" spans="1:1" x14ac:dyDescent="0.2">
      <c r="A84" t="str">
        <f t="shared" ref="A84:A100" si="5">A83</f>
        <v>102_政协</v>
      </c>
    </row>
    <row r="85" spans="1:1" x14ac:dyDescent="0.2">
      <c r="A85" t="str">
        <f t="shared" si="5"/>
        <v>102_政协</v>
      </c>
    </row>
    <row r="86" spans="1:1" x14ac:dyDescent="0.2">
      <c r="A86" t="str">
        <f t="shared" si="5"/>
        <v>102_政协</v>
      </c>
    </row>
    <row r="87" spans="1:1" x14ac:dyDescent="0.2">
      <c r="A87" t="str">
        <f t="shared" si="5"/>
        <v>102_政协</v>
      </c>
    </row>
    <row r="88" spans="1:1" x14ac:dyDescent="0.2">
      <c r="A88" t="str">
        <f t="shared" si="5"/>
        <v>102_政协</v>
      </c>
    </row>
    <row r="89" spans="1:1" x14ac:dyDescent="0.2">
      <c r="A89" t="str">
        <f t="shared" si="5"/>
        <v>102_政协</v>
      </c>
    </row>
    <row r="90" spans="1:1" x14ac:dyDescent="0.2">
      <c r="A90" t="str">
        <f t="shared" si="5"/>
        <v>102_政协</v>
      </c>
    </row>
    <row r="91" spans="1:1" x14ac:dyDescent="0.2">
      <c r="A91" t="str">
        <f t="shared" si="5"/>
        <v>102_政协</v>
      </c>
    </row>
    <row r="92" spans="1:1" x14ac:dyDescent="0.2">
      <c r="A92" t="str">
        <f t="shared" si="5"/>
        <v>102_政协</v>
      </c>
    </row>
    <row r="93" spans="1:1" x14ac:dyDescent="0.2">
      <c r="A93" t="str">
        <f t="shared" si="5"/>
        <v>102_政协</v>
      </c>
    </row>
    <row r="94" spans="1:1" x14ac:dyDescent="0.2">
      <c r="A94" t="str">
        <f t="shared" si="5"/>
        <v>102_政协</v>
      </c>
    </row>
    <row r="95" spans="1:1" x14ac:dyDescent="0.2">
      <c r="A95" t="str">
        <f t="shared" si="5"/>
        <v>102_政协</v>
      </c>
    </row>
    <row r="96" spans="1:1" x14ac:dyDescent="0.2">
      <c r="A96" t="str">
        <f t="shared" si="5"/>
        <v>102_政协</v>
      </c>
    </row>
    <row r="97" spans="1:37" x14ac:dyDescent="0.2">
      <c r="A97" t="str">
        <f t="shared" si="5"/>
        <v>102_政协</v>
      </c>
    </row>
    <row r="98" spans="1:37" x14ac:dyDescent="0.2">
      <c r="A98" t="str">
        <f t="shared" si="5"/>
        <v>102_政协</v>
      </c>
    </row>
    <row r="99" spans="1:37" x14ac:dyDescent="0.2">
      <c r="A99" t="str">
        <f t="shared" si="5"/>
        <v>102_政协</v>
      </c>
    </row>
    <row r="100" spans="1:37" x14ac:dyDescent="0.2">
      <c r="A100" t="str">
        <f t="shared" si="5"/>
        <v>102_政协</v>
      </c>
    </row>
    <row r="101" spans="1:37" x14ac:dyDescent="0.2">
      <c r="A101" t="str">
        <f>VLOOKUP("媒体",表_首次要关键词[[#All],[首要关键词]:[排序]],2,0)&amp;"_媒体"</f>
        <v>112_媒体</v>
      </c>
      <c r="B101" t="s">
        <v>1718</v>
      </c>
    </row>
    <row r="102" spans="1:37" x14ac:dyDescent="0.2">
      <c r="A102" t="str">
        <f t="shared" ref="A102:A133" si="6">A101</f>
        <v>112_媒体</v>
      </c>
      <c r="B102">
        <f t="shared" ref="B102:AK102" si="7">COUNTIFS(B103:B149,"&lt;&gt;")</f>
        <v>0</v>
      </c>
      <c r="C102">
        <f t="shared" si="7"/>
        <v>0</v>
      </c>
      <c r="D102">
        <f t="shared" si="7"/>
        <v>0</v>
      </c>
      <c r="E102">
        <f t="shared" si="7"/>
        <v>0</v>
      </c>
      <c r="F102">
        <f t="shared" si="7"/>
        <v>0</v>
      </c>
      <c r="G102">
        <f t="shared" si="7"/>
        <v>0</v>
      </c>
      <c r="H102">
        <f t="shared" si="7"/>
        <v>0</v>
      </c>
      <c r="I102">
        <f t="shared" si="7"/>
        <v>0</v>
      </c>
      <c r="J102">
        <f t="shared" si="7"/>
        <v>0</v>
      </c>
      <c r="K102">
        <f t="shared" si="7"/>
        <v>0</v>
      </c>
      <c r="L102">
        <f t="shared" si="7"/>
        <v>0</v>
      </c>
      <c r="M102">
        <f t="shared" si="7"/>
        <v>0</v>
      </c>
      <c r="N102">
        <f t="shared" si="7"/>
        <v>0</v>
      </c>
      <c r="O102">
        <f t="shared" si="7"/>
        <v>0</v>
      </c>
      <c r="P102">
        <f t="shared" si="7"/>
        <v>0</v>
      </c>
      <c r="Q102">
        <f t="shared" si="7"/>
        <v>0</v>
      </c>
      <c r="R102">
        <f t="shared" si="7"/>
        <v>0</v>
      </c>
      <c r="S102">
        <f t="shared" si="7"/>
        <v>0</v>
      </c>
      <c r="T102">
        <f t="shared" si="7"/>
        <v>0</v>
      </c>
      <c r="U102">
        <f t="shared" si="7"/>
        <v>0</v>
      </c>
      <c r="V102">
        <f t="shared" si="7"/>
        <v>0</v>
      </c>
      <c r="W102">
        <f t="shared" si="7"/>
        <v>0</v>
      </c>
      <c r="X102">
        <f t="shared" si="7"/>
        <v>0</v>
      </c>
      <c r="Y102">
        <f t="shared" si="7"/>
        <v>0</v>
      </c>
      <c r="Z102">
        <f t="shared" si="7"/>
        <v>0</v>
      </c>
      <c r="AA102">
        <f t="shared" si="7"/>
        <v>0</v>
      </c>
      <c r="AB102">
        <f t="shared" si="7"/>
        <v>0</v>
      </c>
      <c r="AC102">
        <f t="shared" si="7"/>
        <v>0</v>
      </c>
      <c r="AD102">
        <f t="shared" si="7"/>
        <v>0</v>
      </c>
      <c r="AE102">
        <f t="shared" si="7"/>
        <v>0</v>
      </c>
      <c r="AF102">
        <f t="shared" si="7"/>
        <v>0</v>
      </c>
      <c r="AG102">
        <f t="shared" si="7"/>
        <v>0</v>
      </c>
      <c r="AH102">
        <f t="shared" si="7"/>
        <v>0</v>
      </c>
      <c r="AI102">
        <f t="shared" si="7"/>
        <v>0</v>
      </c>
      <c r="AJ102">
        <f t="shared" si="7"/>
        <v>0</v>
      </c>
      <c r="AK102">
        <f t="shared" si="7"/>
        <v>0</v>
      </c>
    </row>
    <row r="103" spans="1:37" x14ac:dyDescent="0.2">
      <c r="A103" t="str">
        <f t="shared" si="6"/>
        <v>112_媒体</v>
      </c>
    </row>
    <row r="104" spans="1:37" x14ac:dyDescent="0.2">
      <c r="A104" t="str">
        <f t="shared" si="6"/>
        <v>112_媒体</v>
      </c>
    </row>
    <row r="105" spans="1:37" x14ac:dyDescent="0.2">
      <c r="A105" t="str">
        <f t="shared" si="6"/>
        <v>112_媒体</v>
      </c>
    </row>
    <row r="106" spans="1:37" x14ac:dyDescent="0.2">
      <c r="A106" t="str">
        <f t="shared" si="6"/>
        <v>112_媒体</v>
      </c>
    </row>
    <row r="107" spans="1:37" x14ac:dyDescent="0.2">
      <c r="A107" t="str">
        <f t="shared" si="6"/>
        <v>112_媒体</v>
      </c>
    </row>
    <row r="108" spans="1:37" x14ac:dyDescent="0.2">
      <c r="A108" t="str">
        <f t="shared" si="6"/>
        <v>112_媒体</v>
      </c>
    </row>
    <row r="109" spans="1:37" x14ac:dyDescent="0.2">
      <c r="A109" t="str">
        <f t="shared" si="6"/>
        <v>112_媒体</v>
      </c>
    </row>
    <row r="110" spans="1:37" x14ac:dyDescent="0.2">
      <c r="A110" t="str">
        <f t="shared" si="6"/>
        <v>112_媒体</v>
      </c>
    </row>
    <row r="111" spans="1:37" x14ac:dyDescent="0.2">
      <c r="A111" t="str">
        <f t="shared" si="6"/>
        <v>112_媒体</v>
      </c>
    </row>
    <row r="112" spans="1:37" x14ac:dyDescent="0.2">
      <c r="A112" t="str">
        <f t="shared" si="6"/>
        <v>112_媒体</v>
      </c>
    </row>
    <row r="113" spans="1:1" x14ac:dyDescent="0.2">
      <c r="A113" t="str">
        <f t="shared" si="6"/>
        <v>112_媒体</v>
      </c>
    </row>
    <row r="114" spans="1:1" x14ac:dyDescent="0.2">
      <c r="A114" t="str">
        <f t="shared" si="6"/>
        <v>112_媒体</v>
      </c>
    </row>
    <row r="115" spans="1:1" x14ac:dyDescent="0.2">
      <c r="A115" t="str">
        <f t="shared" si="6"/>
        <v>112_媒体</v>
      </c>
    </row>
    <row r="116" spans="1:1" x14ac:dyDescent="0.2">
      <c r="A116" t="str">
        <f t="shared" si="6"/>
        <v>112_媒体</v>
      </c>
    </row>
    <row r="117" spans="1:1" x14ac:dyDescent="0.2">
      <c r="A117" t="str">
        <f t="shared" si="6"/>
        <v>112_媒体</v>
      </c>
    </row>
    <row r="118" spans="1:1" x14ac:dyDescent="0.2">
      <c r="A118" t="str">
        <f t="shared" si="6"/>
        <v>112_媒体</v>
      </c>
    </row>
    <row r="119" spans="1:1" x14ac:dyDescent="0.2">
      <c r="A119" t="str">
        <f t="shared" si="6"/>
        <v>112_媒体</v>
      </c>
    </row>
    <row r="120" spans="1:1" x14ac:dyDescent="0.2">
      <c r="A120" t="str">
        <f t="shared" si="6"/>
        <v>112_媒体</v>
      </c>
    </row>
    <row r="121" spans="1:1" x14ac:dyDescent="0.2">
      <c r="A121" t="str">
        <f t="shared" si="6"/>
        <v>112_媒体</v>
      </c>
    </row>
    <row r="122" spans="1:1" x14ac:dyDescent="0.2">
      <c r="A122" t="str">
        <f t="shared" si="6"/>
        <v>112_媒体</v>
      </c>
    </row>
    <row r="123" spans="1:1" x14ac:dyDescent="0.2">
      <c r="A123" t="str">
        <f t="shared" si="6"/>
        <v>112_媒体</v>
      </c>
    </row>
    <row r="124" spans="1:1" x14ac:dyDescent="0.2">
      <c r="A124" t="str">
        <f t="shared" si="6"/>
        <v>112_媒体</v>
      </c>
    </row>
    <row r="125" spans="1:1" x14ac:dyDescent="0.2">
      <c r="A125" t="str">
        <f t="shared" si="6"/>
        <v>112_媒体</v>
      </c>
    </row>
    <row r="126" spans="1:1" x14ac:dyDescent="0.2">
      <c r="A126" t="str">
        <f t="shared" si="6"/>
        <v>112_媒体</v>
      </c>
    </row>
    <row r="127" spans="1:1" x14ac:dyDescent="0.2">
      <c r="A127" t="str">
        <f t="shared" si="6"/>
        <v>112_媒体</v>
      </c>
    </row>
    <row r="128" spans="1:1" x14ac:dyDescent="0.2">
      <c r="A128" t="str">
        <f t="shared" si="6"/>
        <v>112_媒体</v>
      </c>
    </row>
    <row r="129" spans="1:1" x14ac:dyDescent="0.2">
      <c r="A129" t="str">
        <f t="shared" si="6"/>
        <v>112_媒体</v>
      </c>
    </row>
    <row r="130" spans="1:1" x14ac:dyDescent="0.2">
      <c r="A130" t="str">
        <f t="shared" si="6"/>
        <v>112_媒体</v>
      </c>
    </row>
    <row r="131" spans="1:1" x14ac:dyDescent="0.2">
      <c r="A131" t="str">
        <f t="shared" si="6"/>
        <v>112_媒体</v>
      </c>
    </row>
    <row r="132" spans="1:1" x14ac:dyDescent="0.2">
      <c r="A132" t="str">
        <f t="shared" si="6"/>
        <v>112_媒体</v>
      </c>
    </row>
    <row r="133" spans="1:1" x14ac:dyDescent="0.2">
      <c r="A133" t="str">
        <f t="shared" si="6"/>
        <v>112_媒体</v>
      </c>
    </row>
    <row r="134" spans="1:1" x14ac:dyDescent="0.2">
      <c r="A134" t="str">
        <f t="shared" ref="A134:A150" si="8">A133</f>
        <v>112_媒体</v>
      </c>
    </row>
    <row r="135" spans="1:1" x14ac:dyDescent="0.2">
      <c r="A135" t="str">
        <f t="shared" si="8"/>
        <v>112_媒体</v>
      </c>
    </row>
    <row r="136" spans="1:1" x14ac:dyDescent="0.2">
      <c r="A136" t="str">
        <f t="shared" si="8"/>
        <v>112_媒体</v>
      </c>
    </row>
    <row r="137" spans="1:1" x14ac:dyDescent="0.2">
      <c r="A137" t="str">
        <f t="shared" si="8"/>
        <v>112_媒体</v>
      </c>
    </row>
    <row r="138" spans="1:1" x14ac:dyDescent="0.2">
      <c r="A138" t="str">
        <f t="shared" si="8"/>
        <v>112_媒体</v>
      </c>
    </row>
    <row r="139" spans="1:1" x14ac:dyDescent="0.2">
      <c r="A139" t="str">
        <f t="shared" si="8"/>
        <v>112_媒体</v>
      </c>
    </row>
    <row r="140" spans="1:1" x14ac:dyDescent="0.2">
      <c r="A140" t="str">
        <f t="shared" si="8"/>
        <v>112_媒体</v>
      </c>
    </row>
    <row r="141" spans="1:1" x14ac:dyDescent="0.2">
      <c r="A141" t="str">
        <f t="shared" si="8"/>
        <v>112_媒体</v>
      </c>
    </row>
    <row r="142" spans="1:1" x14ac:dyDescent="0.2">
      <c r="A142" t="str">
        <f t="shared" si="8"/>
        <v>112_媒体</v>
      </c>
    </row>
    <row r="143" spans="1:1" x14ac:dyDescent="0.2">
      <c r="A143" t="str">
        <f t="shared" si="8"/>
        <v>112_媒体</v>
      </c>
    </row>
    <row r="144" spans="1:1" x14ac:dyDescent="0.2">
      <c r="A144" t="str">
        <f t="shared" si="8"/>
        <v>112_媒体</v>
      </c>
    </row>
    <row r="145" spans="1:37" x14ac:dyDescent="0.2">
      <c r="A145" t="str">
        <f t="shared" si="8"/>
        <v>112_媒体</v>
      </c>
    </row>
    <row r="146" spans="1:37" x14ac:dyDescent="0.2">
      <c r="A146" t="str">
        <f t="shared" si="8"/>
        <v>112_媒体</v>
      </c>
    </row>
    <row r="147" spans="1:37" x14ac:dyDescent="0.2">
      <c r="A147" t="str">
        <f t="shared" si="8"/>
        <v>112_媒体</v>
      </c>
    </row>
    <row r="148" spans="1:37" x14ac:dyDescent="0.2">
      <c r="A148" t="str">
        <f t="shared" si="8"/>
        <v>112_媒体</v>
      </c>
    </row>
    <row r="149" spans="1:37" x14ac:dyDescent="0.2">
      <c r="A149" t="str">
        <f t="shared" si="8"/>
        <v>112_媒体</v>
      </c>
    </row>
    <row r="150" spans="1:37" x14ac:dyDescent="0.2">
      <c r="A150" t="str">
        <f t="shared" si="8"/>
        <v>112_媒体</v>
      </c>
    </row>
    <row r="151" spans="1:37" x14ac:dyDescent="0.2">
      <c r="A151" t="str">
        <f>VLOOKUP("搜索引擎",表_首次要关键词[[#All],[首要关键词]:[排序]],2,0)&amp;"_搜索引擎"</f>
        <v>201_搜索引擎</v>
      </c>
    </row>
    <row r="152" spans="1:37" x14ac:dyDescent="0.2">
      <c r="A152" t="str">
        <f t="shared" ref="A152:A183" si="9">A151</f>
        <v>201_搜索引擎</v>
      </c>
      <c r="B152">
        <f t="shared" ref="B152:AK152" si="10">COUNTIFS(B153:B199,"&lt;&gt;")</f>
        <v>0</v>
      </c>
      <c r="C152">
        <f t="shared" si="10"/>
        <v>0</v>
      </c>
      <c r="D152">
        <f t="shared" si="10"/>
        <v>0</v>
      </c>
      <c r="E152">
        <f t="shared" si="10"/>
        <v>0</v>
      </c>
      <c r="F152">
        <f t="shared" si="10"/>
        <v>0</v>
      </c>
      <c r="G152">
        <f t="shared" si="10"/>
        <v>0</v>
      </c>
      <c r="H152">
        <f t="shared" si="10"/>
        <v>0</v>
      </c>
      <c r="I152">
        <f t="shared" si="10"/>
        <v>0</v>
      </c>
      <c r="J152">
        <f t="shared" si="10"/>
        <v>0</v>
      </c>
      <c r="K152">
        <f t="shared" si="10"/>
        <v>0</v>
      </c>
      <c r="L152">
        <f t="shared" si="10"/>
        <v>0</v>
      </c>
      <c r="M152">
        <f t="shared" si="10"/>
        <v>0</v>
      </c>
      <c r="N152">
        <f t="shared" si="10"/>
        <v>0</v>
      </c>
      <c r="O152">
        <f t="shared" si="10"/>
        <v>0</v>
      </c>
      <c r="P152">
        <f t="shared" si="10"/>
        <v>0</v>
      </c>
      <c r="Q152">
        <f t="shared" si="10"/>
        <v>0</v>
      </c>
      <c r="R152">
        <f t="shared" si="10"/>
        <v>0</v>
      </c>
      <c r="S152">
        <f t="shared" si="10"/>
        <v>0</v>
      </c>
      <c r="T152">
        <f t="shared" si="10"/>
        <v>0</v>
      </c>
      <c r="U152">
        <f t="shared" si="10"/>
        <v>0</v>
      </c>
      <c r="V152">
        <f t="shared" si="10"/>
        <v>0</v>
      </c>
      <c r="W152">
        <f t="shared" si="10"/>
        <v>0</v>
      </c>
      <c r="X152">
        <f t="shared" si="10"/>
        <v>0</v>
      </c>
      <c r="Y152">
        <f t="shared" si="10"/>
        <v>0</v>
      </c>
      <c r="Z152">
        <f t="shared" si="10"/>
        <v>0</v>
      </c>
      <c r="AA152">
        <f t="shared" si="10"/>
        <v>0</v>
      </c>
      <c r="AB152">
        <f t="shared" si="10"/>
        <v>0</v>
      </c>
      <c r="AC152">
        <f t="shared" si="10"/>
        <v>0</v>
      </c>
      <c r="AD152">
        <f t="shared" si="10"/>
        <v>0</v>
      </c>
      <c r="AE152">
        <f t="shared" si="10"/>
        <v>0</v>
      </c>
      <c r="AF152">
        <f t="shared" si="10"/>
        <v>0</v>
      </c>
      <c r="AG152">
        <f t="shared" si="10"/>
        <v>0</v>
      </c>
      <c r="AH152">
        <f t="shared" si="10"/>
        <v>0</v>
      </c>
      <c r="AI152">
        <f t="shared" si="10"/>
        <v>0</v>
      </c>
      <c r="AJ152">
        <f t="shared" si="10"/>
        <v>0</v>
      </c>
      <c r="AK152">
        <f t="shared" si="10"/>
        <v>0</v>
      </c>
    </row>
    <row r="153" spans="1:37" x14ac:dyDescent="0.2">
      <c r="A153" t="str">
        <f t="shared" si="9"/>
        <v>201_搜索引擎</v>
      </c>
    </row>
    <row r="154" spans="1:37" x14ac:dyDescent="0.2">
      <c r="A154" t="str">
        <f t="shared" si="9"/>
        <v>201_搜索引擎</v>
      </c>
    </row>
    <row r="155" spans="1:37" x14ac:dyDescent="0.2">
      <c r="A155" t="str">
        <f t="shared" si="9"/>
        <v>201_搜索引擎</v>
      </c>
    </row>
    <row r="156" spans="1:37" x14ac:dyDescent="0.2">
      <c r="A156" t="str">
        <f t="shared" si="9"/>
        <v>201_搜索引擎</v>
      </c>
    </row>
    <row r="157" spans="1:37" x14ac:dyDescent="0.2">
      <c r="A157" t="str">
        <f t="shared" si="9"/>
        <v>201_搜索引擎</v>
      </c>
    </row>
    <row r="158" spans="1:37" x14ac:dyDescent="0.2">
      <c r="A158" t="str">
        <f t="shared" si="9"/>
        <v>201_搜索引擎</v>
      </c>
    </row>
    <row r="159" spans="1:37" x14ac:dyDescent="0.2">
      <c r="A159" t="str">
        <f t="shared" si="9"/>
        <v>201_搜索引擎</v>
      </c>
    </row>
    <row r="160" spans="1:37" x14ac:dyDescent="0.2">
      <c r="A160" t="str">
        <f t="shared" si="9"/>
        <v>201_搜索引擎</v>
      </c>
    </row>
    <row r="161" spans="1:1" x14ac:dyDescent="0.2">
      <c r="A161" t="str">
        <f t="shared" si="9"/>
        <v>201_搜索引擎</v>
      </c>
    </row>
    <row r="162" spans="1:1" x14ac:dyDescent="0.2">
      <c r="A162" t="str">
        <f t="shared" si="9"/>
        <v>201_搜索引擎</v>
      </c>
    </row>
    <row r="163" spans="1:1" x14ac:dyDescent="0.2">
      <c r="A163" t="str">
        <f t="shared" si="9"/>
        <v>201_搜索引擎</v>
      </c>
    </row>
    <row r="164" spans="1:1" x14ac:dyDescent="0.2">
      <c r="A164" t="str">
        <f t="shared" si="9"/>
        <v>201_搜索引擎</v>
      </c>
    </row>
    <row r="165" spans="1:1" x14ac:dyDescent="0.2">
      <c r="A165" t="str">
        <f t="shared" si="9"/>
        <v>201_搜索引擎</v>
      </c>
    </row>
    <row r="166" spans="1:1" x14ac:dyDescent="0.2">
      <c r="A166" t="str">
        <f t="shared" si="9"/>
        <v>201_搜索引擎</v>
      </c>
    </row>
    <row r="167" spans="1:1" x14ac:dyDescent="0.2">
      <c r="A167" t="str">
        <f t="shared" si="9"/>
        <v>201_搜索引擎</v>
      </c>
    </row>
    <row r="168" spans="1:1" x14ac:dyDescent="0.2">
      <c r="A168" t="str">
        <f t="shared" si="9"/>
        <v>201_搜索引擎</v>
      </c>
    </row>
    <row r="169" spans="1:1" x14ac:dyDescent="0.2">
      <c r="A169" t="str">
        <f t="shared" si="9"/>
        <v>201_搜索引擎</v>
      </c>
    </row>
    <row r="170" spans="1:1" x14ac:dyDescent="0.2">
      <c r="A170" t="str">
        <f t="shared" si="9"/>
        <v>201_搜索引擎</v>
      </c>
    </row>
    <row r="171" spans="1:1" x14ac:dyDescent="0.2">
      <c r="A171" t="str">
        <f t="shared" si="9"/>
        <v>201_搜索引擎</v>
      </c>
    </row>
    <row r="172" spans="1:1" x14ac:dyDescent="0.2">
      <c r="A172" t="str">
        <f t="shared" si="9"/>
        <v>201_搜索引擎</v>
      </c>
    </row>
    <row r="173" spans="1:1" x14ac:dyDescent="0.2">
      <c r="A173" t="str">
        <f t="shared" si="9"/>
        <v>201_搜索引擎</v>
      </c>
    </row>
    <row r="174" spans="1:1" x14ac:dyDescent="0.2">
      <c r="A174" t="str">
        <f t="shared" si="9"/>
        <v>201_搜索引擎</v>
      </c>
    </row>
    <row r="175" spans="1:1" x14ac:dyDescent="0.2">
      <c r="A175" t="str">
        <f t="shared" si="9"/>
        <v>201_搜索引擎</v>
      </c>
    </row>
    <row r="176" spans="1:1" x14ac:dyDescent="0.2">
      <c r="A176" t="str">
        <f t="shared" si="9"/>
        <v>201_搜索引擎</v>
      </c>
    </row>
    <row r="177" spans="1:1" x14ac:dyDescent="0.2">
      <c r="A177" t="str">
        <f t="shared" si="9"/>
        <v>201_搜索引擎</v>
      </c>
    </row>
    <row r="178" spans="1:1" x14ac:dyDescent="0.2">
      <c r="A178" t="str">
        <f t="shared" si="9"/>
        <v>201_搜索引擎</v>
      </c>
    </row>
    <row r="179" spans="1:1" x14ac:dyDescent="0.2">
      <c r="A179" t="str">
        <f t="shared" si="9"/>
        <v>201_搜索引擎</v>
      </c>
    </row>
    <row r="180" spans="1:1" x14ac:dyDescent="0.2">
      <c r="A180" t="str">
        <f t="shared" si="9"/>
        <v>201_搜索引擎</v>
      </c>
    </row>
    <row r="181" spans="1:1" x14ac:dyDescent="0.2">
      <c r="A181" t="str">
        <f t="shared" si="9"/>
        <v>201_搜索引擎</v>
      </c>
    </row>
    <row r="182" spans="1:1" x14ac:dyDescent="0.2">
      <c r="A182" t="str">
        <f t="shared" si="9"/>
        <v>201_搜索引擎</v>
      </c>
    </row>
    <row r="183" spans="1:1" x14ac:dyDescent="0.2">
      <c r="A183" t="str">
        <f t="shared" si="9"/>
        <v>201_搜索引擎</v>
      </c>
    </row>
    <row r="184" spans="1:1" x14ac:dyDescent="0.2">
      <c r="A184" t="str">
        <f t="shared" ref="A184:A200" si="11">A183</f>
        <v>201_搜索引擎</v>
      </c>
    </row>
    <row r="185" spans="1:1" x14ac:dyDescent="0.2">
      <c r="A185" t="str">
        <f t="shared" si="11"/>
        <v>201_搜索引擎</v>
      </c>
    </row>
    <row r="186" spans="1:1" x14ac:dyDescent="0.2">
      <c r="A186" t="str">
        <f t="shared" si="11"/>
        <v>201_搜索引擎</v>
      </c>
    </row>
    <row r="187" spans="1:1" x14ac:dyDescent="0.2">
      <c r="A187" t="str">
        <f t="shared" si="11"/>
        <v>201_搜索引擎</v>
      </c>
    </row>
    <row r="188" spans="1:1" x14ac:dyDescent="0.2">
      <c r="A188" t="str">
        <f t="shared" si="11"/>
        <v>201_搜索引擎</v>
      </c>
    </row>
    <row r="189" spans="1:1" x14ac:dyDescent="0.2">
      <c r="A189" t="str">
        <f t="shared" si="11"/>
        <v>201_搜索引擎</v>
      </c>
    </row>
    <row r="190" spans="1:1" x14ac:dyDescent="0.2">
      <c r="A190" t="str">
        <f t="shared" si="11"/>
        <v>201_搜索引擎</v>
      </c>
    </row>
    <row r="191" spans="1:1" x14ac:dyDescent="0.2">
      <c r="A191" t="str">
        <f t="shared" si="11"/>
        <v>201_搜索引擎</v>
      </c>
    </row>
    <row r="192" spans="1:1" x14ac:dyDescent="0.2">
      <c r="A192" t="str">
        <f t="shared" si="11"/>
        <v>201_搜索引擎</v>
      </c>
    </row>
    <row r="193" spans="1:37" x14ac:dyDescent="0.2">
      <c r="A193" t="str">
        <f t="shared" si="11"/>
        <v>201_搜索引擎</v>
      </c>
    </row>
    <row r="194" spans="1:37" x14ac:dyDescent="0.2">
      <c r="A194" t="str">
        <f t="shared" si="11"/>
        <v>201_搜索引擎</v>
      </c>
    </row>
    <row r="195" spans="1:37" x14ac:dyDescent="0.2">
      <c r="A195" t="str">
        <f t="shared" si="11"/>
        <v>201_搜索引擎</v>
      </c>
    </row>
    <row r="196" spans="1:37" x14ac:dyDescent="0.2">
      <c r="A196" t="str">
        <f t="shared" si="11"/>
        <v>201_搜索引擎</v>
      </c>
    </row>
    <row r="197" spans="1:37" x14ac:dyDescent="0.2">
      <c r="A197" t="str">
        <f t="shared" si="11"/>
        <v>201_搜索引擎</v>
      </c>
    </row>
    <row r="198" spans="1:37" x14ac:dyDescent="0.2">
      <c r="A198" t="str">
        <f t="shared" si="11"/>
        <v>201_搜索引擎</v>
      </c>
    </row>
    <row r="199" spans="1:37" x14ac:dyDescent="0.2">
      <c r="A199" t="str">
        <f t="shared" si="11"/>
        <v>201_搜索引擎</v>
      </c>
    </row>
    <row r="200" spans="1:37" x14ac:dyDescent="0.2">
      <c r="A200" t="str">
        <f t="shared" si="11"/>
        <v>201_搜索引擎</v>
      </c>
    </row>
    <row r="201" spans="1:37" x14ac:dyDescent="0.2">
      <c r="A201" t="str">
        <f>VLOOKUP("网址导航",表_首次要关键词[[#All],[首要关键词]:[排序]],2,0)&amp;"_网址导航"</f>
        <v>202_网址导航</v>
      </c>
    </row>
    <row r="202" spans="1:37" x14ac:dyDescent="0.2">
      <c r="A202" t="str">
        <f t="shared" ref="A202:A233" si="12">A201</f>
        <v>202_网址导航</v>
      </c>
      <c r="B202">
        <f t="shared" ref="B202:AK202" si="13">COUNTIFS(B203:B249,"&lt;&gt;")</f>
        <v>0</v>
      </c>
      <c r="C202">
        <f t="shared" si="13"/>
        <v>0</v>
      </c>
      <c r="D202">
        <f t="shared" si="13"/>
        <v>0</v>
      </c>
      <c r="E202">
        <f t="shared" si="13"/>
        <v>0</v>
      </c>
      <c r="F202">
        <f t="shared" si="13"/>
        <v>0</v>
      </c>
      <c r="G202">
        <f t="shared" si="13"/>
        <v>0</v>
      </c>
      <c r="H202">
        <f t="shared" si="13"/>
        <v>0</v>
      </c>
      <c r="I202">
        <f t="shared" si="13"/>
        <v>0</v>
      </c>
      <c r="J202">
        <f t="shared" si="13"/>
        <v>0</v>
      </c>
      <c r="K202">
        <f t="shared" si="13"/>
        <v>0</v>
      </c>
      <c r="L202">
        <f t="shared" si="13"/>
        <v>0</v>
      </c>
      <c r="M202">
        <f t="shared" si="13"/>
        <v>0</v>
      </c>
      <c r="N202">
        <f t="shared" si="13"/>
        <v>0</v>
      </c>
      <c r="O202">
        <f t="shared" si="13"/>
        <v>0</v>
      </c>
      <c r="P202">
        <f t="shared" si="13"/>
        <v>0</v>
      </c>
      <c r="Q202">
        <f t="shared" si="13"/>
        <v>0</v>
      </c>
      <c r="R202">
        <f t="shared" si="13"/>
        <v>0</v>
      </c>
      <c r="S202">
        <f t="shared" si="13"/>
        <v>0</v>
      </c>
      <c r="T202">
        <f t="shared" si="13"/>
        <v>0</v>
      </c>
      <c r="U202">
        <f t="shared" si="13"/>
        <v>0</v>
      </c>
      <c r="V202">
        <f t="shared" si="13"/>
        <v>0</v>
      </c>
      <c r="W202">
        <f t="shared" si="13"/>
        <v>0</v>
      </c>
      <c r="X202">
        <f t="shared" si="13"/>
        <v>0</v>
      </c>
      <c r="Y202">
        <f t="shared" si="13"/>
        <v>0</v>
      </c>
      <c r="Z202">
        <f t="shared" si="13"/>
        <v>0</v>
      </c>
      <c r="AA202">
        <f t="shared" si="13"/>
        <v>0</v>
      </c>
      <c r="AB202">
        <f t="shared" si="13"/>
        <v>0</v>
      </c>
      <c r="AC202">
        <f t="shared" si="13"/>
        <v>0</v>
      </c>
      <c r="AD202">
        <f t="shared" si="13"/>
        <v>0</v>
      </c>
      <c r="AE202">
        <f t="shared" si="13"/>
        <v>0</v>
      </c>
      <c r="AF202">
        <f t="shared" si="13"/>
        <v>0</v>
      </c>
      <c r="AG202">
        <f t="shared" si="13"/>
        <v>0</v>
      </c>
      <c r="AH202">
        <f t="shared" si="13"/>
        <v>0</v>
      </c>
      <c r="AI202">
        <f t="shared" si="13"/>
        <v>0</v>
      </c>
      <c r="AJ202">
        <f t="shared" si="13"/>
        <v>0</v>
      </c>
      <c r="AK202">
        <f t="shared" si="13"/>
        <v>0</v>
      </c>
    </row>
    <row r="203" spans="1:37" x14ac:dyDescent="0.2">
      <c r="A203" t="str">
        <f t="shared" si="12"/>
        <v>202_网址导航</v>
      </c>
    </row>
    <row r="204" spans="1:37" x14ac:dyDescent="0.2">
      <c r="A204" t="str">
        <f t="shared" si="12"/>
        <v>202_网址导航</v>
      </c>
    </row>
    <row r="205" spans="1:37" x14ac:dyDescent="0.2">
      <c r="A205" t="str">
        <f t="shared" si="12"/>
        <v>202_网址导航</v>
      </c>
    </row>
    <row r="206" spans="1:37" x14ac:dyDescent="0.2">
      <c r="A206" t="str">
        <f t="shared" si="12"/>
        <v>202_网址导航</v>
      </c>
    </row>
    <row r="207" spans="1:37" x14ac:dyDescent="0.2">
      <c r="A207" t="str">
        <f t="shared" si="12"/>
        <v>202_网址导航</v>
      </c>
    </row>
    <row r="208" spans="1:37" x14ac:dyDescent="0.2">
      <c r="A208" t="str">
        <f t="shared" si="12"/>
        <v>202_网址导航</v>
      </c>
    </row>
    <row r="209" spans="1:1" x14ac:dyDescent="0.2">
      <c r="A209" t="str">
        <f t="shared" si="12"/>
        <v>202_网址导航</v>
      </c>
    </row>
    <row r="210" spans="1:1" x14ac:dyDescent="0.2">
      <c r="A210" t="str">
        <f t="shared" si="12"/>
        <v>202_网址导航</v>
      </c>
    </row>
    <row r="211" spans="1:1" x14ac:dyDescent="0.2">
      <c r="A211" t="str">
        <f t="shared" si="12"/>
        <v>202_网址导航</v>
      </c>
    </row>
    <row r="212" spans="1:1" x14ac:dyDescent="0.2">
      <c r="A212" t="str">
        <f t="shared" si="12"/>
        <v>202_网址导航</v>
      </c>
    </row>
    <row r="213" spans="1:1" x14ac:dyDescent="0.2">
      <c r="A213" t="str">
        <f t="shared" si="12"/>
        <v>202_网址导航</v>
      </c>
    </row>
    <row r="214" spans="1:1" x14ac:dyDescent="0.2">
      <c r="A214" t="str">
        <f t="shared" si="12"/>
        <v>202_网址导航</v>
      </c>
    </row>
    <row r="215" spans="1:1" x14ac:dyDescent="0.2">
      <c r="A215" t="str">
        <f t="shared" si="12"/>
        <v>202_网址导航</v>
      </c>
    </row>
    <row r="216" spans="1:1" x14ac:dyDescent="0.2">
      <c r="A216" t="str">
        <f t="shared" si="12"/>
        <v>202_网址导航</v>
      </c>
    </row>
    <row r="217" spans="1:1" x14ac:dyDescent="0.2">
      <c r="A217" t="str">
        <f t="shared" si="12"/>
        <v>202_网址导航</v>
      </c>
    </row>
    <row r="218" spans="1:1" x14ac:dyDescent="0.2">
      <c r="A218" t="str">
        <f t="shared" si="12"/>
        <v>202_网址导航</v>
      </c>
    </row>
    <row r="219" spans="1:1" x14ac:dyDescent="0.2">
      <c r="A219" t="str">
        <f t="shared" si="12"/>
        <v>202_网址导航</v>
      </c>
    </row>
    <row r="220" spans="1:1" x14ac:dyDescent="0.2">
      <c r="A220" t="str">
        <f t="shared" si="12"/>
        <v>202_网址导航</v>
      </c>
    </row>
    <row r="221" spans="1:1" x14ac:dyDescent="0.2">
      <c r="A221" t="str">
        <f t="shared" si="12"/>
        <v>202_网址导航</v>
      </c>
    </row>
    <row r="222" spans="1:1" x14ac:dyDescent="0.2">
      <c r="A222" t="str">
        <f t="shared" si="12"/>
        <v>202_网址导航</v>
      </c>
    </row>
    <row r="223" spans="1:1" x14ac:dyDescent="0.2">
      <c r="A223" t="str">
        <f t="shared" si="12"/>
        <v>202_网址导航</v>
      </c>
    </row>
    <row r="224" spans="1:1" x14ac:dyDescent="0.2">
      <c r="A224" t="str">
        <f t="shared" si="12"/>
        <v>202_网址导航</v>
      </c>
    </row>
    <row r="225" spans="1:1" x14ac:dyDescent="0.2">
      <c r="A225" t="str">
        <f t="shared" si="12"/>
        <v>202_网址导航</v>
      </c>
    </row>
    <row r="226" spans="1:1" x14ac:dyDescent="0.2">
      <c r="A226" t="str">
        <f t="shared" si="12"/>
        <v>202_网址导航</v>
      </c>
    </row>
    <row r="227" spans="1:1" x14ac:dyDescent="0.2">
      <c r="A227" t="str">
        <f t="shared" si="12"/>
        <v>202_网址导航</v>
      </c>
    </row>
    <row r="228" spans="1:1" x14ac:dyDescent="0.2">
      <c r="A228" t="str">
        <f t="shared" si="12"/>
        <v>202_网址导航</v>
      </c>
    </row>
    <row r="229" spans="1:1" x14ac:dyDescent="0.2">
      <c r="A229" t="str">
        <f t="shared" si="12"/>
        <v>202_网址导航</v>
      </c>
    </row>
    <row r="230" spans="1:1" x14ac:dyDescent="0.2">
      <c r="A230" t="str">
        <f t="shared" si="12"/>
        <v>202_网址导航</v>
      </c>
    </row>
    <row r="231" spans="1:1" x14ac:dyDescent="0.2">
      <c r="A231" t="str">
        <f t="shared" si="12"/>
        <v>202_网址导航</v>
      </c>
    </row>
    <row r="232" spans="1:1" x14ac:dyDescent="0.2">
      <c r="A232" t="str">
        <f t="shared" si="12"/>
        <v>202_网址导航</v>
      </c>
    </row>
    <row r="233" spans="1:1" x14ac:dyDescent="0.2">
      <c r="A233" t="str">
        <f t="shared" si="12"/>
        <v>202_网址导航</v>
      </c>
    </row>
    <row r="234" spans="1:1" x14ac:dyDescent="0.2">
      <c r="A234" t="str">
        <f t="shared" ref="A234:A250" si="14">A233</f>
        <v>202_网址导航</v>
      </c>
    </row>
    <row r="235" spans="1:1" x14ac:dyDescent="0.2">
      <c r="A235" t="str">
        <f t="shared" si="14"/>
        <v>202_网址导航</v>
      </c>
    </row>
    <row r="236" spans="1:1" x14ac:dyDescent="0.2">
      <c r="A236" t="str">
        <f t="shared" si="14"/>
        <v>202_网址导航</v>
      </c>
    </row>
    <row r="237" spans="1:1" x14ac:dyDescent="0.2">
      <c r="A237" t="str">
        <f t="shared" si="14"/>
        <v>202_网址导航</v>
      </c>
    </row>
    <row r="238" spans="1:1" x14ac:dyDescent="0.2">
      <c r="A238" t="str">
        <f t="shared" si="14"/>
        <v>202_网址导航</v>
      </c>
    </row>
    <row r="239" spans="1:1" x14ac:dyDescent="0.2">
      <c r="A239" t="str">
        <f t="shared" si="14"/>
        <v>202_网址导航</v>
      </c>
    </row>
    <row r="240" spans="1:1" x14ac:dyDescent="0.2">
      <c r="A240" t="str">
        <f t="shared" si="14"/>
        <v>202_网址导航</v>
      </c>
    </row>
    <row r="241" spans="1:37" x14ac:dyDescent="0.2">
      <c r="A241" t="str">
        <f t="shared" si="14"/>
        <v>202_网址导航</v>
      </c>
    </row>
    <row r="242" spans="1:37" x14ac:dyDescent="0.2">
      <c r="A242" t="str">
        <f t="shared" si="14"/>
        <v>202_网址导航</v>
      </c>
    </row>
    <row r="243" spans="1:37" x14ac:dyDescent="0.2">
      <c r="A243" t="str">
        <f t="shared" si="14"/>
        <v>202_网址导航</v>
      </c>
    </row>
    <row r="244" spans="1:37" x14ac:dyDescent="0.2">
      <c r="A244" t="str">
        <f t="shared" si="14"/>
        <v>202_网址导航</v>
      </c>
    </row>
    <row r="245" spans="1:37" x14ac:dyDescent="0.2">
      <c r="A245" t="str">
        <f t="shared" si="14"/>
        <v>202_网址导航</v>
      </c>
    </row>
    <row r="246" spans="1:37" x14ac:dyDescent="0.2">
      <c r="A246" t="str">
        <f t="shared" si="14"/>
        <v>202_网址导航</v>
      </c>
    </row>
    <row r="247" spans="1:37" x14ac:dyDescent="0.2">
      <c r="A247" t="str">
        <f t="shared" si="14"/>
        <v>202_网址导航</v>
      </c>
    </row>
    <row r="248" spans="1:37" x14ac:dyDescent="0.2">
      <c r="A248" t="str">
        <f t="shared" si="14"/>
        <v>202_网址导航</v>
      </c>
    </row>
    <row r="249" spans="1:37" x14ac:dyDescent="0.2">
      <c r="A249" t="str">
        <f t="shared" si="14"/>
        <v>202_网址导航</v>
      </c>
    </row>
    <row r="250" spans="1:37" x14ac:dyDescent="0.2">
      <c r="A250" t="str">
        <f t="shared" si="14"/>
        <v>202_网址导航</v>
      </c>
    </row>
    <row r="251" spans="1:37" x14ac:dyDescent="0.2">
      <c r="A251" t="str">
        <f>VLOOKUP("门户网站",表_首次要关键词[[#All],[首要关键词]:[排序]],2,0)&amp;"_门户网站"</f>
        <v>203_门户网站</v>
      </c>
    </row>
    <row r="252" spans="1:37" x14ac:dyDescent="0.2">
      <c r="A252" t="str">
        <f t="shared" ref="A252:A283" si="15">A251</f>
        <v>203_门户网站</v>
      </c>
      <c r="B252">
        <f t="shared" ref="B252:AK252" si="16">COUNTIFS(B253:B299,"&lt;&gt;")</f>
        <v>0</v>
      </c>
      <c r="C252">
        <f t="shared" si="16"/>
        <v>0</v>
      </c>
      <c r="D252">
        <f t="shared" si="16"/>
        <v>0</v>
      </c>
      <c r="E252">
        <f t="shared" si="16"/>
        <v>0</v>
      </c>
      <c r="F252">
        <f t="shared" si="16"/>
        <v>0</v>
      </c>
      <c r="G252">
        <f t="shared" si="16"/>
        <v>0</v>
      </c>
      <c r="H252">
        <f t="shared" si="16"/>
        <v>0</v>
      </c>
      <c r="I252">
        <f t="shared" si="16"/>
        <v>0</v>
      </c>
      <c r="J252">
        <f t="shared" si="16"/>
        <v>0</v>
      </c>
      <c r="K252">
        <f t="shared" si="16"/>
        <v>0</v>
      </c>
      <c r="L252">
        <f t="shared" si="16"/>
        <v>0</v>
      </c>
      <c r="M252">
        <f t="shared" si="16"/>
        <v>0</v>
      </c>
      <c r="N252">
        <f t="shared" si="16"/>
        <v>0</v>
      </c>
      <c r="O252">
        <f t="shared" si="16"/>
        <v>0</v>
      </c>
      <c r="P252">
        <f t="shared" si="16"/>
        <v>0</v>
      </c>
      <c r="Q252">
        <f t="shared" si="16"/>
        <v>0</v>
      </c>
      <c r="R252">
        <f t="shared" si="16"/>
        <v>0</v>
      </c>
      <c r="S252">
        <f t="shared" si="16"/>
        <v>0</v>
      </c>
      <c r="T252">
        <f t="shared" si="16"/>
        <v>0</v>
      </c>
      <c r="U252">
        <f t="shared" si="16"/>
        <v>0</v>
      </c>
      <c r="V252">
        <f t="shared" si="16"/>
        <v>0</v>
      </c>
      <c r="W252">
        <f t="shared" si="16"/>
        <v>0</v>
      </c>
      <c r="X252">
        <f t="shared" si="16"/>
        <v>0</v>
      </c>
      <c r="Y252">
        <f t="shared" si="16"/>
        <v>0</v>
      </c>
      <c r="Z252">
        <f t="shared" si="16"/>
        <v>0</v>
      </c>
      <c r="AA252">
        <f t="shared" si="16"/>
        <v>0</v>
      </c>
      <c r="AB252">
        <f t="shared" si="16"/>
        <v>0</v>
      </c>
      <c r="AC252">
        <f t="shared" si="16"/>
        <v>0</v>
      </c>
      <c r="AD252">
        <f t="shared" si="16"/>
        <v>0</v>
      </c>
      <c r="AE252">
        <f t="shared" si="16"/>
        <v>0</v>
      </c>
      <c r="AF252">
        <f t="shared" si="16"/>
        <v>0</v>
      </c>
      <c r="AG252">
        <f t="shared" si="16"/>
        <v>0</v>
      </c>
      <c r="AH252">
        <f t="shared" si="16"/>
        <v>0</v>
      </c>
      <c r="AI252">
        <f t="shared" si="16"/>
        <v>0</v>
      </c>
      <c r="AJ252">
        <f t="shared" si="16"/>
        <v>0</v>
      </c>
      <c r="AK252">
        <f t="shared" si="16"/>
        <v>0</v>
      </c>
    </row>
    <row r="253" spans="1:37" x14ac:dyDescent="0.2">
      <c r="A253" t="str">
        <f t="shared" si="15"/>
        <v>203_门户网站</v>
      </c>
    </row>
    <row r="254" spans="1:37" x14ac:dyDescent="0.2">
      <c r="A254" t="str">
        <f t="shared" si="15"/>
        <v>203_门户网站</v>
      </c>
    </row>
    <row r="255" spans="1:37" x14ac:dyDescent="0.2">
      <c r="A255" t="str">
        <f t="shared" si="15"/>
        <v>203_门户网站</v>
      </c>
    </row>
    <row r="256" spans="1:37" x14ac:dyDescent="0.2">
      <c r="A256" t="str">
        <f t="shared" si="15"/>
        <v>203_门户网站</v>
      </c>
    </row>
    <row r="257" spans="1:1" x14ac:dyDescent="0.2">
      <c r="A257" t="str">
        <f t="shared" si="15"/>
        <v>203_门户网站</v>
      </c>
    </row>
    <row r="258" spans="1:1" x14ac:dyDescent="0.2">
      <c r="A258" t="str">
        <f t="shared" si="15"/>
        <v>203_门户网站</v>
      </c>
    </row>
    <row r="259" spans="1:1" x14ac:dyDescent="0.2">
      <c r="A259" t="str">
        <f t="shared" si="15"/>
        <v>203_门户网站</v>
      </c>
    </row>
    <row r="260" spans="1:1" x14ac:dyDescent="0.2">
      <c r="A260" t="str">
        <f t="shared" si="15"/>
        <v>203_门户网站</v>
      </c>
    </row>
    <row r="261" spans="1:1" x14ac:dyDescent="0.2">
      <c r="A261" t="str">
        <f t="shared" si="15"/>
        <v>203_门户网站</v>
      </c>
    </row>
    <row r="262" spans="1:1" x14ac:dyDescent="0.2">
      <c r="A262" t="str">
        <f t="shared" si="15"/>
        <v>203_门户网站</v>
      </c>
    </row>
    <row r="263" spans="1:1" x14ac:dyDescent="0.2">
      <c r="A263" t="str">
        <f t="shared" si="15"/>
        <v>203_门户网站</v>
      </c>
    </row>
    <row r="264" spans="1:1" x14ac:dyDescent="0.2">
      <c r="A264" t="str">
        <f t="shared" si="15"/>
        <v>203_门户网站</v>
      </c>
    </row>
    <row r="265" spans="1:1" x14ac:dyDescent="0.2">
      <c r="A265" t="str">
        <f t="shared" si="15"/>
        <v>203_门户网站</v>
      </c>
    </row>
    <row r="266" spans="1:1" x14ac:dyDescent="0.2">
      <c r="A266" t="str">
        <f t="shared" si="15"/>
        <v>203_门户网站</v>
      </c>
    </row>
    <row r="267" spans="1:1" x14ac:dyDescent="0.2">
      <c r="A267" t="str">
        <f t="shared" si="15"/>
        <v>203_门户网站</v>
      </c>
    </row>
    <row r="268" spans="1:1" x14ac:dyDescent="0.2">
      <c r="A268" t="str">
        <f t="shared" si="15"/>
        <v>203_门户网站</v>
      </c>
    </row>
    <row r="269" spans="1:1" x14ac:dyDescent="0.2">
      <c r="A269" t="str">
        <f t="shared" si="15"/>
        <v>203_门户网站</v>
      </c>
    </row>
    <row r="270" spans="1:1" x14ac:dyDescent="0.2">
      <c r="A270" t="str">
        <f t="shared" si="15"/>
        <v>203_门户网站</v>
      </c>
    </row>
    <row r="271" spans="1:1" x14ac:dyDescent="0.2">
      <c r="A271" t="str">
        <f t="shared" si="15"/>
        <v>203_门户网站</v>
      </c>
    </row>
    <row r="272" spans="1:1" x14ac:dyDescent="0.2">
      <c r="A272" t="str">
        <f t="shared" si="15"/>
        <v>203_门户网站</v>
      </c>
    </row>
    <row r="273" spans="1:1" x14ac:dyDescent="0.2">
      <c r="A273" t="str">
        <f t="shared" si="15"/>
        <v>203_门户网站</v>
      </c>
    </row>
    <row r="274" spans="1:1" x14ac:dyDescent="0.2">
      <c r="A274" t="str">
        <f t="shared" si="15"/>
        <v>203_门户网站</v>
      </c>
    </row>
    <row r="275" spans="1:1" x14ac:dyDescent="0.2">
      <c r="A275" t="str">
        <f t="shared" si="15"/>
        <v>203_门户网站</v>
      </c>
    </row>
    <row r="276" spans="1:1" x14ac:dyDescent="0.2">
      <c r="A276" t="str">
        <f t="shared" si="15"/>
        <v>203_门户网站</v>
      </c>
    </row>
    <row r="277" spans="1:1" x14ac:dyDescent="0.2">
      <c r="A277" t="str">
        <f t="shared" si="15"/>
        <v>203_门户网站</v>
      </c>
    </row>
    <row r="278" spans="1:1" x14ac:dyDescent="0.2">
      <c r="A278" t="str">
        <f t="shared" si="15"/>
        <v>203_门户网站</v>
      </c>
    </row>
    <row r="279" spans="1:1" x14ac:dyDescent="0.2">
      <c r="A279" t="str">
        <f t="shared" si="15"/>
        <v>203_门户网站</v>
      </c>
    </row>
    <row r="280" spans="1:1" x14ac:dyDescent="0.2">
      <c r="A280" t="str">
        <f t="shared" si="15"/>
        <v>203_门户网站</v>
      </c>
    </row>
    <row r="281" spans="1:1" x14ac:dyDescent="0.2">
      <c r="A281" t="str">
        <f t="shared" si="15"/>
        <v>203_门户网站</v>
      </c>
    </row>
    <row r="282" spans="1:1" x14ac:dyDescent="0.2">
      <c r="A282" t="str">
        <f t="shared" si="15"/>
        <v>203_门户网站</v>
      </c>
    </row>
    <row r="283" spans="1:1" x14ac:dyDescent="0.2">
      <c r="A283" t="str">
        <f t="shared" si="15"/>
        <v>203_门户网站</v>
      </c>
    </row>
    <row r="284" spans="1:1" x14ac:dyDescent="0.2">
      <c r="A284" t="str">
        <f t="shared" ref="A284:A300" si="17">A283</f>
        <v>203_门户网站</v>
      </c>
    </row>
    <row r="285" spans="1:1" x14ac:dyDescent="0.2">
      <c r="A285" t="str">
        <f t="shared" si="17"/>
        <v>203_门户网站</v>
      </c>
    </row>
    <row r="286" spans="1:1" x14ac:dyDescent="0.2">
      <c r="A286" t="str">
        <f t="shared" si="17"/>
        <v>203_门户网站</v>
      </c>
    </row>
    <row r="287" spans="1:1" x14ac:dyDescent="0.2">
      <c r="A287" t="str">
        <f t="shared" si="17"/>
        <v>203_门户网站</v>
      </c>
    </row>
    <row r="288" spans="1:1" x14ac:dyDescent="0.2">
      <c r="A288" t="str">
        <f t="shared" si="17"/>
        <v>203_门户网站</v>
      </c>
    </row>
    <row r="289" spans="1:37" x14ac:dyDescent="0.2">
      <c r="A289" t="str">
        <f t="shared" si="17"/>
        <v>203_门户网站</v>
      </c>
    </row>
    <row r="290" spans="1:37" x14ac:dyDescent="0.2">
      <c r="A290" t="str">
        <f t="shared" si="17"/>
        <v>203_门户网站</v>
      </c>
    </row>
    <row r="291" spans="1:37" x14ac:dyDescent="0.2">
      <c r="A291" t="str">
        <f t="shared" si="17"/>
        <v>203_门户网站</v>
      </c>
    </row>
    <row r="292" spans="1:37" x14ac:dyDescent="0.2">
      <c r="A292" t="str">
        <f t="shared" si="17"/>
        <v>203_门户网站</v>
      </c>
    </row>
    <row r="293" spans="1:37" x14ac:dyDescent="0.2">
      <c r="A293" t="str">
        <f t="shared" si="17"/>
        <v>203_门户网站</v>
      </c>
    </row>
    <row r="294" spans="1:37" x14ac:dyDescent="0.2">
      <c r="A294" t="str">
        <f t="shared" si="17"/>
        <v>203_门户网站</v>
      </c>
    </row>
    <row r="295" spans="1:37" x14ac:dyDescent="0.2">
      <c r="A295" t="str">
        <f t="shared" si="17"/>
        <v>203_门户网站</v>
      </c>
    </row>
    <row r="296" spans="1:37" x14ac:dyDescent="0.2">
      <c r="A296" t="str">
        <f t="shared" si="17"/>
        <v>203_门户网站</v>
      </c>
    </row>
    <row r="297" spans="1:37" x14ac:dyDescent="0.2">
      <c r="A297" t="str">
        <f t="shared" si="17"/>
        <v>203_门户网站</v>
      </c>
    </row>
    <row r="298" spans="1:37" x14ac:dyDescent="0.2">
      <c r="A298" t="str">
        <f t="shared" si="17"/>
        <v>203_门户网站</v>
      </c>
    </row>
    <row r="299" spans="1:37" x14ac:dyDescent="0.2">
      <c r="A299" t="str">
        <f t="shared" si="17"/>
        <v>203_门户网站</v>
      </c>
    </row>
    <row r="300" spans="1:37" x14ac:dyDescent="0.2">
      <c r="A300" t="str">
        <f t="shared" si="17"/>
        <v>203_门户网站</v>
      </c>
    </row>
    <row r="301" spans="1:37" x14ac:dyDescent="0.2">
      <c r="A301" t="str">
        <f>VLOOKUP("新闻",表_首次要关键词[[#All],[首要关键词]:[排序]],2,0)&amp;"_新闻"</f>
        <v>204_新闻</v>
      </c>
    </row>
    <row r="302" spans="1:37" x14ac:dyDescent="0.2">
      <c r="A302" t="str">
        <f t="shared" ref="A302:A333" si="18">A301</f>
        <v>204_新闻</v>
      </c>
      <c r="B302">
        <f t="shared" ref="B302:AK302" si="19">COUNTIFS(B303:B349,"&lt;&gt;")</f>
        <v>0</v>
      </c>
      <c r="C302">
        <f t="shared" si="19"/>
        <v>0</v>
      </c>
      <c r="D302">
        <f t="shared" si="19"/>
        <v>0</v>
      </c>
      <c r="E302">
        <f t="shared" si="19"/>
        <v>0</v>
      </c>
      <c r="F302">
        <f t="shared" si="19"/>
        <v>0</v>
      </c>
      <c r="G302">
        <f t="shared" si="19"/>
        <v>0</v>
      </c>
      <c r="H302">
        <f t="shared" si="19"/>
        <v>0</v>
      </c>
      <c r="I302">
        <f t="shared" si="19"/>
        <v>0</v>
      </c>
      <c r="J302">
        <f t="shared" si="19"/>
        <v>0</v>
      </c>
      <c r="K302">
        <f t="shared" si="19"/>
        <v>0</v>
      </c>
      <c r="L302">
        <f t="shared" si="19"/>
        <v>0</v>
      </c>
      <c r="M302">
        <f t="shared" si="19"/>
        <v>0</v>
      </c>
      <c r="N302">
        <f t="shared" si="19"/>
        <v>0</v>
      </c>
      <c r="O302">
        <f t="shared" si="19"/>
        <v>0</v>
      </c>
      <c r="P302">
        <f t="shared" si="19"/>
        <v>0</v>
      </c>
      <c r="Q302">
        <f t="shared" si="19"/>
        <v>0</v>
      </c>
      <c r="R302">
        <f t="shared" si="19"/>
        <v>0</v>
      </c>
      <c r="S302">
        <f t="shared" si="19"/>
        <v>0</v>
      </c>
      <c r="T302">
        <f t="shared" si="19"/>
        <v>0</v>
      </c>
      <c r="U302">
        <f t="shared" si="19"/>
        <v>0</v>
      </c>
      <c r="V302">
        <f t="shared" si="19"/>
        <v>0</v>
      </c>
      <c r="W302">
        <f t="shared" si="19"/>
        <v>0</v>
      </c>
      <c r="X302">
        <f t="shared" si="19"/>
        <v>0</v>
      </c>
      <c r="Y302">
        <f t="shared" si="19"/>
        <v>0</v>
      </c>
      <c r="Z302">
        <f t="shared" si="19"/>
        <v>0</v>
      </c>
      <c r="AA302">
        <f t="shared" si="19"/>
        <v>0</v>
      </c>
      <c r="AB302">
        <f t="shared" si="19"/>
        <v>0</v>
      </c>
      <c r="AC302">
        <f t="shared" si="19"/>
        <v>0</v>
      </c>
      <c r="AD302">
        <f t="shared" si="19"/>
        <v>0</v>
      </c>
      <c r="AE302">
        <f t="shared" si="19"/>
        <v>0</v>
      </c>
      <c r="AF302">
        <f t="shared" si="19"/>
        <v>0</v>
      </c>
      <c r="AG302">
        <f t="shared" si="19"/>
        <v>0</v>
      </c>
      <c r="AH302">
        <f t="shared" si="19"/>
        <v>0</v>
      </c>
      <c r="AI302">
        <f t="shared" si="19"/>
        <v>0</v>
      </c>
      <c r="AJ302">
        <f t="shared" si="19"/>
        <v>0</v>
      </c>
      <c r="AK302">
        <f t="shared" si="19"/>
        <v>0</v>
      </c>
    </row>
    <row r="303" spans="1:37" x14ac:dyDescent="0.2">
      <c r="A303" t="str">
        <f t="shared" si="18"/>
        <v>204_新闻</v>
      </c>
    </row>
    <row r="304" spans="1:37" x14ac:dyDescent="0.2">
      <c r="A304" t="str">
        <f t="shared" si="18"/>
        <v>204_新闻</v>
      </c>
    </row>
    <row r="305" spans="1:1" x14ac:dyDescent="0.2">
      <c r="A305" t="str">
        <f t="shared" si="18"/>
        <v>204_新闻</v>
      </c>
    </row>
    <row r="306" spans="1:1" x14ac:dyDescent="0.2">
      <c r="A306" t="str">
        <f t="shared" si="18"/>
        <v>204_新闻</v>
      </c>
    </row>
    <row r="307" spans="1:1" x14ac:dyDescent="0.2">
      <c r="A307" t="str">
        <f t="shared" si="18"/>
        <v>204_新闻</v>
      </c>
    </row>
    <row r="308" spans="1:1" x14ac:dyDescent="0.2">
      <c r="A308" t="str">
        <f t="shared" si="18"/>
        <v>204_新闻</v>
      </c>
    </row>
    <row r="309" spans="1:1" x14ac:dyDescent="0.2">
      <c r="A309" t="str">
        <f t="shared" si="18"/>
        <v>204_新闻</v>
      </c>
    </row>
    <row r="310" spans="1:1" x14ac:dyDescent="0.2">
      <c r="A310" t="str">
        <f t="shared" si="18"/>
        <v>204_新闻</v>
      </c>
    </row>
    <row r="311" spans="1:1" x14ac:dyDescent="0.2">
      <c r="A311" t="str">
        <f t="shared" si="18"/>
        <v>204_新闻</v>
      </c>
    </row>
    <row r="312" spans="1:1" x14ac:dyDescent="0.2">
      <c r="A312" t="str">
        <f t="shared" si="18"/>
        <v>204_新闻</v>
      </c>
    </row>
    <row r="313" spans="1:1" x14ac:dyDescent="0.2">
      <c r="A313" t="str">
        <f t="shared" si="18"/>
        <v>204_新闻</v>
      </c>
    </row>
    <row r="314" spans="1:1" x14ac:dyDescent="0.2">
      <c r="A314" t="str">
        <f t="shared" si="18"/>
        <v>204_新闻</v>
      </c>
    </row>
    <row r="315" spans="1:1" x14ac:dyDescent="0.2">
      <c r="A315" t="str">
        <f t="shared" si="18"/>
        <v>204_新闻</v>
      </c>
    </row>
    <row r="316" spans="1:1" x14ac:dyDescent="0.2">
      <c r="A316" t="str">
        <f t="shared" si="18"/>
        <v>204_新闻</v>
      </c>
    </row>
    <row r="317" spans="1:1" x14ac:dyDescent="0.2">
      <c r="A317" t="str">
        <f t="shared" si="18"/>
        <v>204_新闻</v>
      </c>
    </row>
    <row r="318" spans="1:1" x14ac:dyDescent="0.2">
      <c r="A318" t="str">
        <f t="shared" si="18"/>
        <v>204_新闻</v>
      </c>
    </row>
    <row r="319" spans="1:1" x14ac:dyDescent="0.2">
      <c r="A319" t="str">
        <f t="shared" si="18"/>
        <v>204_新闻</v>
      </c>
    </row>
    <row r="320" spans="1:1" x14ac:dyDescent="0.2">
      <c r="A320" t="str">
        <f t="shared" si="18"/>
        <v>204_新闻</v>
      </c>
    </row>
    <row r="321" spans="1:1" x14ac:dyDescent="0.2">
      <c r="A321" t="str">
        <f t="shared" si="18"/>
        <v>204_新闻</v>
      </c>
    </row>
    <row r="322" spans="1:1" x14ac:dyDescent="0.2">
      <c r="A322" t="str">
        <f t="shared" si="18"/>
        <v>204_新闻</v>
      </c>
    </row>
    <row r="323" spans="1:1" x14ac:dyDescent="0.2">
      <c r="A323" t="str">
        <f t="shared" si="18"/>
        <v>204_新闻</v>
      </c>
    </row>
    <row r="324" spans="1:1" x14ac:dyDescent="0.2">
      <c r="A324" t="str">
        <f t="shared" si="18"/>
        <v>204_新闻</v>
      </c>
    </row>
    <row r="325" spans="1:1" x14ac:dyDescent="0.2">
      <c r="A325" t="str">
        <f t="shared" si="18"/>
        <v>204_新闻</v>
      </c>
    </row>
    <row r="326" spans="1:1" x14ac:dyDescent="0.2">
      <c r="A326" t="str">
        <f t="shared" si="18"/>
        <v>204_新闻</v>
      </c>
    </row>
    <row r="327" spans="1:1" x14ac:dyDescent="0.2">
      <c r="A327" t="str">
        <f t="shared" si="18"/>
        <v>204_新闻</v>
      </c>
    </row>
    <row r="328" spans="1:1" x14ac:dyDescent="0.2">
      <c r="A328" t="str">
        <f t="shared" si="18"/>
        <v>204_新闻</v>
      </c>
    </row>
    <row r="329" spans="1:1" x14ac:dyDescent="0.2">
      <c r="A329" t="str">
        <f t="shared" si="18"/>
        <v>204_新闻</v>
      </c>
    </row>
    <row r="330" spans="1:1" x14ac:dyDescent="0.2">
      <c r="A330" t="str">
        <f t="shared" si="18"/>
        <v>204_新闻</v>
      </c>
    </row>
    <row r="331" spans="1:1" x14ac:dyDescent="0.2">
      <c r="A331" t="str">
        <f t="shared" si="18"/>
        <v>204_新闻</v>
      </c>
    </row>
    <row r="332" spans="1:1" x14ac:dyDescent="0.2">
      <c r="A332" t="str">
        <f t="shared" si="18"/>
        <v>204_新闻</v>
      </c>
    </row>
    <row r="333" spans="1:1" x14ac:dyDescent="0.2">
      <c r="A333" t="str">
        <f t="shared" si="18"/>
        <v>204_新闻</v>
      </c>
    </row>
    <row r="334" spans="1:1" x14ac:dyDescent="0.2">
      <c r="A334" t="str">
        <f t="shared" ref="A334:A350" si="20">A333</f>
        <v>204_新闻</v>
      </c>
    </row>
    <row r="335" spans="1:1" x14ac:dyDescent="0.2">
      <c r="A335" t="str">
        <f t="shared" si="20"/>
        <v>204_新闻</v>
      </c>
    </row>
    <row r="336" spans="1:1" x14ac:dyDescent="0.2">
      <c r="A336" t="str">
        <f t="shared" si="20"/>
        <v>204_新闻</v>
      </c>
    </row>
    <row r="337" spans="1:37" x14ac:dyDescent="0.2">
      <c r="A337" t="str">
        <f t="shared" si="20"/>
        <v>204_新闻</v>
      </c>
    </row>
    <row r="338" spans="1:37" x14ac:dyDescent="0.2">
      <c r="A338" t="str">
        <f t="shared" si="20"/>
        <v>204_新闻</v>
      </c>
    </row>
    <row r="339" spans="1:37" x14ac:dyDescent="0.2">
      <c r="A339" t="str">
        <f t="shared" si="20"/>
        <v>204_新闻</v>
      </c>
    </row>
    <row r="340" spans="1:37" x14ac:dyDescent="0.2">
      <c r="A340" t="str">
        <f t="shared" si="20"/>
        <v>204_新闻</v>
      </c>
    </row>
    <row r="341" spans="1:37" x14ac:dyDescent="0.2">
      <c r="A341" t="str">
        <f t="shared" si="20"/>
        <v>204_新闻</v>
      </c>
    </row>
    <row r="342" spans="1:37" x14ac:dyDescent="0.2">
      <c r="A342" t="str">
        <f t="shared" si="20"/>
        <v>204_新闻</v>
      </c>
    </row>
    <row r="343" spans="1:37" x14ac:dyDescent="0.2">
      <c r="A343" t="str">
        <f t="shared" si="20"/>
        <v>204_新闻</v>
      </c>
    </row>
    <row r="344" spans="1:37" x14ac:dyDescent="0.2">
      <c r="A344" t="str">
        <f t="shared" si="20"/>
        <v>204_新闻</v>
      </c>
    </row>
    <row r="345" spans="1:37" x14ac:dyDescent="0.2">
      <c r="A345" t="str">
        <f t="shared" si="20"/>
        <v>204_新闻</v>
      </c>
    </row>
    <row r="346" spans="1:37" x14ac:dyDescent="0.2">
      <c r="A346" t="str">
        <f t="shared" si="20"/>
        <v>204_新闻</v>
      </c>
    </row>
    <row r="347" spans="1:37" x14ac:dyDescent="0.2">
      <c r="A347" t="str">
        <f t="shared" si="20"/>
        <v>204_新闻</v>
      </c>
    </row>
    <row r="348" spans="1:37" x14ac:dyDescent="0.2">
      <c r="A348" t="str">
        <f t="shared" si="20"/>
        <v>204_新闻</v>
      </c>
    </row>
    <row r="349" spans="1:37" x14ac:dyDescent="0.2">
      <c r="A349" t="str">
        <f t="shared" si="20"/>
        <v>204_新闻</v>
      </c>
    </row>
    <row r="350" spans="1:37" x14ac:dyDescent="0.2">
      <c r="A350" t="str">
        <f t="shared" si="20"/>
        <v>204_新闻</v>
      </c>
    </row>
    <row r="351" spans="1:37" x14ac:dyDescent="0.2">
      <c r="A351" t="str">
        <f>VLOOKUP("直播",表_首次要关键词[[#All],[首要关键词]:[排序]],2,0)&amp;"_直播"</f>
        <v>251_直播</v>
      </c>
    </row>
    <row r="352" spans="1:37" x14ac:dyDescent="0.2">
      <c r="A352" t="str">
        <f t="shared" ref="A352:A383" si="21">A351</f>
        <v>251_直播</v>
      </c>
      <c r="B352">
        <f t="shared" ref="B352:AK352" si="22">COUNTIFS(B353:B399,"&lt;&gt;")</f>
        <v>0</v>
      </c>
      <c r="C352">
        <f t="shared" si="22"/>
        <v>0</v>
      </c>
      <c r="D352">
        <f t="shared" si="22"/>
        <v>0</v>
      </c>
      <c r="E352">
        <f t="shared" si="22"/>
        <v>0</v>
      </c>
      <c r="F352">
        <f t="shared" si="22"/>
        <v>0</v>
      </c>
      <c r="G352">
        <f t="shared" si="22"/>
        <v>0</v>
      </c>
      <c r="H352">
        <f t="shared" si="22"/>
        <v>0</v>
      </c>
      <c r="I352">
        <f t="shared" si="22"/>
        <v>0</v>
      </c>
      <c r="J352">
        <f t="shared" si="22"/>
        <v>0</v>
      </c>
      <c r="K352">
        <f t="shared" si="22"/>
        <v>0</v>
      </c>
      <c r="L352">
        <f t="shared" si="22"/>
        <v>0</v>
      </c>
      <c r="M352">
        <f t="shared" si="22"/>
        <v>0</v>
      </c>
      <c r="N352">
        <f t="shared" si="22"/>
        <v>0</v>
      </c>
      <c r="O352">
        <f t="shared" si="22"/>
        <v>0</v>
      </c>
      <c r="P352">
        <f t="shared" si="22"/>
        <v>0</v>
      </c>
      <c r="Q352">
        <f t="shared" si="22"/>
        <v>0</v>
      </c>
      <c r="R352">
        <f t="shared" si="22"/>
        <v>0</v>
      </c>
      <c r="S352">
        <f t="shared" si="22"/>
        <v>0</v>
      </c>
      <c r="T352">
        <f t="shared" si="22"/>
        <v>0</v>
      </c>
      <c r="U352">
        <f t="shared" si="22"/>
        <v>0</v>
      </c>
      <c r="V352">
        <f t="shared" si="22"/>
        <v>0</v>
      </c>
      <c r="W352">
        <f t="shared" si="22"/>
        <v>0</v>
      </c>
      <c r="X352">
        <f t="shared" si="22"/>
        <v>0</v>
      </c>
      <c r="Y352">
        <f t="shared" si="22"/>
        <v>0</v>
      </c>
      <c r="Z352">
        <f t="shared" si="22"/>
        <v>0</v>
      </c>
      <c r="AA352">
        <f t="shared" si="22"/>
        <v>0</v>
      </c>
      <c r="AB352">
        <f t="shared" si="22"/>
        <v>0</v>
      </c>
      <c r="AC352">
        <f t="shared" si="22"/>
        <v>0</v>
      </c>
      <c r="AD352">
        <f t="shared" si="22"/>
        <v>0</v>
      </c>
      <c r="AE352">
        <f t="shared" si="22"/>
        <v>0</v>
      </c>
      <c r="AF352">
        <f t="shared" si="22"/>
        <v>0</v>
      </c>
      <c r="AG352">
        <f t="shared" si="22"/>
        <v>0</v>
      </c>
      <c r="AH352">
        <f t="shared" si="22"/>
        <v>0</v>
      </c>
      <c r="AI352">
        <f t="shared" si="22"/>
        <v>0</v>
      </c>
      <c r="AJ352">
        <f t="shared" si="22"/>
        <v>0</v>
      </c>
      <c r="AK352">
        <f t="shared" si="22"/>
        <v>0</v>
      </c>
    </row>
    <row r="353" spans="1:1" x14ac:dyDescent="0.2">
      <c r="A353" t="str">
        <f t="shared" si="21"/>
        <v>251_直播</v>
      </c>
    </row>
    <row r="354" spans="1:1" x14ac:dyDescent="0.2">
      <c r="A354" t="str">
        <f t="shared" si="21"/>
        <v>251_直播</v>
      </c>
    </row>
    <row r="355" spans="1:1" x14ac:dyDescent="0.2">
      <c r="A355" t="str">
        <f t="shared" si="21"/>
        <v>251_直播</v>
      </c>
    </row>
    <row r="356" spans="1:1" x14ac:dyDescent="0.2">
      <c r="A356" t="str">
        <f t="shared" si="21"/>
        <v>251_直播</v>
      </c>
    </row>
    <row r="357" spans="1:1" x14ac:dyDescent="0.2">
      <c r="A357" t="str">
        <f t="shared" si="21"/>
        <v>251_直播</v>
      </c>
    </row>
    <row r="358" spans="1:1" x14ac:dyDescent="0.2">
      <c r="A358" t="str">
        <f t="shared" si="21"/>
        <v>251_直播</v>
      </c>
    </row>
    <row r="359" spans="1:1" x14ac:dyDescent="0.2">
      <c r="A359" t="str">
        <f t="shared" si="21"/>
        <v>251_直播</v>
      </c>
    </row>
    <row r="360" spans="1:1" x14ac:dyDescent="0.2">
      <c r="A360" t="str">
        <f t="shared" si="21"/>
        <v>251_直播</v>
      </c>
    </row>
    <row r="361" spans="1:1" x14ac:dyDescent="0.2">
      <c r="A361" t="str">
        <f t="shared" si="21"/>
        <v>251_直播</v>
      </c>
    </row>
    <row r="362" spans="1:1" x14ac:dyDescent="0.2">
      <c r="A362" t="str">
        <f t="shared" si="21"/>
        <v>251_直播</v>
      </c>
    </row>
    <row r="363" spans="1:1" x14ac:dyDescent="0.2">
      <c r="A363" t="str">
        <f t="shared" si="21"/>
        <v>251_直播</v>
      </c>
    </row>
    <row r="364" spans="1:1" x14ac:dyDescent="0.2">
      <c r="A364" t="str">
        <f t="shared" si="21"/>
        <v>251_直播</v>
      </c>
    </row>
    <row r="365" spans="1:1" x14ac:dyDescent="0.2">
      <c r="A365" t="str">
        <f t="shared" si="21"/>
        <v>251_直播</v>
      </c>
    </row>
    <row r="366" spans="1:1" x14ac:dyDescent="0.2">
      <c r="A366" t="str">
        <f t="shared" si="21"/>
        <v>251_直播</v>
      </c>
    </row>
    <row r="367" spans="1:1" x14ac:dyDescent="0.2">
      <c r="A367" t="str">
        <f t="shared" si="21"/>
        <v>251_直播</v>
      </c>
    </row>
    <row r="368" spans="1:1" x14ac:dyDescent="0.2">
      <c r="A368" t="str">
        <f t="shared" si="21"/>
        <v>251_直播</v>
      </c>
    </row>
    <row r="369" spans="1:1" x14ac:dyDescent="0.2">
      <c r="A369" t="str">
        <f t="shared" si="21"/>
        <v>251_直播</v>
      </c>
    </row>
    <row r="370" spans="1:1" x14ac:dyDescent="0.2">
      <c r="A370" t="str">
        <f t="shared" si="21"/>
        <v>251_直播</v>
      </c>
    </row>
    <row r="371" spans="1:1" x14ac:dyDescent="0.2">
      <c r="A371" t="str">
        <f t="shared" si="21"/>
        <v>251_直播</v>
      </c>
    </row>
    <row r="372" spans="1:1" x14ac:dyDescent="0.2">
      <c r="A372" t="str">
        <f t="shared" si="21"/>
        <v>251_直播</v>
      </c>
    </row>
    <row r="373" spans="1:1" x14ac:dyDescent="0.2">
      <c r="A373" t="str">
        <f t="shared" si="21"/>
        <v>251_直播</v>
      </c>
    </row>
    <row r="374" spans="1:1" x14ac:dyDescent="0.2">
      <c r="A374" t="str">
        <f t="shared" si="21"/>
        <v>251_直播</v>
      </c>
    </row>
    <row r="375" spans="1:1" x14ac:dyDescent="0.2">
      <c r="A375" t="str">
        <f t="shared" si="21"/>
        <v>251_直播</v>
      </c>
    </row>
    <row r="376" spans="1:1" x14ac:dyDescent="0.2">
      <c r="A376" t="str">
        <f t="shared" si="21"/>
        <v>251_直播</v>
      </c>
    </row>
    <row r="377" spans="1:1" x14ac:dyDescent="0.2">
      <c r="A377" t="str">
        <f t="shared" si="21"/>
        <v>251_直播</v>
      </c>
    </row>
    <row r="378" spans="1:1" x14ac:dyDescent="0.2">
      <c r="A378" t="str">
        <f t="shared" si="21"/>
        <v>251_直播</v>
      </c>
    </row>
    <row r="379" spans="1:1" x14ac:dyDescent="0.2">
      <c r="A379" t="str">
        <f t="shared" si="21"/>
        <v>251_直播</v>
      </c>
    </row>
    <row r="380" spans="1:1" x14ac:dyDescent="0.2">
      <c r="A380" t="str">
        <f t="shared" si="21"/>
        <v>251_直播</v>
      </c>
    </row>
    <row r="381" spans="1:1" x14ac:dyDescent="0.2">
      <c r="A381" t="str">
        <f t="shared" si="21"/>
        <v>251_直播</v>
      </c>
    </row>
    <row r="382" spans="1:1" x14ac:dyDescent="0.2">
      <c r="A382" t="str">
        <f t="shared" si="21"/>
        <v>251_直播</v>
      </c>
    </row>
    <row r="383" spans="1:1" x14ac:dyDescent="0.2">
      <c r="A383" t="str">
        <f t="shared" si="21"/>
        <v>251_直播</v>
      </c>
    </row>
    <row r="384" spans="1:1" x14ac:dyDescent="0.2">
      <c r="A384" t="str">
        <f t="shared" ref="A384:A400" si="23">A383</f>
        <v>251_直播</v>
      </c>
    </row>
    <row r="385" spans="1:1" x14ac:dyDescent="0.2">
      <c r="A385" t="str">
        <f t="shared" si="23"/>
        <v>251_直播</v>
      </c>
    </row>
    <row r="386" spans="1:1" x14ac:dyDescent="0.2">
      <c r="A386" t="str">
        <f t="shared" si="23"/>
        <v>251_直播</v>
      </c>
    </row>
    <row r="387" spans="1:1" x14ac:dyDescent="0.2">
      <c r="A387" t="str">
        <f t="shared" si="23"/>
        <v>251_直播</v>
      </c>
    </row>
    <row r="388" spans="1:1" x14ac:dyDescent="0.2">
      <c r="A388" t="str">
        <f t="shared" si="23"/>
        <v>251_直播</v>
      </c>
    </row>
    <row r="389" spans="1:1" x14ac:dyDescent="0.2">
      <c r="A389" t="str">
        <f t="shared" si="23"/>
        <v>251_直播</v>
      </c>
    </row>
    <row r="390" spans="1:1" x14ac:dyDescent="0.2">
      <c r="A390" t="str">
        <f t="shared" si="23"/>
        <v>251_直播</v>
      </c>
    </row>
    <row r="391" spans="1:1" x14ac:dyDescent="0.2">
      <c r="A391" t="str">
        <f t="shared" si="23"/>
        <v>251_直播</v>
      </c>
    </row>
    <row r="392" spans="1:1" x14ac:dyDescent="0.2">
      <c r="A392" t="str">
        <f t="shared" si="23"/>
        <v>251_直播</v>
      </c>
    </row>
    <row r="393" spans="1:1" x14ac:dyDescent="0.2">
      <c r="A393" t="str">
        <f t="shared" si="23"/>
        <v>251_直播</v>
      </c>
    </row>
    <row r="394" spans="1:1" x14ac:dyDescent="0.2">
      <c r="A394" t="str">
        <f t="shared" si="23"/>
        <v>251_直播</v>
      </c>
    </row>
    <row r="395" spans="1:1" x14ac:dyDescent="0.2">
      <c r="A395" t="str">
        <f t="shared" si="23"/>
        <v>251_直播</v>
      </c>
    </row>
    <row r="396" spans="1:1" x14ac:dyDescent="0.2">
      <c r="A396" t="str">
        <f t="shared" si="23"/>
        <v>251_直播</v>
      </c>
    </row>
    <row r="397" spans="1:1" x14ac:dyDescent="0.2">
      <c r="A397" t="str">
        <f t="shared" si="23"/>
        <v>251_直播</v>
      </c>
    </row>
    <row r="398" spans="1:1" x14ac:dyDescent="0.2">
      <c r="A398" t="str">
        <f t="shared" si="23"/>
        <v>251_直播</v>
      </c>
    </row>
    <row r="399" spans="1:1" x14ac:dyDescent="0.2">
      <c r="A399" t="str">
        <f t="shared" si="23"/>
        <v>251_直播</v>
      </c>
    </row>
    <row r="400" spans="1:1" x14ac:dyDescent="0.2">
      <c r="A400" t="str">
        <f t="shared" si="23"/>
        <v>251_直播</v>
      </c>
    </row>
    <row r="401" spans="1:37" x14ac:dyDescent="0.2">
      <c r="A401" t="str">
        <f>VLOOKUP("视频",表_首次要关键词[[#All],[首要关键词]:[排序]],2,0)&amp;"_视频"</f>
        <v>252_视频</v>
      </c>
    </row>
    <row r="402" spans="1:37" x14ac:dyDescent="0.2">
      <c r="A402" t="str">
        <f t="shared" ref="A402:A433" si="24">A401</f>
        <v>252_视频</v>
      </c>
      <c r="B402">
        <f t="shared" ref="B402:AK402" si="25">COUNTIFS(B403:B449,"&lt;&gt;")</f>
        <v>0</v>
      </c>
      <c r="C402">
        <f t="shared" si="25"/>
        <v>0</v>
      </c>
      <c r="D402">
        <f t="shared" si="25"/>
        <v>0</v>
      </c>
      <c r="E402">
        <f t="shared" si="25"/>
        <v>0</v>
      </c>
      <c r="F402">
        <f t="shared" si="25"/>
        <v>0</v>
      </c>
      <c r="G402">
        <f t="shared" si="25"/>
        <v>0</v>
      </c>
      <c r="H402">
        <f t="shared" si="25"/>
        <v>0</v>
      </c>
      <c r="I402">
        <f t="shared" si="25"/>
        <v>0</v>
      </c>
      <c r="J402">
        <f t="shared" si="25"/>
        <v>0</v>
      </c>
      <c r="K402">
        <f t="shared" si="25"/>
        <v>0</v>
      </c>
      <c r="L402">
        <f t="shared" si="25"/>
        <v>0</v>
      </c>
      <c r="M402">
        <f t="shared" si="25"/>
        <v>0</v>
      </c>
      <c r="N402">
        <f t="shared" si="25"/>
        <v>0</v>
      </c>
      <c r="O402">
        <f t="shared" si="25"/>
        <v>0</v>
      </c>
      <c r="P402">
        <f t="shared" si="25"/>
        <v>0</v>
      </c>
      <c r="Q402">
        <f t="shared" si="25"/>
        <v>0</v>
      </c>
      <c r="R402">
        <f t="shared" si="25"/>
        <v>0</v>
      </c>
      <c r="S402">
        <f t="shared" si="25"/>
        <v>0</v>
      </c>
      <c r="T402">
        <f t="shared" si="25"/>
        <v>0</v>
      </c>
      <c r="U402">
        <f t="shared" si="25"/>
        <v>0</v>
      </c>
      <c r="V402">
        <f t="shared" si="25"/>
        <v>0</v>
      </c>
      <c r="W402">
        <f t="shared" si="25"/>
        <v>0</v>
      </c>
      <c r="X402">
        <f t="shared" si="25"/>
        <v>0</v>
      </c>
      <c r="Y402">
        <f t="shared" si="25"/>
        <v>0</v>
      </c>
      <c r="Z402">
        <f t="shared" si="25"/>
        <v>0</v>
      </c>
      <c r="AA402">
        <f t="shared" si="25"/>
        <v>0</v>
      </c>
      <c r="AB402">
        <f t="shared" si="25"/>
        <v>0</v>
      </c>
      <c r="AC402">
        <f t="shared" si="25"/>
        <v>0</v>
      </c>
      <c r="AD402">
        <f t="shared" si="25"/>
        <v>0</v>
      </c>
      <c r="AE402">
        <f t="shared" si="25"/>
        <v>0</v>
      </c>
      <c r="AF402">
        <f t="shared" si="25"/>
        <v>0</v>
      </c>
      <c r="AG402">
        <f t="shared" si="25"/>
        <v>0</v>
      </c>
      <c r="AH402">
        <f t="shared" si="25"/>
        <v>0</v>
      </c>
      <c r="AI402">
        <f t="shared" si="25"/>
        <v>0</v>
      </c>
      <c r="AJ402">
        <f t="shared" si="25"/>
        <v>0</v>
      </c>
      <c r="AK402">
        <f t="shared" si="25"/>
        <v>0</v>
      </c>
    </row>
    <row r="403" spans="1:37" x14ac:dyDescent="0.2">
      <c r="A403" t="str">
        <f t="shared" si="24"/>
        <v>252_视频</v>
      </c>
    </row>
    <row r="404" spans="1:37" x14ac:dyDescent="0.2">
      <c r="A404" t="str">
        <f t="shared" si="24"/>
        <v>252_视频</v>
      </c>
    </row>
    <row r="405" spans="1:37" x14ac:dyDescent="0.2">
      <c r="A405" t="str">
        <f t="shared" si="24"/>
        <v>252_视频</v>
      </c>
    </row>
    <row r="406" spans="1:37" x14ac:dyDescent="0.2">
      <c r="A406" t="str">
        <f t="shared" si="24"/>
        <v>252_视频</v>
      </c>
    </row>
    <row r="407" spans="1:37" x14ac:dyDescent="0.2">
      <c r="A407" t="str">
        <f t="shared" si="24"/>
        <v>252_视频</v>
      </c>
    </row>
    <row r="408" spans="1:37" x14ac:dyDescent="0.2">
      <c r="A408" t="str">
        <f t="shared" si="24"/>
        <v>252_视频</v>
      </c>
    </row>
    <row r="409" spans="1:37" x14ac:dyDescent="0.2">
      <c r="A409" t="str">
        <f t="shared" si="24"/>
        <v>252_视频</v>
      </c>
    </row>
    <row r="410" spans="1:37" x14ac:dyDescent="0.2">
      <c r="A410" t="str">
        <f t="shared" si="24"/>
        <v>252_视频</v>
      </c>
    </row>
    <row r="411" spans="1:37" x14ac:dyDescent="0.2">
      <c r="A411" t="str">
        <f t="shared" si="24"/>
        <v>252_视频</v>
      </c>
    </row>
    <row r="412" spans="1:37" x14ac:dyDescent="0.2">
      <c r="A412" t="str">
        <f t="shared" si="24"/>
        <v>252_视频</v>
      </c>
    </row>
    <row r="413" spans="1:37" x14ac:dyDescent="0.2">
      <c r="A413" t="str">
        <f t="shared" si="24"/>
        <v>252_视频</v>
      </c>
    </row>
    <row r="414" spans="1:37" x14ac:dyDescent="0.2">
      <c r="A414" t="str">
        <f t="shared" si="24"/>
        <v>252_视频</v>
      </c>
    </row>
    <row r="415" spans="1:37" x14ac:dyDescent="0.2">
      <c r="A415" t="str">
        <f t="shared" si="24"/>
        <v>252_视频</v>
      </c>
    </row>
    <row r="416" spans="1:37" x14ac:dyDescent="0.2">
      <c r="A416" t="str">
        <f t="shared" si="24"/>
        <v>252_视频</v>
      </c>
    </row>
    <row r="417" spans="1:1" x14ac:dyDescent="0.2">
      <c r="A417" t="str">
        <f t="shared" si="24"/>
        <v>252_视频</v>
      </c>
    </row>
    <row r="418" spans="1:1" x14ac:dyDescent="0.2">
      <c r="A418" t="str">
        <f t="shared" si="24"/>
        <v>252_视频</v>
      </c>
    </row>
    <row r="419" spans="1:1" x14ac:dyDescent="0.2">
      <c r="A419" t="str">
        <f t="shared" si="24"/>
        <v>252_视频</v>
      </c>
    </row>
    <row r="420" spans="1:1" x14ac:dyDescent="0.2">
      <c r="A420" t="str">
        <f t="shared" si="24"/>
        <v>252_视频</v>
      </c>
    </row>
    <row r="421" spans="1:1" x14ac:dyDescent="0.2">
      <c r="A421" t="str">
        <f t="shared" si="24"/>
        <v>252_视频</v>
      </c>
    </row>
    <row r="422" spans="1:1" x14ac:dyDescent="0.2">
      <c r="A422" t="str">
        <f t="shared" si="24"/>
        <v>252_视频</v>
      </c>
    </row>
    <row r="423" spans="1:1" x14ac:dyDescent="0.2">
      <c r="A423" t="str">
        <f t="shared" si="24"/>
        <v>252_视频</v>
      </c>
    </row>
    <row r="424" spans="1:1" x14ac:dyDescent="0.2">
      <c r="A424" t="str">
        <f t="shared" si="24"/>
        <v>252_视频</v>
      </c>
    </row>
    <row r="425" spans="1:1" x14ac:dyDescent="0.2">
      <c r="A425" t="str">
        <f t="shared" si="24"/>
        <v>252_视频</v>
      </c>
    </row>
    <row r="426" spans="1:1" x14ac:dyDescent="0.2">
      <c r="A426" t="str">
        <f t="shared" si="24"/>
        <v>252_视频</v>
      </c>
    </row>
    <row r="427" spans="1:1" x14ac:dyDescent="0.2">
      <c r="A427" t="str">
        <f t="shared" si="24"/>
        <v>252_视频</v>
      </c>
    </row>
    <row r="428" spans="1:1" x14ac:dyDescent="0.2">
      <c r="A428" t="str">
        <f t="shared" si="24"/>
        <v>252_视频</v>
      </c>
    </row>
    <row r="429" spans="1:1" x14ac:dyDescent="0.2">
      <c r="A429" t="str">
        <f t="shared" si="24"/>
        <v>252_视频</v>
      </c>
    </row>
    <row r="430" spans="1:1" x14ac:dyDescent="0.2">
      <c r="A430" t="str">
        <f t="shared" si="24"/>
        <v>252_视频</v>
      </c>
    </row>
    <row r="431" spans="1:1" x14ac:dyDescent="0.2">
      <c r="A431" t="str">
        <f t="shared" si="24"/>
        <v>252_视频</v>
      </c>
    </row>
    <row r="432" spans="1:1" x14ac:dyDescent="0.2">
      <c r="A432" t="str">
        <f t="shared" si="24"/>
        <v>252_视频</v>
      </c>
    </row>
    <row r="433" spans="1:1" x14ac:dyDescent="0.2">
      <c r="A433" t="str">
        <f t="shared" si="24"/>
        <v>252_视频</v>
      </c>
    </row>
    <row r="434" spans="1:1" x14ac:dyDescent="0.2">
      <c r="A434" t="str">
        <f t="shared" ref="A434:A450" si="26">A433</f>
        <v>252_视频</v>
      </c>
    </row>
    <row r="435" spans="1:1" x14ac:dyDescent="0.2">
      <c r="A435" t="str">
        <f t="shared" si="26"/>
        <v>252_视频</v>
      </c>
    </row>
    <row r="436" spans="1:1" x14ac:dyDescent="0.2">
      <c r="A436" t="str">
        <f t="shared" si="26"/>
        <v>252_视频</v>
      </c>
    </row>
    <row r="437" spans="1:1" x14ac:dyDescent="0.2">
      <c r="A437" t="str">
        <f t="shared" si="26"/>
        <v>252_视频</v>
      </c>
    </row>
    <row r="438" spans="1:1" x14ac:dyDescent="0.2">
      <c r="A438" t="str">
        <f t="shared" si="26"/>
        <v>252_视频</v>
      </c>
    </row>
    <row r="439" spans="1:1" x14ac:dyDescent="0.2">
      <c r="A439" t="str">
        <f t="shared" si="26"/>
        <v>252_视频</v>
      </c>
    </row>
    <row r="440" spans="1:1" x14ac:dyDescent="0.2">
      <c r="A440" t="str">
        <f t="shared" si="26"/>
        <v>252_视频</v>
      </c>
    </row>
    <row r="441" spans="1:1" x14ac:dyDescent="0.2">
      <c r="A441" t="str">
        <f t="shared" si="26"/>
        <v>252_视频</v>
      </c>
    </row>
    <row r="442" spans="1:1" x14ac:dyDescent="0.2">
      <c r="A442" t="str">
        <f t="shared" si="26"/>
        <v>252_视频</v>
      </c>
    </row>
    <row r="443" spans="1:1" x14ac:dyDescent="0.2">
      <c r="A443" t="str">
        <f t="shared" si="26"/>
        <v>252_视频</v>
      </c>
    </row>
    <row r="444" spans="1:1" x14ac:dyDescent="0.2">
      <c r="A444" t="str">
        <f t="shared" si="26"/>
        <v>252_视频</v>
      </c>
    </row>
    <row r="445" spans="1:1" x14ac:dyDescent="0.2">
      <c r="A445" t="str">
        <f t="shared" si="26"/>
        <v>252_视频</v>
      </c>
    </row>
    <row r="446" spans="1:1" x14ac:dyDescent="0.2">
      <c r="A446" t="str">
        <f t="shared" si="26"/>
        <v>252_视频</v>
      </c>
    </row>
    <row r="447" spans="1:1" x14ac:dyDescent="0.2">
      <c r="A447" t="str">
        <f t="shared" si="26"/>
        <v>252_视频</v>
      </c>
    </row>
    <row r="448" spans="1:1" x14ac:dyDescent="0.2">
      <c r="A448" t="str">
        <f t="shared" si="26"/>
        <v>252_视频</v>
      </c>
    </row>
    <row r="449" spans="1:37" x14ac:dyDescent="0.2">
      <c r="A449" t="str">
        <f t="shared" si="26"/>
        <v>252_视频</v>
      </c>
    </row>
    <row r="450" spans="1:37" x14ac:dyDescent="0.2">
      <c r="A450" t="str">
        <f t="shared" si="26"/>
        <v>252_视频</v>
      </c>
    </row>
    <row r="451" spans="1:37" x14ac:dyDescent="0.2">
      <c r="A451" t="str">
        <f>VLOOKUP("音乐",表_首次要关键词[[#All],[首要关键词]:[排序]],2,0)&amp;"_音乐"</f>
        <v>253_音乐</v>
      </c>
    </row>
    <row r="452" spans="1:37" x14ac:dyDescent="0.2">
      <c r="A452" t="str">
        <f t="shared" ref="A452:A483" si="27">A451</f>
        <v>253_音乐</v>
      </c>
      <c r="B452">
        <f t="shared" ref="B452:AK452" si="28">COUNTIFS(B453:B499,"&lt;&gt;")</f>
        <v>0</v>
      </c>
      <c r="C452">
        <f t="shared" si="28"/>
        <v>0</v>
      </c>
      <c r="D452">
        <f t="shared" si="28"/>
        <v>0</v>
      </c>
      <c r="E452">
        <f t="shared" si="28"/>
        <v>0</v>
      </c>
      <c r="F452">
        <f t="shared" si="28"/>
        <v>0</v>
      </c>
      <c r="G452">
        <f t="shared" si="28"/>
        <v>0</v>
      </c>
      <c r="H452">
        <f t="shared" si="28"/>
        <v>0</v>
      </c>
      <c r="I452">
        <f t="shared" si="28"/>
        <v>0</v>
      </c>
      <c r="J452">
        <f t="shared" si="28"/>
        <v>0</v>
      </c>
      <c r="K452">
        <f t="shared" si="28"/>
        <v>0</v>
      </c>
      <c r="L452">
        <f t="shared" si="28"/>
        <v>0</v>
      </c>
      <c r="M452">
        <f t="shared" si="28"/>
        <v>0</v>
      </c>
      <c r="N452">
        <f t="shared" si="28"/>
        <v>0</v>
      </c>
      <c r="O452">
        <f t="shared" si="28"/>
        <v>0</v>
      </c>
      <c r="P452">
        <f t="shared" si="28"/>
        <v>0</v>
      </c>
      <c r="Q452">
        <f t="shared" si="28"/>
        <v>0</v>
      </c>
      <c r="R452">
        <f t="shared" si="28"/>
        <v>0</v>
      </c>
      <c r="S452">
        <f t="shared" si="28"/>
        <v>0</v>
      </c>
      <c r="T452">
        <f t="shared" si="28"/>
        <v>0</v>
      </c>
      <c r="U452">
        <f t="shared" si="28"/>
        <v>0</v>
      </c>
      <c r="V452">
        <f t="shared" si="28"/>
        <v>0</v>
      </c>
      <c r="W452">
        <f t="shared" si="28"/>
        <v>0</v>
      </c>
      <c r="X452">
        <f t="shared" si="28"/>
        <v>0</v>
      </c>
      <c r="Y452">
        <f t="shared" si="28"/>
        <v>0</v>
      </c>
      <c r="Z452">
        <f t="shared" si="28"/>
        <v>0</v>
      </c>
      <c r="AA452">
        <f t="shared" si="28"/>
        <v>0</v>
      </c>
      <c r="AB452">
        <f t="shared" si="28"/>
        <v>0</v>
      </c>
      <c r="AC452">
        <f t="shared" si="28"/>
        <v>0</v>
      </c>
      <c r="AD452">
        <f t="shared" si="28"/>
        <v>0</v>
      </c>
      <c r="AE452">
        <f t="shared" si="28"/>
        <v>0</v>
      </c>
      <c r="AF452">
        <f t="shared" si="28"/>
        <v>0</v>
      </c>
      <c r="AG452">
        <f t="shared" si="28"/>
        <v>0</v>
      </c>
      <c r="AH452">
        <f t="shared" si="28"/>
        <v>0</v>
      </c>
      <c r="AI452">
        <f t="shared" si="28"/>
        <v>0</v>
      </c>
      <c r="AJ452">
        <f t="shared" si="28"/>
        <v>0</v>
      </c>
      <c r="AK452">
        <f t="shared" si="28"/>
        <v>0</v>
      </c>
    </row>
    <row r="453" spans="1:37" x14ac:dyDescent="0.2">
      <c r="A453" t="str">
        <f t="shared" si="27"/>
        <v>253_音乐</v>
      </c>
    </row>
    <row r="454" spans="1:37" x14ac:dyDescent="0.2">
      <c r="A454" t="str">
        <f t="shared" si="27"/>
        <v>253_音乐</v>
      </c>
    </row>
    <row r="455" spans="1:37" x14ac:dyDescent="0.2">
      <c r="A455" t="str">
        <f t="shared" si="27"/>
        <v>253_音乐</v>
      </c>
    </row>
    <row r="456" spans="1:37" x14ac:dyDescent="0.2">
      <c r="A456" t="str">
        <f t="shared" si="27"/>
        <v>253_音乐</v>
      </c>
    </row>
    <row r="457" spans="1:37" x14ac:dyDescent="0.2">
      <c r="A457" t="str">
        <f t="shared" si="27"/>
        <v>253_音乐</v>
      </c>
    </row>
    <row r="458" spans="1:37" x14ac:dyDescent="0.2">
      <c r="A458" t="str">
        <f t="shared" si="27"/>
        <v>253_音乐</v>
      </c>
    </row>
    <row r="459" spans="1:37" x14ac:dyDescent="0.2">
      <c r="A459" t="str">
        <f t="shared" si="27"/>
        <v>253_音乐</v>
      </c>
    </row>
    <row r="460" spans="1:37" x14ac:dyDescent="0.2">
      <c r="A460" t="str">
        <f t="shared" si="27"/>
        <v>253_音乐</v>
      </c>
    </row>
    <row r="461" spans="1:37" x14ac:dyDescent="0.2">
      <c r="A461" t="str">
        <f t="shared" si="27"/>
        <v>253_音乐</v>
      </c>
    </row>
    <row r="462" spans="1:37" x14ac:dyDescent="0.2">
      <c r="A462" t="str">
        <f t="shared" si="27"/>
        <v>253_音乐</v>
      </c>
    </row>
    <row r="463" spans="1:37" x14ac:dyDescent="0.2">
      <c r="A463" t="str">
        <f t="shared" si="27"/>
        <v>253_音乐</v>
      </c>
    </row>
    <row r="464" spans="1:37" x14ac:dyDescent="0.2">
      <c r="A464" t="str">
        <f t="shared" si="27"/>
        <v>253_音乐</v>
      </c>
    </row>
    <row r="465" spans="1:1" x14ac:dyDescent="0.2">
      <c r="A465" t="str">
        <f t="shared" si="27"/>
        <v>253_音乐</v>
      </c>
    </row>
    <row r="466" spans="1:1" x14ac:dyDescent="0.2">
      <c r="A466" t="str">
        <f t="shared" si="27"/>
        <v>253_音乐</v>
      </c>
    </row>
    <row r="467" spans="1:1" x14ac:dyDescent="0.2">
      <c r="A467" t="str">
        <f t="shared" si="27"/>
        <v>253_音乐</v>
      </c>
    </row>
    <row r="468" spans="1:1" x14ac:dyDescent="0.2">
      <c r="A468" t="str">
        <f t="shared" si="27"/>
        <v>253_音乐</v>
      </c>
    </row>
    <row r="469" spans="1:1" x14ac:dyDescent="0.2">
      <c r="A469" t="str">
        <f t="shared" si="27"/>
        <v>253_音乐</v>
      </c>
    </row>
    <row r="470" spans="1:1" x14ac:dyDescent="0.2">
      <c r="A470" t="str">
        <f t="shared" si="27"/>
        <v>253_音乐</v>
      </c>
    </row>
    <row r="471" spans="1:1" x14ac:dyDescent="0.2">
      <c r="A471" t="str">
        <f t="shared" si="27"/>
        <v>253_音乐</v>
      </c>
    </row>
    <row r="472" spans="1:1" x14ac:dyDescent="0.2">
      <c r="A472" t="str">
        <f t="shared" si="27"/>
        <v>253_音乐</v>
      </c>
    </row>
    <row r="473" spans="1:1" x14ac:dyDescent="0.2">
      <c r="A473" t="str">
        <f t="shared" si="27"/>
        <v>253_音乐</v>
      </c>
    </row>
    <row r="474" spans="1:1" x14ac:dyDescent="0.2">
      <c r="A474" t="str">
        <f t="shared" si="27"/>
        <v>253_音乐</v>
      </c>
    </row>
    <row r="475" spans="1:1" x14ac:dyDescent="0.2">
      <c r="A475" t="str">
        <f t="shared" si="27"/>
        <v>253_音乐</v>
      </c>
    </row>
    <row r="476" spans="1:1" x14ac:dyDescent="0.2">
      <c r="A476" t="str">
        <f t="shared" si="27"/>
        <v>253_音乐</v>
      </c>
    </row>
    <row r="477" spans="1:1" x14ac:dyDescent="0.2">
      <c r="A477" t="str">
        <f t="shared" si="27"/>
        <v>253_音乐</v>
      </c>
    </row>
    <row r="478" spans="1:1" x14ac:dyDescent="0.2">
      <c r="A478" t="str">
        <f t="shared" si="27"/>
        <v>253_音乐</v>
      </c>
    </row>
    <row r="479" spans="1:1" x14ac:dyDescent="0.2">
      <c r="A479" t="str">
        <f t="shared" si="27"/>
        <v>253_音乐</v>
      </c>
    </row>
    <row r="480" spans="1:1" x14ac:dyDescent="0.2">
      <c r="A480" t="str">
        <f t="shared" si="27"/>
        <v>253_音乐</v>
      </c>
    </row>
    <row r="481" spans="1:1" x14ac:dyDescent="0.2">
      <c r="A481" t="str">
        <f t="shared" si="27"/>
        <v>253_音乐</v>
      </c>
    </row>
    <row r="482" spans="1:1" x14ac:dyDescent="0.2">
      <c r="A482" t="str">
        <f t="shared" si="27"/>
        <v>253_音乐</v>
      </c>
    </row>
    <row r="483" spans="1:1" x14ac:dyDescent="0.2">
      <c r="A483" t="str">
        <f t="shared" si="27"/>
        <v>253_音乐</v>
      </c>
    </row>
    <row r="484" spans="1:1" x14ac:dyDescent="0.2">
      <c r="A484" t="str">
        <f t="shared" ref="A484:A500" si="29">A483</f>
        <v>253_音乐</v>
      </c>
    </row>
    <row r="485" spans="1:1" x14ac:dyDescent="0.2">
      <c r="A485" t="str">
        <f t="shared" si="29"/>
        <v>253_音乐</v>
      </c>
    </row>
    <row r="486" spans="1:1" x14ac:dyDescent="0.2">
      <c r="A486" t="str">
        <f t="shared" si="29"/>
        <v>253_音乐</v>
      </c>
    </row>
    <row r="487" spans="1:1" x14ac:dyDescent="0.2">
      <c r="A487" t="str">
        <f t="shared" si="29"/>
        <v>253_音乐</v>
      </c>
    </row>
    <row r="488" spans="1:1" x14ac:dyDescent="0.2">
      <c r="A488" t="str">
        <f t="shared" si="29"/>
        <v>253_音乐</v>
      </c>
    </row>
    <row r="489" spans="1:1" x14ac:dyDescent="0.2">
      <c r="A489" t="str">
        <f t="shared" si="29"/>
        <v>253_音乐</v>
      </c>
    </row>
    <row r="490" spans="1:1" x14ac:dyDescent="0.2">
      <c r="A490" t="str">
        <f t="shared" si="29"/>
        <v>253_音乐</v>
      </c>
    </row>
    <row r="491" spans="1:1" x14ac:dyDescent="0.2">
      <c r="A491" t="str">
        <f t="shared" si="29"/>
        <v>253_音乐</v>
      </c>
    </row>
    <row r="492" spans="1:1" x14ac:dyDescent="0.2">
      <c r="A492" t="str">
        <f t="shared" si="29"/>
        <v>253_音乐</v>
      </c>
    </row>
    <row r="493" spans="1:1" x14ac:dyDescent="0.2">
      <c r="A493" t="str">
        <f t="shared" si="29"/>
        <v>253_音乐</v>
      </c>
    </row>
    <row r="494" spans="1:1" x14ac:dyDescent="0.2">
      <c r="A494" t="str">
        <f t="shared" si="29"/>
        <v>253_音乐</v>
      </c>
    </row>
    <row r="495" spans="1:1" x14ac:dyDescent="0.2">
      <c r="A495" t="str">
        <f t="shared" si="29"/>
        <v>253_音乐</v>
      </c>
    </row>
    <row r="496" spans="1:1" x14ac:dyDescent="0.2">
      <c r="A496" t="str">
        <f t="shared" si="29"/>
        <v>253_音乐</v>
      </c>
    </row>
    <row r="497" spans="1:37" x14ac:dyDescent="0.2">
      <c r="A497" t="str">
        <f t="shared" si="29"/>
        <v>253_音乐</v>
      </c>
    </row>
    <row r="498" spans="1:37" x14ac:dyDescent="0.2">
      <c r="A498" t="str">
        <f t="shared" si="29"/>
        <v>253_音乐</v>
      </c>
    </row>
    <row r="499" spans="1:37" x14ac:dyDescent="0.2">
      <c r="A499" t="str">
        <f t="shared" si="29"/>
        <v>253_音乐</v>
      </c>
    </row>
    <row r="500" spans="1:37" x14ac:dyDescent="0.2">
      <c r="A500" t="str">
        <f t="shared" si="29"/>
        <v>253_音乐</v>
      </c>
    </row>
    <row r="501" spans="1:37" x14ac:dyDescent="0.2">
      <c r="A501" t="str">
        <f>VLOOKUP("银行机构",表_首次要关键词[[#All],[首要关键词]:[排序]],2,0)&amp;"_银行机构"</f>
        <v>301_银行机构</v>
      </c>
    </row>
    <row r="502" spans="1:37" x14ac:dyDescent="0.2">
      <c r="A502" t="str">
        <f t="shared" ref="A502:A533" si="30">A501</f>
        <v>301_银行机构</v>
      </c>
      <c r="B502">
        <f t="shared" ref="B502:AK502" si="31">COUNTIFS(B503:B549,"&lt;&gt;")</f>
        <v>0</v>
      </c>
      <c r="C502">
        <f t="shared" si="31"/>
        <v>0</v>
      </c>
      <c r="D502">
        <f t="shared" si="31"/>
        <v>0</v>
      </c>
      <c r="E502">
        <f t="shared" si="31"/>
        <v>0</v>
      </c>
      <c r="F502">
        <f t="shared" si="31"/>
        <v>0</v>
      </c>
      <c r="G502">
        <f t="shared" si="31"/>
        <v>0</v>
      </c>
      <c r="H502">
        <f t="shared" si="31"/>
        <v>0</v>
      </c>
      <c r="I502">
        <f t="shared" si="31"/>
        <v>0</v>
      </c>
      <c r="J502">
        <f t="shared" si="31"/>
        <v>0</v>
      </c>
      <c r="K502">
        <f t="shared" si="31"/>
        <v>0</v>
      </c>
      <c r="L502">
        <f t="shared" si="31"/>
        <v>0</v>
      </c>
      <c r="M502">
        <f t="shared" si="31"/>
        <v>0</v>
      </c>
      <c r="N502">
        <f t="shared" si="31"/>
        <v>0</v>
      </c>
      <c r="O502">
        <f t="shared" si="31"/>
        <v>0</v>
      </c>
      <c r="P502">
        <f t="shared" si="31"/>
        <v>0</v>
      </c>
      <c r="Q502">
        <f t="shared" si="31"/>
        <v>0</v>
      </c>
      <c r="R502">
        <f t="shared" si="31"/>
        <v>0</v>
      </c>
      <c r="S502">
        <f t="shared" si="31"/>
        <v>0</v>
      </c>
      <c r="T502">
        <f t="shared" si="31"/>
        <v>0</v>
      </c>
      <c r="U502">
        <f t="shared" si="31"/>
        <v>0</v>
      </c>
      <c r="V502">
        <f t="shared" si="31"/>
        <v>0</v>
      </c>
      <c r="W502">
        <f t="shared" si="31"/>
        <v>0</v>
      </c>
      <c r="X502">
        <f t="shared" si="31"/>
        <v>0</v>
      </c>
      <c r="Y502">
        <f t="shared" si="31"/>
        <v>0</v>
      </c>
      <c r="Z502">
        <f t="shared" si="31"/>
        <v>0</v>
      </c>
      <c r="AA502">
        <f t="shared" si="31"/>
        <v>0</v>
      </c>
      <c r="AB502">
        <f t="shared" si="31"/>
        <v>0</v>
      </c>
      <c r="AC502">
        <f t="shared" si="31"/>
        <v>0</v>
      </c>
      <c r="AD502">
        <f t="shared" si="31"/>
        <v>0</v>
      </c>
      <c r="AE502">
        <f t="shared" si="31"/>
        <v>0</v>
      </c>
      <c r="AF502">
        <f t="shared" si="31"/>
        <v>0</v>
      </c>
      <c r="AG502">
        <f t="shared" si="31"/>
        <v>0</v>
      </c>
      <c r="AH502">
        <f t="shared" si="31"/>
        <v>0</v>
      </c>
      <c r="AI502">
        <f t="shared" si="31"/>
        <v>0</v>
      </c>
      <c r="AJ502">
        <f t="shared" si="31"/>
        <v>0</v>
      </c>
      <c r="AK502">
        <f t="shared" si="31"/>
        <v>0</v>
      </c>
    </row>
    <row r="503" spans="1:37" x14ac:dyDescent="0.2">
      <c r="A503" t="str">
        <f t="shared" si="30"/>
        <v>301_银行机构</v>
      </c>
    </row>
    <row r="504" spans="1:37" x14ac:dyDescent="0.2">
      <c r="A504" t="str">
        <f t="shared" si="30"/>
        <v>301_银行机构</v>
      </c>
    </row>
    <row r="505" spans="1:37" x14ac:dyDescent="0.2">
      <c r="A505" t="str">
        <f t="shared" si="30"/>
        <v>301_银行机构</v>
      </c>
    </row>
    <row r="506" spans="1:37" x14ac:dyDescent="0.2">
      <c r="A506" t="str">
        <f t="shared" si="30"/>
        <v>301_银行机构</v>
      </c>
    </row>
    <row r="507" spans="1:37" x14ac:dyDescent="0.2">
      <c r="A507" t="str">
        <f t="shared" si="30"/>
        <v>301_银行机构</v>
      </c>
    </row>
    <row r="508" spans="1:37" x14ac:dyDescent="0.2">
      <c r="A508" t="str">
        <f t="shared" si="30"/>
        <v>301_银行机构</v>
      </c>
    </row>
    <row r="509" spans="1:37" x14ac:dyDescent="0.2">
      <c r="A509" t="str">
        <f t="shared" si="30"/>
        <v>301_银行机构</v>
      </c>
    </row>
    <row r="510" spans="1:37" x14ac:dyDescent="0.2">
      <c r="A510" t="str">
        <f t="shared" si="30"/>
        <v>301_银行机构</v>
      </c>
    </row>
    <row r="511" spans="1:37" x14ac:dyDescent="0.2">
      <c r="A511" t="str">
        <f t="shared" si="30"/>
        <v>301_银行机构</v>
      </c>
    </row>
    <row r="512" spans="1:37" x14ac:dyDescent="0.2">
      <c r="A512" t="str">
        <f t="shared" si="30"/>
        <v>301_银行机构</v>
      </c>
    </row>
    <row r="513" spans="1:1" x14ac:dyDescent="0.2">
      <c r="A513" t="str">
        <f t="shared" si="30"/>
        <v>301_银行机构</v>
      </c>
    </row>
    <row r="514" spans="1:1" x14ac:dyDescent="0.2">
      <c r="A514" t="str">
        <f t="shared" si="30"/>
        <v>301_银行机构</v>
      </c>
    </row>
    <row r="515" spans="1:1" x14ac:dyDescent="0.2">
      <c r="A515" t="str">
        <f t="shared" si="30"/>
        <v>301_银行机构</v>
      </c>
    </row>
    <row r="516" spans="1:1" x14ac:dyDescent="0.2">
      <c r="A516" t="str">
        <f t="shared" si="30"/>
        <v>301_银行机构</v>
      </c>
    </row>
    <row r="517" spans="1:1" x14ac:dyDescent="0.2">
      <c r="A517" t="str">
        <f t="shared" si="30"/>
        <v>301_银行机构</v>
      </c>
    </row>
    <row r="518" spans="1:1" x14ac:dyDescent="0.2">
      <c r="A518" t="str">
        <f t="shared" si="30"/>
        <v>301_银行机构</v>
      </c>
    </row>
    <row r="519" spans="1:1" x14ac:dyDescent="0.2">
      <c r="A519" t="str">
        <f t="shared" si="30"/>
        <v>301_银行机构</v>
      </c>
    </row>
    <row r="520" spans="1:1" x14ac:dyDescent="0.2">
      <c r="A520" t="str">
        <f t="shared" si="30"/>
        <v>301_银行机构</v>
      </c>
    </row>
    <row r="521" spans="1:1" x14ac:dyDescent="0.2">
      <c r="A521" t="str">
        <f t="shared" si="30"/>
        <v>301_银行机构</v>
      </c>
    </row>
    <row r="522" spans="1:1" x14ac:dyDescent="0.2">
      <c r="A522" t="str">
        <f t="shared" si="30"/>
        <v>301_银行机构</v>
      </c>
    </row>
    <row r="523" spans="1:1" x14ac:dyDescent="0.2">
      <c r="A523" t="str">
        <f t="shared" si="30"/>
        <v>301_银行机构</v>
      </c>
    </row>
    <row r="524" spans="1:1" x14ac:dyDescent="0.2">
      <c r="A524" t="str">
        <f t="shared" si="30"/>
        <v>301_银行机构</v>
      </c>
    </row>
    <row r="525" spans="1:1" x14ac:dyDescent="0.2">
      <c r="A525" t="str">
        <f t="shared" si="30"/>
        <v>301_银行机构</v>
      </c>
    </row>
    <row r="526" spans="1:1" x14ac:dyDescent="0.2">
      <c r="A526" t="str">
        <f t="shared" si="30"/>
        <v>301_银行机构</v>
      </c>
    </row>
    <row r="527" spans="1:1" x14ac:dyDescent="0.2">
      <c r="A527" t="str">
        <f t="shared" si="30"/>
        <v>301_银行机构</v>
      </c>
    </row>
    <row r="528" spans="1:1" x14ac:dyDescent="0.2">
      <c r="A528" t="str">
        <f t="shared" si="30"/>
        <v>301_银行机构</v>
      </c>
    </row>
    <row r="529" spans="1:1" x14ac:dyDescent="0.2">
      <c r="A529" t="str">
        <f t="shared" si="30"/>
        <v>301_银行机构</v>
      </c>
    </row>
    <row r="530" spans="1:1" x14ac:dyDescent="0.2">
      <c r="A530" t="str">
        <f t="shared" si="30"/>
        <v>301_银行机构</v>
      </c>
    </row>
    <row r="531" spans="1:1" x14ac:dyDescent="0.2">
      <c r="A531" t="str">
        <f t="shared" si="30"/>
        <v>301_银行机构</v>
      </c>
    </row>
    <row r="532" spans="1:1" x14ac:dyDescent="0.2">
      <c r="A532" t="str">
        <f t="shared" si="30"/>
        <v>301_银行机构</v>
      </c>
    </row>
    <row r="533" spans="1:1" x14ac:dyDescent="0.2">
      <c r="A533" t="str">
        <f t="shared" si="30"/>
        <v>301_银行机构</v>
      </c>
    </row>
    <row r="534" spans="1:1" x14ac:dyDescent="0.2">
      <c r="A534" t="str">
        <f t="shared" ref="A534:A550" si="32">A533</f>
        <v>301_银行机构</v>
      </c>
    </row>
    <row r="535" spans="1:1" x14ac:dyDescent="0.2">
      <c r="A535" t="str">
        <f t="shared" si="32"/>
        <v>301_银行机构</v>
      </c>
    </row>
    <row r="536" spans="1:1" x14ac:dyDescent="0.2">
      <c r="A536" t="str">
        <f t="shared" si="32"/>
        <v>301_银行机构</v>
      </c>
    </row>
    <row r="537" spans="1:1" x14ac:dyDescent="0.2">
      <c r="A537" t="str">
        <f t="shared" si="32"/>
        <v>301_银行机构</v>
      </c>
    </row>
    <row r="538" spans="1:1" x14ac:dyDescent="0.2">
      <c r="A538" t="str">
        <f t="shared" si="32"/>
        <v>301_银行机构</v>
      </c>
    </row>
    <row r="539" spans="1:1" x14ac:dyDescent="0.2">
      <c r="A539" t="str">
        <f t="shared" si="32"/>
        <v>301_银行机构</v>
      </c>
    </row>
    <row r="540" spans="1:1" x14ac:dyDescent="0.2">
      <c r="A540" t="str">
        <f t="shared" si="32"/>
        <v>301_银行机构</v>
      </c>
    </row>
    <row r="541" spans="1:1" x14ac:dyDescent="0.2">
      <c r="A541" t="str">
        <f t="shared" si="32"/>
        <v>301_银行机构</v>
      </c>
    </row>
    <row r="542" spans="1:1" x14ac:dyDescent="0.2">
      <c r="A542" t="str">
        <f t="shared" si="32"/>
        <v>301_银行机构</v>
      </c>
    </row>
    <row r="543" spans="1:1" x14ac:dyDescent="0.2">
      <c r="A543" t="str">
        <f t="shared" si="32"/>
        <v>301_银行机构</v>
      </c>
    </row>
    <row r="544" spans="1:1" x14ac:dyDescent="0.2">
      <c r="A544" t="str">
        <f t="shared" si="32"/>
        <v>301_银行机构</v>
      </c>
    </row>
    <row r="545" spans="1:37" x14ac:dyDescent="0.2">
      <c r="A545" t="str">
        <f t="shared" si="32"/>
        <v>301_银行机构</v>
      </c>
    </row>
    <row r="546" spans="1:37" x14ac:dyDescent="0.2">
      <c r="A546" t="str">
        <f t="shared" si="32"/>
        <v>301_银行机构</v>
      </c>
    </row>
    <row r="547" spans="1:37" x14ac:dyDescent="0.2">
      <c r="A547" t="str">
        <f t="shared" si="32"/>
        <v>301_银行机构</v>
      </c>
    </row>
    <row r="548" spans="1:37" x14ac:dyDescent="0.2">
      <c r="A548" t="str">
        <f t="shared" si="32"/>
        <v>301_银行机构</v>
      </c>
    </row>
    <row r="549" spans="1:37" x14ac:dyDescent="0.2">
      <c r="A549" t="str">
        <f t="shared" si="32"/>
        <v>301_银行机构</v>
      </c>
    </row>
    <row r="550" spans="1:37" x14ac:dyDescent="0.2">
      <c r="A550" t="str">
        <f t="shared" si="32"/>
        <v>301_银行机构</v>
      </c>
    </row>
    <row r="551" spans="1:37" x14ac:dyDescent="0.2">
      <c r="A551" t="str">
        <f>VLOOKUP("保险机构",表_首次要关键词[[#All],[首要关键词]:[排序]],2,0)&amp;"_保险机构"</f>
        <v>302_保险机构</v>
      </c>
    </row>
    <row r="552" spans="1:37" x14ac:dyDescent="0.2">
      <c r="A552" t="str">
        <f t="shared" ref="A552:A583" si="33">A551</f>
        <v>302_保险机构</v>
      </c>
      <c r="B552">
        <f t="shared" ref="B552:AK552" si="34">COUNTIFS(B553:B599,"&lt;&gt;")</f>
        <v>0</v>
      </c>
      <c r="C552">
        <f t="shared" si="34"/>
        <v>0</v>
      </c>
      <c r="D552">
        <f t="shared" si="34"/>
        <v>0</v>
      </c>
      <c r="E552">
        <f t="shared" si="34"/>
        <v>0</v>
      </c>
      <c r="F552">
        <f t="shared" si="34"/>
        <v>0</v>
      </c>
      <c r="G552">
        <f t="shared" si="34"/>
        <v>0</v>
      </c>
      <c r="H552">
        <f t="shared" si="34"/>
        <v>0</v>
      </c>
      <c r="I552">
        <f t="shared" si="34"/>
        <v>0</v>
      </c>
      <c r="J552">
        <f t="shared" si="34"/>
        <v>0</v>
      </c>
      <c r="K552">
        <f t="shared" si="34"/>
        <v>0</v>
      </c>
      <c r="L552">
        <f t="shared" si="34"/>
        <v>0</v>
      </c>
      <c r="M552">
        <f t="shared" si="34"/>
        <v>0</v>
      </c>
      <c r="N552">
        <f t="shared" si="34"/>
        <v>0</v>
      </c>
      <c r="O552">
        <f t="shared" si="34"/>
        <v>0</v>
      </c>
      <c r="P552">
        <f t="shared" si="34"/>
        <v>0</v>
      </c>
      <c r="Q552">
        <f t="shared" si="34"/>
        <v>0</v>
      </c>
      <c r="R552">
        <f t="shared" si="34"/>
        <v>0</v>
      </c>
      <c r="S552">
        <f t="shared" si="34"/>
        <v>0</v>
      </c>
      <c r="T552">
        <f t="shared" si="34"/>
        <v>0</v>
      </c>
      <c r="U552">
        <f t="shared" si="34"/>
        <v>0</v>
      </c>
      <c r="V552">
        <f t="shared" si="34"/>
        <v>0</v>
      </c>
      <c r="W552">
        <f t="shared" si="34"/>
        <v>0</v>
      </c>
      <c r="X552">
        <f t="shared" si="34"/>
        <v>0</v>
      </c>
      <c r="Y552">
        <f t="shared" si="34"/>
        <v>0</v>
      </c>
      <c r="Z552">
        <f t="shared" si="34"/>
        <v>0</v>
      </c>
      <c r="AA552">
        <f t="shared" si="34"/>
        <v>0</v>
      </c>
      <c r="AB552">
        <f t="shared" si="34"/>
        <v>0</v>
      </c>
      <c r="AC552">
        <f t="shared" si="34"/>
        <v>0</v>
      </c>
      <c r="AD552">
        <f t="shared" si="34"/>
        <v>0</v>
      </c>
      <c r="AE552">
        <f t="shared" si="34"/>
        <v>0</v>
      </c>
      <c r="AF552">
        <f t="shared" si="34"/>
        <v>0</v>
      </c>
      <c r="AG552">
        <f t="shared" si="34"/>
        <v>0</v>
      </c>
      <c r="AH552">
        <f t="shared" si="34"/>
        <v>0</v>
      </c>
      <c r="AI552">
        <f t="shared" si="34"/>
        <v>0</v>
      </c>
      <c r="AJ552">
        <f t="shared" si="34"/>
        <v>0</v>
      </c>
      <c r="AK552">
        <f t="shared" si="34"/>
        <v>0</v>
      </c>
    </row>
    <row r="553" spans="1:37" x14ac:dyDescent="0.2">
      <c r="A553" t="str">
        <f t="shared" si="33"/>
        <v>302_保险机构</v>
      </c>
    </row>
    <row r="554" spans="1:37" x14ac:dyDescent="0.2">
      <c r="A554" t="str">
        <f t="shared" si="33"/>
        <v>302_保险机构</v>
      </c>
    </row>
    <row r="555" spans="1:37" x14ac:dyDescent="0.2">
      <c r="A555" t="str">
        <f t="shared" si="33"/>
        <v>302_保险机构</v>
      </c>
    </row>
    <row r="556" spans="1:37" x14ac:dyDescent="0.2">
      <c r="A556" t="str">
        <f t="shared" si="33"/>
        <v>302_保险机构</v>
      </c>
    </row>
    <row r="557" spans="1:37" x14ac:dyDescent="0.2">
      <c r="A557" t="str">
        <f t="shared" si="33"/>
        <v>302_保险机构</v>
      </c>
    </row>
    <row r="558" spans="1:37" x14ac:dyDescent="0.2">
      <c r="A558" t="str">
        <f t="shared" si="33"/>
        <v>302_保险机构</v>
      </c>
    </row>
    <row r="559" spans="1:37" x14ac:dyDescent="0.2">
      <c r="A559" t="str">
        <f t="shared" si="33"/>
        <v>302_保险机构</v>
      </c>
    </row>
    <row r="560" spans="1:37" x14ac:dyDescent="0.2">
      <c r="A560" t="str">
        <f t="shared" si="33"/>
        <v>302_保险机构</v>
      </c>
    </row>
    <row r="561" spans="1:1" x14ac:dyDescent="0.2">
      <c r="A561" t="str">
        <f t="shared" si="33"/>
        <v>302_保险机构</v>
      </c>
    </row>
    <row r="562" spans="1:1" x14ac:dyDescent="0.2">
      <c r="A562" t="str">
        <f t="shared" si="33"/>
        <v>302_保险机构</v>
      </c>
    </row>
    <row r="563" spans="1:1" x14ac:dyDescent="0.2">
      <c r="A563" t="str">
        <f t="shared" si="33"/>
        <v>302_保险机构</v>
      </c>
    </row>
    <row r="564" spans="1:1" x14ac:dyDescent="0.2">
      <c r="A564" t="str">
        <f t="shared" si="33"/>
        <v>302_保险机构</v>
      </c>
    </row>
    <row r="565" spans="1:1" x14ac:dyDescent="0.2">
      <c r="A565" t="str">
        <f t="shared" si="33"/>
        <v>302_保险机构</v>
      </c>
    </row>
    <row r="566" spans="1:1" x14ac:dyDescent="0.2">
      <c r="A566" t="str">
        <f t="shared" si="33"/>
        <v>302_保险机构</v>
      </c>
    </row>
    <row r="567" spans="1:1" x14ac:dyDescent="0.2">
      <c r="A567" t="str">
        <f t="shared" si="33"/>
        <v>302_保险机构</v>
      </c>
    </row>
    <row r="568" spans="1:1" x14ac:dyDescent="0.2">
      <c r="A568" t="str">
        <f t="shared" si="33"/>
        <v>302_保险机构</v>
      </c>
    </row>
    <row r="569" spans="1:1" x14ac:dyDescent="0.2">
      <c r="A569" t="str">
        <f t="shared" si="33"/>
        <v>302_保险机构</v>
      </c>
    </row>
    <row r="570" spans="1:1" x14ac:dyDescent="0.2">
      <c r="A570" t="str">
        <f t="shared" si="33"/>
        <v>302_保险机构</v>
      </c>
    </row>
    <row r="571" spans="1:1" x14ac:dyDescent="0.2">
      <c r="A571" t="str">
        <f t="shared" si="33"/>
        <v>302_保险机构</v>
      </c>
    </row>
    <row r="572" spans="1:1" x14ac:dyDescent="0.2">
      <c r="A572" t="str">
        <f t="shared" si="33"/>
        <v>302_保险机构</v>
      </c>
    </row>
    <row r="573" spans="1:1" x14ac:dyDescent="0.2">
      <c r="A573" t="str">
        <f t="shared" si="33"/>
        <v>302_保险机构</v>
      </c>
    </row>
    <row r="574" spans="1:1" x14ac:dyDescent="0.2">
      <c r="A574" t="str">
        <f t="shared" si="33"/>
        <v>302_保险机构</v>
      </c>
    </row>
    <row r="575" spans="1:1" x14ac:dyDescent="0.2">
      <c r="A575" t="str">
        <f t="shared" si="33"/>
        <v>302_保险机构</v>
      </c>
    </row>
    <row r="576" spans="1:1" x14ac:dyDescent="0.2">
      <c r="A576" t="str">
        <f t="shared" si="33"/>
        <v>302_保险机构</v>
      </c>
    </row>
    <row r="577" spans="1:1" x14ac:dyDescent="0.2">
      <c r="A577" t="str">
        <f t="shared" si="33"/>
        <v>302_保险机构</v>
      </c>
    </row>
    <row r="578" spans="1:1" x14ac:dyDescent="0.2">
      <c r="A578" t="str">
        <f t="shared" si="33"/>
        <v>302_保险机构</v>
      </c>
    </row>
    <row r="579" spans="1:1" x14ac:dyDescent="0.2">
      <c r="A579" t="str">
        <f t="shared" si="33"/>
        <v>302_保险机构</v>
      </c>
    </row>
    <row r="580" spans="1:1" x14ac:dyDescent="0.2">
      <c r="A580" t="str">
        <f t="shared" si="33"/>
        <v>302_保险机构</v>
      </c>
    </row>
    <row r="581" spans="1:1" x14ac:dyDescent="0.2">
      <c r="A581" t="str">
        <f t="shared" si="33"/>
        <v>302_保险机构</v>
      </c>
    </row>
    <row r="582" spans="1:1" x14ac:dyDescent="0.2">
      <c r="A582" t="str">
        <f t="shared" si="33"/>
        <v>302_保险机构</v>
      </c>
    </row>
    <row r="583" spans="1:1" x14ac:dyDescent="0.2">
      <c r="A583" t="str">
        <f t="shared" si="33"/>
        <v>302_保险机构</v>
      </c>
    </row>
    <row r="584" spans="1:1" x14ac:dyDescent="0.2">
      <c r="A584" t="str">
        <f t="shared" ref="A584:A600" si="35">A583</f>
        <v>302_保险机构</v>
      </c>
    </row>
    <row r="585" spans="1:1" x14ac:dyDescent="0.2">
      <c r="A585" t="str">
        <f t="shared" si="35"/>
        <v>302_保险机构</v>
      </c>
    </row>
    <row r="586" spans="1:1" x14ac:dyDescent="0.2">
      <c r="A586" t="str">
        <f t="shared" si="35"/>
        <v>302_保险机构</v>
      </c>
    </row>
    <row r="587" spans="1:1" x14ac:dyDescent="0.2">
      <c r="A587" t="str">
        <f t="shared" si="35"/>
        <v>302_保险机构</v>
      </c>
    </row>
    <row r="588" spans="1:1" x14ac:dyDescent="0.2">
      <c r="A588" t="str">
        <f t="shared" si="35"/>
        <v>302_保险机构</v>
      </c>
    </row>
    <row r="589" spans="1:1" x14ac:dyDescent="0.2">
      <c r="A589" t="str">
        <f t="shared" si="35"/>
        <v>302_保险机构</v>
      </c>
    </row>
    <row r="590" spans="1:1" x14ac:dyDescent="0.2">
      <c r="A590" t="str">
        <f t="shared" si="35"/>
        <v>302_保险机构</v>
      </c>
    </row>
    <row r="591" spans="1:1" x14ac:dyDescent="0.2">
      <c r="A591" t="str">
        <f t="shared" si="35"/>
        <v>302_保险机构</v>
      </c>
    </row>
    <row r="592" spans="1:1" x14ac:dyDescent="0.2">
      <c r="A592" t="str">
        <f t="shared" si="35"/>
        <v>302_保险机构</v>
      </c>
    </row>
    <row r="593" spans="1:37" x14ac:dyDescent="0.2">
      <c r="A593" t="str">
        <f t="shared" si="35"/>
        <v>302_保险机构</v>
      </c>
    </row>
    <row r="594" spans="1:37" x14ac:dyDescent="0.2">
      <c r="A594" t="str">
        <f t="shared" si="35"/>
        <v>302_保险机构</v>
      </c>
    </row>
    <row r="595" spans="1:37" x14ac:dyDescent="0.2">
      <c r="A595" t="str">
        <f t="shared" si="35"/>
        <v>302_保险机构</v>
      </c>
    </row>
    <row r="596" spans="1:37" x14ac:dyDescent="0.2">
      <c r="A596" t="str">
        <f t="shared" si="35"/>
        <v>302_保险机构</v>
      </c>
    </row>
    <row r="597" spans="1:37" x14ac:dyDescent="0.2">
      <c r="A597" t="str">
        <f t="shared" si="35"/>
        <v>302_保险机构</v>
      </c>
    </row>
    <row r="598" spans="1:37" x14ac:dyDescent="0.2">
      <c r="A598" t="str">
        <f t="shared" si="35"/>
        <v>302_保险机构</v>
      </c>
    </row>
    <row r="599" spans="1:37" x14ac:dyDescent="0.2">
      <c r="A599" t="str">
        <f t="shared" si="35"/>
        <v>302_保险机构</v>
      </c>
    </row>
    <row r="600" spans="1:37" x14ac:dyDescent="0.2">
      <c r="A600" t="str">
        <f t="shared" si="35"/>
        <v>302_保险机构</v>
      </c>
    </row>
    <row r="601" spans="1:37" x14ac:dyDescent="0.2">
      <c r="A601" t="str">
        <f>VLOOKUP("证券机构",表_首次要关键词[[#All],[首要关键词]:[排序]],2,0)&amp;"_证券机构"</f>
        <v>303_证券机构</v>
      </c>
    </row>
    <row r="602" spans="1:37" x14ac:dyDescent="0.2">
      <c r="A602" t="str">
        <f t="shared" ref="A602:A633" si="36">A601</f>
        <v>303_证券机构</v>
      </c>
      <c r="B602">
        <f t="shared" ref="B602:AK602" si="37">COUNTIFS(B603:B649,"&lt;&gt;")</f>
        <v>0</v>
      </c>
      <c r="C602">
        <f t="shared" si="37"/>
        <v>0</v>
      </c>
      <c r="D602">
        <f t="shared" si="37"/>
        <v>0</v>
      </c>
      <c r="E602">
        <f t="shared" si="37"/>
        <v>0</v>
      </c>
      <c r="F602">
        <f t="shared" si="37"/>
        <v>0</v>
      </c>
      <c r="G602">
        <f t="shared" si="37"/>
        <v>0</v>
      </c>
      <c r="H602">
        <f t="shared" si="37"/>
        <v>0</v>
      </c>
      <c r="I602">
        <f t="shared" si="37"/>
        <v>0</v>
      </c>
      <c r="J602">
        <f t="shared" si="37"/>
        <v>0</v>
      </c>
      <c r="K602">
        <f t="shared" si="37"/>
        <v>0</v>
      </c>
      <c r="L602">
        <f t="shared" si="37"/>
        <v>0</v>
      </c>
      <c r="M602">
        <f t="shared" si="37"/>
        <v>0</v>
      </c>
      <c r="N602">
        <f t="shared" si="37"/>
        <v>0</v>
      </c>
      <c r="O602">
        <f t="shared" si="37"/>
        <v>0</v>
      </c>
      <c r="P602">
        <f t="shared" si="37"/>
        <v>0</v>
      </c>
      <c r="Q602">
        <f t="shared" si="37"/>
        <v>0</v>
      </c>
      <c r="R602">
        <f t="shared" si="37"/>
        <v>0</v>
      </c>
      <c r="S602">
        <f t="shared" si="37"/>
        <v>0</v>
      </c>
      <c r="T602">
        <f t="shared" si="37"/>
        <v>0</v>
      </c>
      <c r="U602">
        <f t="shared" si="37"/>
        <v>0</v>
      </c>
      <c r="V602">
        <f t="shared" si="37"/>
        <v>0</v>
      </c>
      <c r="W602">
        <f t="shared" si="37"/>
        <v>0</v>
      </c>
      <c r="X602">
        <f t="shared" si="37"/>
        <v>0</v>
      </c>
      <c r="Y602">
        <f t="shared" si="37"/>
        <v>0</v>
      </c>
      <c r="Z602">
        <f t="shared" si="37"/>
        <v>0</v>
      </c>
      <c r="AA602">
        <f t="shared" si="37"/>
        <v>0</v>
      </c>
      <c r="AB602">
        <f t="shared" si="37"/>
        <v>0</v>
      </c>
      <c r="AC602">
        <f t="shared" si="37"/>
        <v>0</v>
      </c>
      <c r="AD602">
        <f t="shared" si="37"/>
        <v>0</v>
      </c>
      <c r="AE602">
        <f t="shared" si="37"/>
        <v>0</v>
      </c>
      <c r="AF602">
        <f t="shared" si="37"/>
        <v>0</v>
      </c>
      <c r="AG602">
        <f t="shared" si="37"/>
        <v>0</v>
      </c>
      <c r="AH602">
        <f t="shared" si="37"/>
        <v>0</v>
      </c>
      <c r="AI602">
        <f t="shared" si="37"/>
        <v>0</v>
      </c>
      <c r="AJ602">
        <f t="shared" si="37"/>
        <v>0</v>
      </c>
      <c r="AK602">
        <f t="shared" si="37"/>
        <v>0</v>
      </c>
    </row>
    <row r="603" spans="1:37" x14ac:dyDescent="0.2">
      <c r="A603" t="str">
        <f t="shared" si="36"/>
        <v>303_证券机构</v>
      </c>
    </row>
    <row r="604" spans="1:37" x14ac:dyDescent="0.2">
      <c r="A604" t="str">
        <f t="shared" si="36"/>
        <v>303_证券机构</v>
      </c>
    </row>
    <row r="605" spans="1:37" x14ac:dyDescent="0.2">
      <c r="A605" t="str">
        <f t="shared" si="36"/>
        <v>303_证券机构</v>
      </c>
    </row>
    <row r="606" spans="1:37" x14ac:dyDescent="0.2">
      <c r="A606" t="str">
        <f t="shared" si="36"/>
        <v>303_证券机构</v>
      </c>
    </row>
    <row r="607" spans="1:37" x14ac:dyDescent="0.2">
      <c r="A607" t="str">
        <f t="shared" si="36"/>
        <v>303_证券机构</v>
      </c>
    </row>
    <row r="608" spans="1:37" x14ac:dyDescent="0.2">
      <c r="A608" t="str">
        <f t="shared" si="36"/>
        <v>303_证券机构</v>
      </c>
    </row>
    <row r="609" spans="1:1" x14ac:dyDescent="0.2">
      <c r="A609" t="str">
        <f t="shared" si="36"/>
        <v>303_证券机构</v>
      </c>
    </row>
    <row r="610" spans="1:1" x14ac:dyDescent="0.2">
      <c r="A610" t="str">
        <f t="shared" si="36"/>
        <v>303_证券机构</v>
      </c>
    </row>
    <row r="611" spans="1:1" x14ac:dyDescent="0.2">
      <c r="A611" t="str">
        <f t="shared" si="36"/>
        <v>303_证券机构</v>
      </c>
    </row>
    <row r="612" spans="1:1" x14ac:dyDescent="0.2">
      <c r="A612" t="str">
        <f t="shared" si="36"/>
        <v>303_证券机构</v>
      </c>
    </row>
    <row r="613" spans="1:1" x14ac:dyDescent="0.2">
      <c r="A613" t="str">
        <f t="shared" si="36"/>
        <v>303_证券机构</v>
      </c>
    </row>
    <row r="614" spans="1:1" x14ac:dyDescent="0.2">
      <c r="A614" t="str">
        <f t="shared" si="36"/>
        <v>303_证券机构</v>
      </c>
    </row>
    <row r="615" spans="1:1" x14ac:dyDescent="0.2">
      <c r="A615" t="str">
        <f t="shared" si="36"/>
        <v>303_证券机构</v>
      </c>
    </row>
    <row r="616" spans="1:1" x14ac:dyDescent="0.2">
      <c r="A616" t="str">
        <f t="shared" si="36"/>
        <v>303_证券机构</v>
      </c>
    </row>
    <row r="617" spans="1:1" x14ac:dyDescent="0.2">
      <c r="A617" t="str">
        <f t="shared" si="36"/>
        <v>303_证券机构</v>
      </c>
    </row>
    <row r="618" spans="1:1" x14ac:dyDescent="0.2">
      <c r="A618" t="str">
        <f t="shared" si="36"/>
        <v>303_证券机构</v>
      </c>
    </row>
    <row r="619" spans="1:1" x14ac:dyDescent="0.2">
      <c r="A619" t="str">
        <f t="shared" si="36"/>
        <v>303_证券机构</v>
      </c>
    </row>
    <row r="620" spans="1:1" x14ac:dyDescent="0.2">
      <c r="A620" t="str">
        <f t="shared" si="36"/>
        <v>303_证券机构</v>
      </c>
    </row>
    <row r="621" spans="1:1" x14ac:dyDescent="0.2">
      <c r="A621" t="str">
        <f t="shared" si="36"/>
        <v>303_证券机构</v>
      </c>
    </row>
    <row r="622" spans="1:1" x14ac:dyDescent="0.2">
      <c r="A622" t="str">
        <f t="shared" si="36"/>
        <v>303_证券机构</v>
      </c>
    </row>
    <row r="623" spans="1:1" x14ac:dyDescent="0.2">
      <c r="A623" t="str">
        <f t="shared" si="36"/>
        <v>303_证券机构</v>
      </c>
    </row>
    <row r="624" spans="1:1" x14ac:dyDescent="0.2">
      <c r="A624" t="str">
        <f t="shared" si="36"/>
        <v>303_证券机构</v>
      </c>
    </row>
    <row r="625" spans="1:1" x14ac:dyDescent="0.2">
      <c r="A625" t="str">
        <f t="shared" si="36"/>
        <v>303_证券机构</v>
      </c>
    </row>
    <row r="626" spans="1:1" x14ac:dyDescent="0.2">
      <c r="A626" t="str">
        <f t="shared" si="36"/>
        <v>303_证券机构</v>
      </c>
    </row>
    <row r="627" spans="1:1" x14ac:dyDescent="0.2">
      <c r="A627" t="str">
        <f t="shared" si="36"/>
        <v>303_证券机构</v>
      </c>
    </row>
    <row r="628" spans="1:1" x14ac:dyDescent="0.2">
      <c r="A628" t="str">
        <f t="shared" si="36"/>
        <v>303_证券机构</v>
      </c>
    </row>
    <row r="629" spans="1:1" x14ac:dyDescent="0.2">
      <c r="A629" t="str">
        <f t="shared" si="36"/>
        <v>303_证券机构</v>
      </c>
    </row>
    <row r="630" spans="1:1" x14ac:dyDescent="0.2">
      <c r="A630" t="str">
        <f t="shared" si="36"/>
        <v>303_证券机构</v>
      </c>
    </row>
    <row r="631" spans="1:1" x14ac:dyDescent="0.2">
      <c r="A631" t="str">
        <f t="shared" si="36"/>
        <v>303_证券机构</v>
      </c>
    </row>
    <row r="632" spans="1:1" x14ac:dyDescent="0.2">
      <c r="A632" t="str">
        <f t="shared" si="36"/>
        <v>303_证券机构</v>
      </c>
    </row>
    <row r="633" spans="1:1" x14ac:dyDescent="0.2">
      <c r="A633" t="str">
        <f t="shared" si="36"/>
        <v>303_证券机构</v>
      </c>
    </row>
    <row r="634" spans="1:1" x14ac:dyDescent="0.2">
      <c r="A634" t="str">
        <f t="shared" ref="A634:A650" si="38">A633</f>
        <v>303_证券机构</v>
      </c>
    </row>
    <row r="635" spans="1:1" x14ac:dyDescent="0.2">
      <c r="A635" t="str">
        <f t="shared" si="38"/>
        <v>303_证券机构</v>
      </c>
    </row>
    <row r="636" spans="1:1" x14ac:dyDescent="0.2">
      <c r="A636" t="str">
        <f t="shared" si="38"/>
        <v>303_证券机构</v>
      </c>
    </row>
    <row r="637" spans="1:1" x14ac:dyDescent="0.2">
      <c r="A637" t="str">
        <f t="shared" si="38"/>
        <v>303_证券机构</v>
      </c>
    </row>
    <row r="638" spans="1:1" x14ac:dyDescent="0.2">
      <c r="A638" t="str">
        <f t="shared" si="38"/>
        <v>303_证券机构</v>
      </c>
    </row>
    <row r="639" spans="1:1" x14ac:dyDescent="0.2">
      <c r="A639" t="str">
        <f t="shared" si="38"/>
        <v>303_证券机构</v>
      </c>
    </row>
    <row r="640" spans="1:1" x14ac:dyDescent="0.2">
      <c r="A640" t="str">
        <f t="shared" si="38"/>
        <v>303_证券机构</v>
      </c>
    </row>
    <row r="641" spans="1:37" x14ac:dyDescent="0.2">
      <c r="A641" t="str">
        <f t="shared" si="38"/>
        <v>303_证券机构</v>
      </c>
    </row>
    <row r="642" spans="1:37" x14ac:dyDescent="0.2">
      <c r="A642" t="str">
        <f t="shared" si="38"/>
        <v>303_证券机构</v>
      </c>
    </row>
    <row r="643" spans="1:37" x14ac:dyDescent="0.2">
      <c r="A643" t="str">
        <f t="shared" si="38"/>
        <v>303_证券机构</v>
      </c>
    </row>
    <row r="644" spans="1:37" x14ac:dyDescent="0.2">
      <c r="A644" t="str">
        <f t="shared" si="38"/>
        <v>303_证券机构</v>
      </c>
    </row>
    <row r="645" spans="1:37" x14ac:dyDescent="0.2">
      <c r="A645" t="str">
        <f t="shared" si="38"/>
        <v>303_证券机构</v>
      </c>
    </row>
    <row r="646" spans="1:37" x14ac:dyDescent="0.2">
      <c r="A646" t="str">
        <f t="shared" si="38"/>
        <v>303_证券机构</v>
      </c>
    </row>
    <row r="647" spans="1:37" x14ac:dyDescent="0.2">
      <c r="A647" t="str">
        <f t="shared" si="38"/>
        <v>303_证券机构</v>
      </c>
    </row>
    <row r="648" spans="1:37" x14ac:dyDescent="0.2">
      <c r="A648" t="str">
        <f t="shared" si="38"/>
        <v>303_证券机构</v>
      </c>
    </row>
    <row r="649" spans="1:37" x14ac:dyDescent="0.2">
      <c r="A649" t="str">
        <f t="shared" si="38"/>
        <v>303_证券机构</v>
      </c>
    </row>
    <row r="650" spans="1:37" x14ac:dyDescent="0.2">
      <c r="A650" t="str">
        <f t="shared" si="38"/>
        <v>303_证券机构</v>
      </c>
    </row>
    <row r="651" spans="1:37" x14ac:dyDescent="0.2">
      <c r="A651" t="str">
        <f>VLOOKUP("数字图书馆",表_首次要关键词[[#All],[首要关键词]:[排序]],2,0)&amp;"_数字图书馆"</f>
        <v>601_数字图书馆</v>
      </c>
    </row>
    <row r="652" spans="1:37" x14ac:dyDescent="0.2">
      <c r="A652" t="str">
        <f t="shared" ref="A652:A683" si="39">A651</f>
        <v>601_数字图书馆</v>
      </c>
      <c r="B652">
        <f t="shared" ref="B652:AK652" si="40">COUNTIFS(B653:B699,"&lt;&gt;")</f>
        <v>0</v>
      </c>
      <c r="C652">
        <f t="shared" si="40"/>
        <v>0</v>
      </c>
      <c r="D652">
        <f t="shared" si="40"/>
        <v>0</v>
      </c>
      <c r="E652">
        <f t="shared" si="40"/>
        <v>0</v>
      </c>
      <c r="F652">
        <f t="shared" si="40"/>
        <v>0</v>
      </c>
      <c r="G652">
        <f t="shared" si="40"/>
        <v>0</v>
      </c>
      <c r="H652">
        <f t="shared" si="40"/>
        <v>0</v>
      </c>
      <c r="I652">
        <f t="shared" si="40"/>
        <v>0</v>
      </c>
      <c r="J652">
        <f t="shared" si="40"/>
        <v>0</v>
      </c>
      <c r="K652">
        <f t="shared" si="40"/>
        <v>0</v>
      </c>
      <c r="L652">
        <f t="shared" si="40"/>
        <v>0</v>
      </c>
      <c r="M652">
        <f t="shared" si="40"/>
        <v>0</v>
      </c>
      <c r="N652">
        <f t="shared" si="40"/>
        <v>0</v>
      </c>
      <c r="O652">
        <f t="shared" si="40"/>
        <v>0</v>
      </c>
      <c r="P652">
        <f t="shared" si="40"/>
        <v>0</v>
      </c>
      <c r="Q652">
        <f t="shared" si="40"/>
        <v>0</v>
      </c>
      <c r="R652">
        <f t="shared" si="40"/>
        <v>0</v>
      </c>
      <c r="S652">
        <f t="shared" si="40"/>
        <v>0</v>
      </c>
      <c r="T652">
        <f t="shared" si="40"/>
        <v>0</v>
      </c>
      <c r="U652">
        <f t="shared" si="40"/>
        <v>0</v>
      </c>
      <c r="V652">
        <f t="shared" si="40"/>
        <v>0</v>
      </c>
      <c r="W652">
        <f t="shared" si="40"/>
        <v>0</v>
      </c>
      <c r="X652">
        <f t="shared" si="40"/>
        <v>0</v>
      </c>
      <c r="Y652">
        <f t="shared" si="40"/>
        <v>0</v>
      </c>
      <c r="Z652">
        <f t="shared" si="40"/>
        <v>0</v>
      </c>
      <c r="AA652">
        <f t="shared" si="40"/>
        <v>0</v>
      </c>
      <c r="AB652">
        <f t="shared" si="40"/>
        <v>0</v>
      </c>
      <c r="AC652">
        <f t="shared" si="40"/>
        <v>0</v>
      </c>
      <c r="AD652">
        <f t="shared" si="40"/>
        <v>0</v>
      </c>
      <c r="AE652">
        <f t="shared" si="40"/>
        <v>0</v>
      </c>
      <c r="AF652">
        <f t="shared" si="40"/>
        <v>0</v>
      </c>
      <c r="AG652">
        <f t="shared" si="40"/>
        <v>0</v>
      </c>
      <c r="AH652">
        <f t="shared" si="40"/>
        <v>0</v>
      </c>
      <c r="AI652">
        <f t="shared" si="40"/>
        <v>0</v>
      </c>
      <c r="AJ652">
        <f t="shared" si="40"/>
        <v>0</v>
      </c>
      <c r="AK652">
        <f t="shared" si="40"/>
        <v>0</v>
      </c>
    </row>
    <row r="653" spans="1:37" x14ac:dyDescent="0.2">
      <c r="A653" t="str">
        <f t="shared" si="39"/>
        <v>601_数字图书馆</v>
      </c>
    </row>
    <row r="654" spans="1:37" x14ac:dyDescent="0.2">
      <c r="A654" t="str">
        <f t="shared" si="39"/>
        <v>601_数字图书馆</v>
      </c>
    </row>
    <row r="655" spans="1:37" x14ac:dyDescent="0.2">
      <c r="A655" t="str">
        <f t="shared" si="39"/>
        <v>601_数字图书馆</v>
      </c>
    </row>
    <row r="656" spans="1:37" x14ac:dyDescent="0.2">
      <c r="A656" t="str">
        <f t="shared" si="39"/>
        <v>601_数字图书馆</v>
      </c>
    </row>
    <row r="657" spans="1:1" x14ac:dyDescent="0.2">
      <c r="A657" t="str">
        <f t="shared" si="39"/>
        <v>601_数字图书馆</v>
      </c>
    </row>
    <row r="658" spans="1:1" x14ac:dyDescent="0.2">
      <c r="A658" t="str">
        <f t="shared" si="39"/>
        <v>601_数字图书馆</v>
      </c>
    </row>
    <row r="659" spans="1:1" x14ac:dyDescent="0.2">
      <c r="A659" t="str">
        <f t="shared" si="39"/>
        <v>601_数字图书馆</v>
      </c>
    </row>
    <row r="660" spans="1:1" x14ac:dyDescent="0.2">
      <c r="A660" t="str">
        <f t="shared" si="39"/>
        <v>601_数字图书馆</v>
      </c>
    </row>
    <row r="661" spans="1:1" x14ac:dyDescent="0.2">
      <c r="A661" t="str">
        <f t="shared" si="39"/>
        <v>601_数字图书馆</v>
      </c>
    </row>
    <row r="662" spans="1:1" x14ac:dyDescent="0.2">
      <c r="A662" t="str">
        <f t="shared" si="39"/>
        <v>601_数字图书馆</v>
      </c>
    </row>
    <row r="663" spans="1:1" x14ac:dyDescent="0.2">
      <c r="A663" t="str">
        <f t="shared" si="39"/>
        <v>601_数字图书馆</v>
      </c>
    </row>
    <row r="664" spans="1:1" x14ac:dyDescent="0.2">
      <c r="A664" t="str">
        <f t="shared" si="39"/>
        <v>601_数字图书馆</v>
      </c>
    </row>
    <row r="665" spans="1:1" x14ac:dyDescent="0.2">
      <c r="A665" t="str">
        <f t="shared" si="39"/>
        <v>601_数字图书馆</v>
      </c>
    </row>
    <row r="666" spans="1:1" x14ac:dyDescent="0.2">
      <c r="A666" t="str">
        <f t="shared" si="39"/>
        <v>601_数字图书馆</v>
      </c>
    </row>
    <row r="667" spans="1:1" x14ac:dyDescent="0.2">
      <c r="A667" t="str">
        <f t="shared" si="39"/>
        <v>601_数字图书馆</v>
      </c>
    </row>
    <row r="668" spans="1:1" x14ac:dyDescent="0.2">
      <c r="A668" t="str">
        <f t="shared" si="39"/>
        <v>601_数字图书馆</v>
      </c>
    </row>
    <row r="669" spans="1:1" x14ac:dyDescent="0.2">
      <c r="A669" t="str">
        <f t="shared" si="39"/>
        <v>601_数字图书馆</v>
      </c>
    </row>
    <row r="670" spans="1:1" x14ac:dyDescent="0.2">
      <c r="A670" t="str">
        <f t="shared" si="39"/>
        <v>601_数字图书馆</v>
      </c>
    </row>
    <row r="671" spans="1:1" x14ac:dyDescent="0.2">
      <c r="A671" t="str">
        <f t="shared" si="39"/>
        <v>601_数字图书馆</v>
      </c>
    </row>
    <row r="672" spans="1:1" x14ac:dyDescent="0.2">
      <c r="A672" t="str">
        <f t="shared" si="39"/>
        <v>601_数字图书馆</v>
      </c>
    </row>
    <row r="673" spans="1:1" x14ac:dyDescent="0.2">
      <c r="A673" t="str">
        <f t="shared" si="39"/>
        <v>601_数字图书馆</v>
      </c>
    </row>
    <row r="674" spans="1:1" x14ac:dyDescent="0.2">
      <c r="A674" t="str">
        <f t="shared" si="39"/>
        <v>601_数字图书馆</v>
      </c>
    </row>
    <row r="675" spans="1:1" x14ac:dyDescent="0.2">
      <c r="A675" t="str">
        <f t="shared" si="39"/>
        <v>601_数字图书馆</v>
      </c>
    </row>
    <row r="676" spans="1:1" x14ac:dyDescent="0.2">
      <c r="A676" t="str">
        <f t="shared" si="39"/>
        <v>601_数字图书馆</v>
      </c>
    </row>
    <row r="677" spans="1:1" x14ac:dyDescent="0.2">
      <c r="A677" t="str">
        <f t="shared" si="39"/>
        <v>601_数字图书馆</v>
      </c>
    </row>
    <row r="678" spans="1:1" x14ac:dyDescent="0.2">
      <c r="A678" t="str">
        <f t="shared" si="39"/>
        <v>601_数字图书馆</v>
      </c>
    </row>
    <row r="679" spans="1:1" x14ac:dyDescent="0.2">
      <c r="A679" t="str">
        <f t="shared" si="39"/>
        <v>601_数字图书馆</v>
      </c>
    </row>
    <row r="680" spans="1:1" x14ac:dyDescent="0.2">
      <c r="A680" t="str">
        <f t="shared" si="39"/>
        <v>601_数字图书馆</v>
      </c>
    </row>
    <row r="681" spans="1:1" x14ac:dyDescent="0.2">
      <c r="A681" t="str">
        <f t="shared" si="39"/>
        <v>601_数字图书馆</v>
      </c>
    </row>
    <row r="682" spans="1:1" x14ac:dyDescent="0.2">
      <c r="A682" t="str">
        <f t="shared" si="39"/>
        <v>601_数字图书馆</v>
      </c>
    </row>
    <row r="683" spans="1:1" x14ac:dyDescent="0.2">
      <c r="A683" t="str">
        <f t="shared" si="39"/>
        <v>601_数字图书馆</v>
      </c>
    </row>
    <row r="684" spans="1:1" x14ac:dyDescent="0.2">
      <c r="A684" t="str">
        <f t="shared" ref="A684:A700" si="41">A683</f>
        <v>601_数字图书馆</v>
      </c>
    </row>
    <row r="685" spans="1:1" x14ac:dyDescent="0.2">
      <c r="A685" t="str">
        <f t="shared" si="41"/>
        <v>601_数字图书馆</v>
      </c>
    </row>
    <row r="686" spans="1:1" x14ac:dyDescent="0.2">
      <c r="A686" t="str">
        <f t="shared" si="41"/>
        <v>601_数字图书馆</v>
      </c>
    </row>
    <row r="687" spans="1:1" x14ac:dyDescent="0.2">
      <c r="A687" t="str">
        <f t="shared" si="41"/>
        <v>601_数字图书馆</v>
      </c>
    </row>
    <row r="688" spans="1:1" x14ac:dyDescent="0.2">
      <c r="A688" t="str">
        <f t="shared" si="41"/>
        <v>601_数字图书馆</v>
      </c>
    </row>
    <row r="689" spans="1:37" x14ac:dyDescent="0.2">
      <c r="A689" t="str">
        <f t="shared" si="41"/>
        <v>601_数字图书馆</v>
      </c>
    </row>
    <row r="690" spans="1:37" x14ac:dyDescent="0.2">
      <c r="A690" t="str">
        <f t="shared" si="41"/>
        <v>601_数字图书馆</v>
      </c>
    </row>
    <row r="691" spans="1:37" x14ac:dyDescent="0.2">
      <c r="A691" t="str">
        <f t="shared" si="41"/>
        <v>601_数字图书馆</v>
      </c>
    </row>
    <row r="692" spans="1:37" x14ac:dyDescent="0.2">
      <c r="A692" t="str">
        <f t="shared" si="41"/>
        <v>601_数字图书馆</v>
      </c>
    </row>
    <row r="693" spans="1:37" x14ac:dyDescent="0.2">
      <c r="A693" t="str">
        <f t="shared" si="41"/>
        <v>601_数字图书馆</v>
      </c>
    </row>
    <row r="694" spans="1:37" x14ac:dyDescent="0.2">
      <c r="A694" t="str">
        <f t="shared" si="41"/>
        <v>601_数字图书馆</v>
      </c>
    </row>
    <row r="695" spans="1:37" x14ac:dyDescent="0.2">
      <c r="A695" t="str">
        <f t="shared" si="41"/>
        <v>601_数字图书馆</v>
      </c>
    </row>
    <row r="696" spans="1:37" x14ac:dyDescent="0.2">
      <c r="A696" t="str">
        <f t="shared" si="41"/>
        <v>601_数字图书馆</v>
      </c>
    </row>
    <row r="697" spans="1:37" x14ac:dyDescent="0.2">
      <c r="A697" t="str">
        <f t="shared" si="41"/>
        <v>601_数字图书馆</v>
      </c>
    </row>
    <row r="698" spans="1:37" x14ac:dyDescent="0.2">
      <c r="A698" t="str">
        <f t="shared" si="41"/>
        <v>601_数字图书馆</v>
      </c>
    </row>
    <row r="699" spans="1:37" x14ac:dyDescent="0.2">
      <c r="A699" t="str">
        <f t="shared" si="41"/>
        <v>601_数字图书馆</v>
      </c>
    </row>
    <row r="700" spans="1:37" x14ac:dyDescent="0.2">
      <c r="A700" t="str">
        <f t="shared" si="41"/>
        <v>601_数字图书馆</v>
      </c>
    </row>
    <row r="701" spans="1:37" x14ac:dyDescent="0.2">
      <c r="A701" t="str">
        <f>VLOOKUP("数字博物馆",表_首次要关键词[[#All],[首要关键词]:[排序]],2,0)&amp;"_数字博物馆"</f>
        <v>602_数字博物馆</v>
      </c>
    </row>
    <row r="702" spans="1:37" x14ac:dyDescent="0.2">
      <c r="A702" t="str">
        <f t="shared" ref="A702:A733" si="42">A701</f>
        <v>602_数字博物馆</v>
      </c>
      <c r="B702">
        <f t="shared" ref="B702:AK702" si="43">COUNTIFS(B703:B749,"&lt;&gt;")</f>
        <v>0</v>
      </c>
      <c r="C702">
        <f t="shared" si="43"/>
        <v>0</v>
      </c>
      <c r="D702">
        <f t="shared" si="43"/>
        <v>0</v>
      </c>
      <c r="E702">
        <f t="shared" si="43"/>
        <v>0</v>
      </c>
      <c r="F702">
        <f t="shared" si="43"/>
        <v>0</v>
      </c>
      <c r="G702">
        <f t="shared" si="43"/>
        <v>0</v>
      </c>
      <c r="H702">
        <f t="shared" si="43"/>
        <v>0</v>
      </c>
      <c r="I702">
        <f t="shared" si="43"/>
        <v>0</v>
      </c>
      <c r="J702">
        <f t="shared" si="43"/>
        <v>0</v>
      </c>
      <c r="K702">
        <f t="shared" si="43"/>
        <v>0</v>
      </c>
      <c r="L702">
        <f t="shared" si="43"/>
        <v>0</v>
      </c>
      <c r="M702">
        <f t="shared" si="43"/>
        <v>0</v>
      </c>
      <c r="N702">
        <f t="shared" si="43"/>
        <v>0</v>
      </c>
      <c r="O702">
        <f t="shared" si="43"/>
        <v>0</v>
      </c>
      <c r="P702">
        <f t="shared" si="43"/>
        <v>0</v>
      </c>
      <c r="Q702">
        <f t="shared" si="43"/>
        <v>0</v>
      </c>
      <c r="R702">
        <f t="shared" si="43"/>
        <v>0</v>
      </c>
      <c r="S702">
        <f t="shared" si="43"/>
        <v>0</v>
      </c>
      <c r="T702">
        <f t="shared" si="43"/>
        <v>0</v>
      </c>
      <c r="U702">
        <f t="shared" si="43"/>
        <v>0</v>
      </c>
      <c r="V702">
        <f t="shared" si="43"/>
        <v>0</v>
      </c>
      <c r="W702">
        <f t="shared" si="43"/>
        <v>0</v>
      </c>
      <c r="X702">
        <f t="shared" si="43"/>
        <v>0</v>
      </c>
      <c r="Y702">
        <f t="shared" si="43"/>
        <v>0</v>
      </c>
      <c r="Z702">
        <f t="shared" si="43"/>
        <v>0</v>
      </c>
      <c r="AA702">
        <f t="shared" si="43"/>
        <v>0</v>
      </c>
      <c r="AB702">
        <f t="shared" si="43"/>
        <v>0</v>
      </c>
      <c r="AC702">
        <f t="shared" si="43"/>
        <v>0</v>
      </c>
      <c r="AD702">
        <f t="shared" si="43"/>
        <v>0</v>
      </c>
      <c r="AE702">
        <f t="shared" si="43"/>
        <v>0</v>
      </c>
      <c r="AF702">
        <f t="shared" si="43"/>
        <v>0</v>
      </c>
      <c r="AG702">
        <f t="shared" si="43"/>
        <v>0</v>
      </c>
      <c r="AH702">
        <f t="shared" si="43"/>
        <v>0</v>
      </c>
      <c r="AI702">
        <f t="shared" si="43"/>
        <v>0</v>
      </c>
      <c r="AJ702">
        <f t="shared" si="43"/>
        <v>0</v>
      </c>
      <c r="AK702">
        <f t="shared" si="43"/>
        <v>0</v>
      </c>
    </row>
    <row r="703" spans="1:37" x14ac:dyDescent="0.2">
      <c r="A703" t="str">
        <f t="shared" si="42"/>
        <v>602_数字博物馆</v>
      </c>
    </row>
    <row r="704" spans="1:37" x14ac:dyDescent="0.2">
      <c r="A704" t="str">
        <f t="shared" si="42"/>
        <v>602_数字博物馆</v>
      </c>
    </row>
    <row r="705" spans="1:1" x14ac:dyDescent="0.2">
      <c r="A705" t="str">
        <f t="shared" si="42"/>
        <v>602_数字博物馆</v>
      </c>
    </row>
    <row r="706" spans="1:1" x14ac:dyDescent="0.2">
      <c r="A706" t="str">
        <f t="shared" si="42"/>
        <v>602_数字博物馆</v>
      </c>
    </row>
    <row r="707" spans="1:1" x14ac:dyDescent="0.2">
      <c r="A707" t="str">
        <f t="shared" si="42"/>
        <v>602_数字博物馆</v>
      </c>
    </row>
    <row r="708" spans="1:1" x14ac:dyDescent="0.2">
      <c r="A708" t="str">
        <f t="shared" si="42"/>
        <v>602_数字博物馆</v>
      </c>
    </row>
    <row r="709" spans="1:1" x14ac:dyDescent="0.2">
      <c r="A709" t="str">
        <f t="shared" si="42"/>
        <v>602_数字博物馆</v>
      </c>
    </row>
    <row r="710" spans="1:1" x14ac:dyDescent="0.2">
      <c r="A710" t="str">
        <f t="shared" si="42"/>
        <v>602_数字博物馆</v>
      </c>
    </row>
    <row r="711" spans="1:1" x14ac:dyDescent="0.2">
      <c r="A711" t="str">
        <f t="shared" si="42"/>
        <v>602_数字博物馆</v>
      </c>
    </row>
    <row r="712" spans="1:1" x14ac:dyDescent="0.2">
      <c r="A712" t="str">
        <f t="shared" si="42"/>
        <v>602_数字博物馆</v>
      </c>
    </row>
    <row r="713" spans="1:1" x14ac:dyDescent="0.2">
      <c r="A713" t="str">
        <f t="shared" si="42"/>
        <v>602_数字博物馆</v>
      </c>
    </row>
    <row r="714" spans="1:1" x14ac:dyDescent="0.2">
      <c r="A714" t="str">
        <f t="shared" si="42"/>
        <v>602_数字博物馆</v>
      </c>
    </row>
    <row r="715" spans="1:1" x14ac:dyDescent="0.2">
      <c r="A715" t="str">
        <f t="shared" si="42"/>
        <v>602_数字博物馆</v>
      </c>
    </row>
    <row r="716" spans="1:1" x14ac:dyDescent="0.2">
      <c r="A716" t="str">
        <f t="shared" si="42"/>
        <v>602_数字博物馆</v>
      </c>
    </row>
    <row r="717" spans="1:1" x14ac:dyDescent="0.2">
      <c r="A717" t="str">
        <f t="shared" si="42"/>
        <v>602_数字博物馆</v>
      </c>
    </row>
    <row r="718" spans="1:1" x14ac:dyDescent="0.2">
      <c r="A718" t="str">
        <f t="shared" si="42"/>
        <v>602_数字博物馆</v>
      </c>
    </row>
    <row r="719" spans="1:1" x14ac:dyDescent="0.2">
      <c r="A719" t="str">
        <f t="shared" si="42"/>
        <v>602_数字博物馆</v>
      </c>
    </row>
    <row r="720" spans="1:1" x14ac:dyDescent="0.2">
      <c r="A720" t="str">
        <f t="shared" si="42"/>
        <v>602_数字博物馆</v>
      </c>
    </row>
    <row r="721" spans="1:1" x14ac:dyDescent="0.2">
      <c r="A721" t="str">
        <f t="shared" si="42"/>
        <v>602_数字博物馆</v>
      </c>
    </row>
    <row r="722" spans="1:1" x14ac:dyDescent="0.2">
      <c r="A722" t="str">
        <f t="shared" si="42"/>
        <v>602_数字博物馆</v>
      </c>
    </row>
    <row r="723" spans="1:1" x14ac:dyDescent="0.2">
      <c r="A723" t="str">
        <f t="shared" si="42"/>
        <v>602_数字博物馆</v>
      </c>
    </row>
    <row r="724" spans="1:1" x14ac:dyDescent="0.2">
      <c r="A724" t="str">
        <f t="shared" si="42"/>
        <v>602_数字博物馆</v>
      </c>
    </row>
    <row r="725" spans="1:1" x14ac:dyDescent="0.2">
      <c r="A725" t="str">
        <f t="shared" si="42"/>
        <v>602_数字博物馆</v>
      </c>
    </row>
    <row r="726" spans="1:1" x14ac:dyDescent="0.2">
      <c r="A726" t="str">
        <f t="shared" si="42"/>
        <v>602_数字博物馆</v>
      </c>
    </row>
    <row r="727" spans="1:1" x14ac:dyDescent="0.2">
      <c r="A727" t="str">
        <f t="shared" si="42"/>
        <v>602_数字博物馆</v>
      </c>
    </row>
    <row r="728" spans="1:1" x14ac:dyDescent="0.2">
      <c r="A728" t="str">
        <f t="shared" si="42"/>
        <v>602_数字博物馆</v>
      </c>
    </row>
    <row r="729" spans="1:1" x14ac:dyDescent="0.2">
      <c r="A729" t="str">
        <f t="shared" si="42"/>
        <v>602_数字博物馆</v>
      </c>
    </row>
    <row r="730" spans="1:1" x14ac:dyDescent="0.2">
      <c r="A730" t="str">
        <f t="shared" si="42"/>
        <v>602_数字博物馆</v>
      </c>
    </row>
    <row r="731" spans="1:1" x14ac:dyDescent="0.2">
      <c r="A731" t="str">
        <f t="shared" si="42"/>
        <v>602_数字博物馆</v>
      </c>
    </row>
    <row r="732" spans="1:1" x14ac:dyDescent="0.2">
      <c r="A732" t="str">
        <f t="shared" si="42"/>
        <v>602_数字博物馆</v>
      </c>
    </row>
    <row r="733" spans="1:1" x14ac:dyDescent="0.2">
      <c r="A733" t="str">
        <f t="shared" si="42"/>
        <v>602_数字博物馆</v>
      </c>
    </row>
    <row r="734" spans="1:1" x14ac:dyDescent="0.2">
      <c r="A734" t="str">
        <f t="shared" ref="A734:A750" si="44">A733</f>
        <v>602_数字博物馆</v>
      </c>
    </row>
    <row r="735" spans="1:1" x14ac:dyDescent="0.2">
      <c r="A735" t="str">
        <f t="shared" si="44"/>
        <v>602_数字博物馆</v>
      </c>
    </row>
    <row r="736" spans="1:1" x14ac:dyDescent="0.2">
      <c r="A736" t="str">
        <f t="shared" si="44"/>
        <v>602_数字博物馆</v>
      </c>
    </row>
    <row r="737" spans="1:37" x14ac:dyDescent="0.2">
      <c r="A737" t="str">
        <f t="shared" si="44"/>
        <v>602_数字博物馆</v>
      </c>
    </row>
    <row r="738" spans="1:37" x14ac:dyDescent="0.2">
      <c r="A738" t="str">
        <f t="shared" si="44"/>
        <v>602_数字博物馆</v>
      </c>
    </row>
    <row r="739" spans="1:37" x14ac:dyDescent="0.2">
      <c r="A739" t="str">
        <f t="shared" si="44"/>
        <v>602_数字博物馆</v>
      </c>
    </row>
    <row r="740" spans="1:37" x14ac:dyDescent="0.2">
      <c r="A740" t="str">
        <f t="shared" si="44"/>
        <v>602_数字博物馆</v>
      </c>
    </row>
    <row r="741" spans="1:37" x14ac:dyDescent="0.2">
      <c r="A741" t="str">
        <f t="shared" si="44"/>
        <v>602_数字博物馆</v>
      </c>
    </row>
    <row r="742" spans="1:37" x14ac:dyDescent="0.2">
      <c r="A742" t="str">
        <f t="shared" si="44"/>
        <v>602_数字博物馆</v>
      </c>
    </row>
    <row r="743" spans="1:37" x14ac:dyDescent="0.2">
      <c r="A743" t="str">
        <f t="shared" si="44"/>
        <v>602_数字博物馆</v>
      </c>
    </row>
    <row r="744" spans="1:37" x14ac:dyDescent="0.2">
      <c r="A744" t="str">
        <f t="shared" si="44"/>
        <v>602_数字博物馆</v>
      </c>
    </row>
    <row r="745" spans="1:37" x14ac:dyDescent="0.2">
      <c r="A745" t="str">
        <f t="shared" si="44"/>
        <v>602_数字博物馆</v>
      </c>
    </row>
    <row r="746" spans="1:37" x14ac:dyDescent="0.2">
      <c r="A746" t="str">
        <f t="shared" si="44"/>
        <v>602_数字博物馆</v>
      </c>
    </row>
    <row r="747" spans="1:37" x14ac:dyDescent="0.2">
      <c r="A747" t="str">
        <f t="shared" si="44"/>
        <v>602_数字博物馆</v>
      </c>
    </row>
    <row r="748" spans="1:37" x14ac:dyDescent="0.2">
      <c r="A748" t="str">
        <f t="shared" si="44"/>
        <v>602_数字博物馆</v>
      </c>
    </row>
    <row r="749" spans="1:37" x14ac:dyDescent="0.2">
      <c r="A749" t="str">
        <f t="shared" si="44"/>
        <v>602_数字博物馆</v>
      </c>
    </row>
    <row r="750" spans="1:37" x14ac:dyDescent="0.2">
      <c r="A750" t="str">
        <f t="shared" si="44"/>
        <v>602_数字博物馆</v>
      </c>
    </row>
    <row r="751" spans="1:37" x14ac:dyDescent="0.2">
      <c r="A751" t="str">
        <f>VLOOKUP("字典",表_首次要关键词[[#All],[首要关键词]:[排序]],2,0)&amp;"_字典"</f>
        <v>603_字典</v>
      </c>
    </row>
    <row r="752" spans="1:37" x14ac:dyDescent="0.2">
      <c r="A752" t="str">
        <f t="shared" ref="A752:A783" si="45">A751</f>
        <v>603_字典</v>
      </c>
      <c r="B752">
        <f t="shared" ref="B752:AK752" si="46">COUNTIFS(B753:B799,"&lt;&gt;")</f>
        <v>0</v>
      </c>
      <c r="C752">
        <f t="shared" si="46"/>
        <v>0</v>
      </c>
      <c r="D752">
        <f t="shared" si="46"/>
        <v>0</v>
      </c>
      <c r="E752">
        <f t="shared" si="46"/>
        <v>0</v>
      </c>
      <c r="F752">
        <f t="shared" si="46"/>
        <v>0</v>
      </c>
      <c r="G752">
        <f t="shared" si="46"/>
        <v>0</v>
      </c>
      <c r="H752">
        <f t="shared" si="46"/>
        <v>0</v>
      </c>
      <c r="I752">
        <f t="shared" si="46"/>
        <v>0</v>
      </c>
      <c r="J752">
        <f t="shared" si="46"/>
        <v>0</v>
      </c>
      <c r="K752">
        <f t="shared" si="46"/>
        <v>0</v>
      </c>
      <c r="L752">
        <f t="shared" si="46"/>
        <v>0</v>
      </c>
      <c r="M752">
        <f t="shared" si="46"/>
        <v>0</v>
      </c>
      <c r="N752">
        <f t="shared" si="46"/>
        <v>0</v>
      </c>
      <c r="O752">
        <f t="shared" si="46"/>
        <v>0</v>
      </c>
      <c r="P752">
        <f t="shared" si="46"/>
        <v>0</v>
      </c>
      <c r="Q752">
        <f t="shared" si="46"/>
        <v>0</v>
      </c>
      <c r="R752">
        <f t="shared" si="46"/>
        <v>0</v>
      </c>
      <c r="S752">
        <f t="shared" si="46"/>
        <v>0</v>
      </c>
      <c r="T752">
        <f t="shared" si="46"/>
        <v>0</v>
      </c>
      <c r="U752">
        <f t="shared" si="46"/>
        <v>0</v>
      </c>
      <c r="V752">
        <f t="shared" si="46"/>
        <v>0</v>
      </c>
      <c r="W752">
        <f t="shared" si="46"/>
        <v>0</v>
      </c>
      <c r="X752">
        <f t="shared" si="46"/>
        <v>0</v>
      </c>
      <c r="Y752">
        <f t="shared" si="46"/>
        <v>0</v>
      </c>
      <c r="Z752">
        <f t="shared" si="46"/>
        <v>0</v>
      </c>
      <c r="AA752">
        <f t="shared" si="46"/>
        <v>0</v>
      </c>
      <c r="AB752">
        <f t="shared" si="46"/>
        <v>0</v>
      </c>
      <c r="AC752">
        <f t="shared" si="46"/>
        <v>0</v>
      </c>
      <c r="AD752">
        <f t="shared" si="46"/>
        <v>0</v>
      </c>
      <c r="AE752">
        <f t="shared" si="46"/>
        <v>0</v>
      </c>
      <c r="AF752">
        <f t="shared" si="46"/>
        <v>0</v>
      </c>
      <c r="AG752">
        <f t="shared" si="46"/>
        <v>0</v>
      </c>
      <c r="AH752">
        <f t="shared" si="46"/>
        <v>0</v>
      </c>
      <c r="AI752">
        <f t="shared" si="46"/>
        <v>0</v>
      </c>
      <c r="AJ752">
        <f t="shared" si="46"/>
        <v>0</v>
      </c>
      <c r="AK752">
        <f t="shared" si="46"/>
        <v>0</v>
      </c>
    </row>
    <row r="753" spans="1:1" x14ac:dyDescent="0.2">
      <c r="A753" t="str">
        <f t="shared" si="45"/>
        <v>603_字典</v>
      </c>
    </row>
    <row r="754" spans="1:1" x14ac:dyDescent="0.2">
      <c r="A754" t="str">
        <f t="shared" si="45"/>
        <v>603_字典</v>
      </c>
    </row>
    <row r="755" spans="1:1" x14ac:dyDescent="0.2">
      <c r="A755" t="str">
        <f t="shared" si="45"/>
        <v>603_字典</v>
      </c>
    </row>
    <row r="756" spans="1:1" x14ac:dyDescent="0.2">
      <c r="A756" t="str">
        <f t="shared" si="45"/>
        <v>603_字典</v>
      </c>
    </row>
    <row r="757" spans="1:1" x14ac:dyDescent="0.2">
      <c r="A757" t="str">
        <f t="shared" si="45"/>
        <v>603_字典</v>
      </c>
    </row>
    <row r="758" spans="1:1" x14ac:dyDescent="0.2">
      <c r="A758" t="str">
        <f t="shared" si="45"/>
        <v>603_字典</v>
      </c>
    </row>
    <row r="759" spans="1:1" x14ac:dyDescent="0.2">
      <c r="A759" t="str">
        <f t="shared" si="45"/>
        <v>603_字典</v>
      </c>
    </row>
    <row r="760" spans="1:1" x14ac:dyDescent="0.2">
      <c r="A760" t="str">
        <f t="shared" si="45"/>
        <v>603_字典</v>
      </c>
    </row>
    <row r="761" spans="1:1" x14ac:dyDescent="0.2">
      <c r="A761" t="str">
        <f t="shared" si="45"/>
        <v>603_字典</v>
      </c>
    </row>
    <row r="762" spans="1:1" x14ac:dyDescent="0.2">
      <c r="A762" t="str">
        <f t="shared" si="45"/>
        <v>603_字典</v>
      </c>
    </row>
    <row r="763" spans="1:1" x14ac:dyDescent="0.2">
      <c r="A763" t="str">
        <f t="shared" si="45"/>
        <v>603_字典</v>
      </c>
    </row>
    <row r="764" spans="1:1" x14ac:dyDescent="0.2">
      <c r="A764" t="str">
        <f t="shared" si="45"/>
        <v>603_字典</v>
      </c>
    </row>
    <row r="765" spans="1:1" x14ac:dyDescent="0.2">
      <c r="A765" t="str">
        <f t="shared" si="45"/>
        <v>603_字典</v>
      </c>
    </row>
    <row r="766" spans="1:1" x14ac:dyDescent="0.2">
      <c r="A766" t="str">
        <f t="shared" si="45"/>
        <v>603_字典</v>
      </c>
    </row>
    <row r="767" spans="1:1" x14ac:dyDescent="0.2">
      <c r="A767" t="str">
        <f t="shared" si="45"/>
        <v>603_字典</v>
      </c>
    </row>
    <row r="768" spans="1:1" x14ac:dyDescent="0.2">
      <c r="A768" t="str">
        <f t="shared" si="45"/>
        <v>603_字典</v>
      </c>
    </row>
    <row r="769" spans="1:1" x14ac:dyDescent="0.2">
      <c r="A769" t="str">
        <f t="shared" si="45"/>
        <v>603_字典</v>
      </c>
    </row>
    <row r="770" spans="1:1" x14ac:dyDescent="0.2">
      <c r="A770" t="str">
        <f t="shared" si="45"/>
        <v>603_字典</v>
      </c>
    </row>
    <row r="771" spans="1:1" x14ac:dyDescent="0.2">
      <c r="A771" t="str">
        <f t="shared" si="45"/>
        <v>603_字典</v>
      </c>
    </row>
    <row r="772" spans="1:1" x14ac:dyDescent="0.2">
      <c r="A772" t="str">
        <f t="shared" si="45"/>
        <v>603_字典</v>
      </c>
    </row>
    <row r="773" spans="1:1" x14ac:dyDescent="0.2">
      <c r="A773" t="str">
        <f t="shared" si="45"/>
        <v>603_字典</v>
      </c>
    </row>
    <row r="774" spans="1:1" x14ac:dyDescent="0.2">
      <c r="A774" t="str">
        <f t="shared" si="45"/>
        <v>603_字典</v>
      </c>
    </row>
    <row r="775" spans="1:1" x14ac:dyDescent="0.2">
      <c r="A775" t="str">
        <f t="shared" si="45"/>
        <v>603_字典</v>
      </c>
    </row>
    <row r="776" spans="1:1" x14ac:dyDescent="0.2">
      <c r="A776" t="str">
        <f t="shared" si="45"/>
        <v>603_字典</v>
      </c>
    </row>
    <row r="777" spans="1:1" x14ac:dyDescent="0.2">
      <c r="A777" t="str">
        <f t="shared" si="45"/>
        <v>603_字典</v>
      </c>
    </row>
    <row r="778" spans="1:1" x14ac:dyDescent="0.2">
      <c r="A778" t="str">
        <f t="shared" si="45"/>
        <v>603_字典</v>
      </c>
    </row>
    <row r="779" spans="1:1" x14ac:dyDescent="0.2">
      <c r="A779" t="str">
        <f t="shared" si="45"/>
        <v>603_字典</v>
      </c>
    </row>
    <row r="780" spans="1:1" x14ac:dyDescent="0.2">
      <c r="A780" t="str">
        <f t="shared" si="45"/>
        <v>603_字典</v>
      </c>
    </row>
    <row r="781" spans="1:1" x14ac:dyDescent="0.2">
      <c r="A781" t="str">
        <f t="shared" si="45"/>
        <v>603_字典</v>
      </c>
    </row>
    <row r="782" spans="1:1" x14ac:dyDescent="0.2">
      <c r="A782" t="str">
        <f t="shared" si="45"/>
        <v>603_字典</v>
      </c>
    </row>
    <row r="783" spans="1:1" x14ac:dyDescent="0.2">
      <c r="A783" t="str">
        <f t="shared" si="45"/>
        <v>603_字典</v>
      </c>
    </row>
    <row r="784" spans="1:1" x14ac:dyDescent="0.2">
      <c r="A784" t="str">
        <f t="shared" ref="A784:A800" si="47">A783</f>
        <v>603_字典</v>
      </c>
    </row>
    <row r="785" spans="1:1" x14ac:dyDescent="0.2">
      <c r="A785" t="str">
        <f t="shared" si="47"/>
        <v>603_字典</v>
      </c>
    </row>
    <row r="786" spans="1:1" x14ac:dyDescent="0.2">
      <c r="A786" t="str">
        <f t="shared" si="47"/>
        <v>603_字典</v>
      </c>
    </row>
    <row r="787" spans="1:1" x14ac:dyDescent="0.2">
      <c r="A787" t="str">
        <f t="shared" si="47"/>
        <v>603_字典</v>
      </c>
    </row>
    <row r="788" spans="1:1" x14ac:dyDescent="0.2">
      <c r="A788" t="str">
        <f t="shared" si="47"/>
        <v>603_字典</v>
      </c>
    </row>
    <row r="789" spans="1:1" x14ac:dyDescent="0.2">
      <c r="A789" t="str">
        <f t="shared" si="47"/>
        <v>603_字典</v>
      </c>
    </row>
    <row r="790" spans="1:1" x14ac:dyDescent="0.2">
      <c r="A790" t="str">
        <f t="shared" si="47"/>
        <v>603_字典</v>
      </c>
    </row>
    <row r="791" spans="1:1" x14ac:dyDescent="0.2">
      <c r="A791" t="str">
        <f t="shared" si="47"/>
        <v>603_字典</v>
      </c>
    </row>
    <row r="792" spans="1:1" x14ac:dyDescent="0.2">
      <c r="A792" t="str">
        <f t="shared" si="47"/>
        <v>603_字典</v>
      </c>
    </row>
    <row r="793" spans="1:1" x14ac:dyDescent="0.2">
      <c r="A793" t="str">
        <f t="shared" si="47"/>
        <v>603_字典</v>
      </c>
    </row>
    <row r="794" spans="1:1" x14ac:dyDescent="0.2">
      <c r="A794" t="str">
        <f t="shared" si="47"/>
        <v>603_字典</v>
      </c>
    </row>
    <row r="795" spans="1:1" x14ac:dyDescent="0.2">
      <c r="A795" t="str">
        <f t="shared" si="47"/>
        <v>603_字典</v>
      </c>
    </row>
    <row r="796" spans="1:1" x14ac:dyDescent="0.2">
      <c r="A796" t="str">
        <f t="shared" si="47"/>
        <v>603_字典</v>
      </c>
    </row>
    <row r="797" spans="1:1" x14ac:dyDescent="0.2">
      <c r="A797" t="str">
        <f t="shared" si="47"/>
        <v>603_字典</v>
      </c>
    </row>
    <row r="798" spans="1:1" x14ac:dyDescent="0.2">
      <c r="A798" t="str">
        <f t="shared" si="47"/>
        <v>603_字典</v>
      </c>
    </row>
    <row r="799" spans="1:1" x14ac:dyDescent="0.2">
      <c r="A799" t="str">
        <f t="shared" si="47"/>
        <v>603_字典</v>
      </c>
    </row>
    <row r="800" spans="1:1" x14ac:dyDescent="0.2">
      <c r="A800" t="str">
        <f t="shared" si="47"/>
        <v>603_字典</v>
      </c>
    </row>
    <row r="801" spans="1:37" x14ac:dyDescent="0.2">
      <c r="A801" t="str">
        <f>VLOOKUP("词典",表_首次要关键词[[#All],[首要关键词]:[排序]],2,0)&amp;"_词典"</f>
        <v>604_词典</v>
      </c>
    </row>
    <row r="802" spans="1:37" x14ac:dyDescent="0.2">
      <c r="A802" t="str">
        <f t="shared" ref="A802:A833" si="48">A801</f>
        <v>604_词典</v>
      </c>
      <c r="B802">
        <f t="shared" ref="B802:AK802" si="49">COUNTIFS(B803:B849,"&lt;&gt;")</f>
        <v>0</v>
      </c>
      <c r="C802">
        <f t="shared" si="49"/>
        <v>0</v>
      </c>
      <c r="D802">
        <f t="shared" si="49"/>
        <v>0</v>
      </c>
      <c r="E802">
        <f t="shared" si="49"/>
        <v>0</v>
      </c>
      <c r="F802">
        <f t="shared" si="49"/>
        <v>0</v>
      </c>
      <c r="G802">
        <f t="shared" si="49"/>
        <v>0</v>
      </c>
      <c r="H802">
        <f t="shared" si="49"/>
        <v>0</v>
      </c>
      <c r="I802">
        <f t="shared" si="49"/>
        <v>0</v>
      </c>
      <c r="J802">
        <f t="shared" si="49"/>
        <v>0</v>
      </c>
      <c r="K802">
        <f t="shared" si="49"/>
        <v>0</v>
      </c>
      <c r="L802">
        <f t="shared" si="49"/>
        <v>0</v>
      </c>
      <c r="M802">
        <f t="shared" si="49"/>
        <v>0</v>
      </c>
      <c r="N802">
        <f t="shared" si="49"/>
        <v>0</v>
      </c>
      <c r="O802">
        <f t="shared" si="49"/>
        <v>0</v>
      </c>
      <c r="P802">
        <f t="shared" si="49"/>
        <v>0</v>
      </c>
      <c r="Q802">
        <f t="shared" si="49"/>
        <v>0</v>
      </c>
      <c r="R802">
        <f t="shared" si="49"/>
        <v>0</v>
      </c>
      <c r="S802">
        <f t="shared" si="49"/>
        <v>0</v>
      </c>
      <c r="T802">
        <f t="shared" si="49"/>
        <v>0</v>
      </c>
      <c r="U802">
        <f t="shared" si="49"/>
        <v>0</v>
      </c>
      <c r="V802">
        <f t="shared" si="49"/>
        <v>0</v>
      </c>
      <c r="W802">
        <f t="shared" si="49"/>
        <v>0</v>
      </c>
      <c r="X802">
        <f t="shared" si="49"/>
        <v>0</v>
      </c>
      <c r="Y802">
        <f t="shared" si="49"/>
        <v>0</v>
      </c>
      <c r="Z802">
        <f t="shared" si="49"/>
        <v>0</v>
      </c>
      <c r="AA802">
        <f t="shared" si="49"/>
        <v>0</v>
      </c>
      <c r="AB802">
        <f t="shared" si="49"/>
        <v>0</v>
      </c>
      <c r="AC802">
        <f t="shared" si="49"/>
        <v>0</v>
      </c>
      <c r="AD802">
        <f t="shared" si="49"/>
        <v>0</v>
      </c>
      <c r="AE802">
        <f t="shared" si="49"/>
        <v>0</v>
      </c>
      <c r="AF802">
        <f t="shared" si="49"/>
        <v>0</v>
      </c>
      <c r="AG802">
        <f t="shared" si="49"/>
        <v>0</v>
      </c>
      <c r="AH802">
        <f t="shared" si="49"/>
        <v>0</v>
      </c>
      <c r="AI802">
        <f t="shared" si="49"/>
        <v>0</v>
      </c>
      <c r="AJ802">
        <f t="shared" si="49"/>
        <v>0</v>
      </c>
      <c r="AK802">
        <f t="shared" si="49"/>
        <v>0</v>
      </c>
    </row>
    <row r="803" spans="1:37" x14ac:dyDescent="0.2">
      <c r="A803" t="str">
        <f t="shared" si="48"/>
        <v>604_词典</v>
      </c>
    </row>
    <row r="804" spans="1:37" x14ac:dyDescent="0.2">
      <c r="A804" t="str">
        <f t="shared" si="48"/>
        <v>604_词典</v>
      </c>
    </row>
    <row r="805" spans="1:37" x14ac:dyDescent="0.2">
      <c r="A805" t="str">
        <f t="shared" si="48"/>
        <v>604_词典</v>
      </c>
    </row>
    <row r="806" spans="1:37" x14ac:dyDescent="0.2">
      <c r="A806" t="str">
        <f t="shared" si="48"/>
        <v>604_词典</v>
      </c>
    </row>
    <row r="807" spans="1:37" x14ac:dyDescent="0.2">
      <c r="A807" t="str">
        <f t="shared" si="48"/>
        <v>604_词典</v>
      </c>
    </row>
    <row r="808" spans="1:37" x14ac:dyDescent="0.2">
      <c r="A808" t="str">
        <f t="shared" si="48"/>
        <v>604_词典</v>
      </c>
    </row>
    <row r="809" spans="1:37" x14ac:dyDescent="0.2">
      <c r="A809" t="str">
        <f t="shared" si="48"/>
        <v>604_词典</v>
      </c>
    </row>
    <row r="810" spans="1:37" x14ac:dyDescent="0.2">
      <c r="A810" t="str">
        <f t="shared" si="48"/>
        <v>604_词典</v>
      </c>
    </row>
    <row r="811" spans="1:37" x14ac:dyDescent="0.2">
      <c r="A811" t="str">
        <f t="shared" si="48"/>
        <v>604_词典</v>
      </c>
    </row>
    <row r="812" spans="1:37" x14ac:dyDescent="0.2">
      <c r="A812" t="str">
        <f t="shared" si="48"/>
        <v>604_词典</v>
      </c>
    </row>
    <row r="813" spans="1:37" x14ac:dyDescent="0.2">
      <c r="A813" t="str">
        <f t="shared" si="48"/>
        <v>604_词典</v>
      </c>
    </row>
    <row r="814" spans="1:37" x14ac:dyDescent="0.2">
      <c r="A814" t="str">
        <f t="shared" si="48"/>
        <v>604_词典</v>
      </c>
    </row>
    <row r="815" spans="1:37" x14ac:dyDescent="0.2">
      <c r="A815" t="str">
        <f t="shared" si="48"/>
        <v>604_词典</v>
      </c>
    </row>
    <row r="816" spans="1:37" x14ac:dyDescent="0.2">
      <c r="A816" t="str">
        <f t="shared" si="48"/>
        <v>604_词典</v>
      </c>
    </row>
    <row r="817" spans="1:1" x14ac:dyDescent="0.2">
      <c r="A817" t="str">
        <f t="shared" si="48"/>
        <v>604_词典</v>
      </c>
    </row>
    <row r="818" spans="1:1" x14ac:dyDescent="0.2">
      <c r="A818" t="str">
        <f t="shared" si="48"/>
        <v>604_词典</v>
      </c>
    </row>
    <row r="819" spans="1:1" x14ac:dyDescent="0.2">
      <c r="A819" t="str">
        <f t="shared" si="48"/>
        <v>604_词典</v>
      </c>
    </row>
    <row r="820" spans="1:1" x14ac:dyDescent="0.2">
      <c r="A820" t="str">
        <f t="shared" si="48"/>
        <v>604_词典</v>
      </c>
    </row>
    <row r="821" spans="1:1" x14ac:dyDescent="0.2">
      <c r="A821" t="str">
        <f t="shared" si="48"/>
        <v>604_词典</v>
      </c>
    </row>
    <row r="822" spans="1:1" x14ac:dyDescent="0.2">
      <c r="A822" t="str">
        <f t="shared" si="48"/>
        <v>604_词典</v>
      </c>
    </row>
    <row r="823" spans="1:1" x14ac:dyDescent="0.2">
      <c r="A823" t="str">
        <f t="shared" si="48"/>
        <v>604_词典</v>
      </c>
    </row>
    <row r="824" spans="1:1" x14ac:dyDescent="0.2">
      <c r="A824" t="str">
        <f t="shared" si="48"/>
        <v>604_词典</v>
      </c>
    </row>
    <row r="825" spans="1:1" x14ac:dyDescent="0.2">
      <c r="A825" t="str">
        <f t="shared" si="48"/>
        <v>604_词典</v>
      </c>
    </row>
    <row r="826" spans="1:1" x14ac:dyDescent="0.2">
      <c r="A826" t="str">
        <f t="shared" si="48"/>
        <v>604_词典</v>
      </c>
    </row>
    <row r="827" spans="1:1" x14ac:dyDescent="0.2">
      <c r="A827" t="str">
        <f t="shared" si="48"/>
        <v>604_词典</v>
      </c>
    </row>
    <row r="828" spans="1:1" x14ac:dyDescent="0.2">
      <c r="A828" t="str">
        <f t="shared" si="48"/>
        <v>604_词典</v>
      </c>
    </row>
    <row r="829" spans="1:1" x14ac:dyDescent="0.2">
      <c r="A829" t="str">
        <f t="shared" si="48"/>
        <v>604_词典</v>
      </c>
    </row>
    <row r="830" spans="1:1" x14ac:dyDescent="0.2">
      <c r="A830" t="str">
        <f t="shared" si="48"/>
        <v>604_词典</v>
      </c>
    </row>
    <row r="831" spans="1:1" x14ac:dyDescent="0.2">
      <c r="A831" t="str">
        <f t="shared" si="48"/>
        <v>604_词典</v>
      </c>
    </row>
    <row r="832" spans="1:1" x14ac:dyDescent="0.2">
      <c r="A832" t="str">
        <f t="shared" si="48"/>
        <v>604_词典</v>
      </c>
    </row>
    <row r="833" spans="1:1" x14ac:dyDescent="0.2">
      <c r="A833" t="str">
        <f t="shared" si="48"/>
        <v>604_词典</v>
      </c>
    </row>
    <row r="834" spans="1:1" x14ac:dyDescent="0.2">
      <c r="A834" t="str">
        <f t="shared" ref="A834:A850" si="50">A833</f>
        <v>604_词典</v>
      </c>
    </row>
    <row r="835" spans="1:1" x14ac:dyDescent="0.2">
      <c r="A835" t="str">
        <f t="shared" si="50"/>
        <v>604_词典</v>
      </c>
    </row>
    <row r="836" spans="1:1" x14ac:dyDescent="0.2">
      <c r="A836" t="str">
        <f t="shared" si="50"/>
        <v>604_词典</v>
      </c>
    </row>
    <row r="837" spans="1:1" x14ac:dyDescent="0.2">
      <c r="A837" t="str">
        <f t="shared" si="50"/>
        <v>604_词典</v>
      </c>
    </row>
    <row r="838" spans="1:1" x14ac:dyDescent="0.2">
      <c r="A838" t="str">
        <f t="shared" si="50"/>
        <v>604_词典</v>
      </c>
    </row>
    <row r="839" spans="1:1" x14ac:dyDescent="0.2">
      <c r="A839" t="str">
        <f t="shared" si="50"/>
        <v>604_词典</v>
      </c>
    </row>
    <row r="840" spans="1:1" x14ac:dyDescent="0.2">
      <c r="A840" t="str">
        <f t="shared" si="50"/>
        <v>604_词典</v>
      </c>
    </row>
    <row r="841" spans="1:1" x14ac:dyDescent="0.2">
      <c r="A841" t="str">
        <f t="shared" si="50"/>
        <v>604_词典</v>
      </c>
    </row>
    <row r="842" spans="1:1" x14ac:dyDescent="0.2">
      <c r="A842" t="str">
        <f t="shared" si="50"/>
        <v>604_词典</v>
      </c>
    </row>
    <row r="843" spans="1:1" x14ac:dyDescent="0.2">
      <c r="A843" t="str">
        <f t="shared" si="50"/>
        <v>604_词典</v>
      </c>
    </row>
    <row r="844" spans="1:1" x14ac:dyDescent="0.2">
      <c r="A844" t="str">
        <f t="shared" si="50"/>
        <v>604_词典</v>
      </c>
    </row>
    <row r="845" spans="1:1" x14ac:dyDescent="0.2">
      <c r="A845" t="str">
        <f t="shared" si="50"/>
        <v>604_词典</v>
      </c>
    </row>
    <row r="846" spans="1:1" x14ac:dyDescent="0.2">
      <c r="A846" t="str">
        <f t="shared" si="50"/>
        <v>604_词典</v>
      </c>
    </row>
    <row r="847" spans="1:1" x14ac:dyDescent="0.2">
      <c r="A847" t="str">
        <f t="shared" si="50"/>
        <v>604_词典</v>
      </c>
    </row>
    <row r="848" spans="1:1" x14ac:dyDescent="0.2">
      <c r="A848" t="str">
        <f t="shared" si="50"/>
        <v>604_词典</v>
      </c>
    </row>
    <row r="849" spans="1:37" x14ac:dyDescent="0.2">
      <c r="A849" t="str">
        <f t="shared" si="50"/>
        <v>604_词典</v>
      </c>
    </row>
    <row r="850" spans="1:37" x14ac:dyDescent="0.2">
      <c r="A850" t="str">
        <f t="shared" si="50"/>
        <v>604_词典</v>
      </c>
    </row>
    <row r="851" spans="1:37" x14ac:dyDescent="0.2">
      <c r="A851" t="str">
        <f>VLOOKUP("古籍",表_首次要关键词[[#All],[首要关键词]:[排序]],2,0)&amp;"_古籍"</f>
        <v>605_古籍</v>
      </c>
    </row>
    <row r="852" spans="1:37" x14ac:dyDescent="0.2">
      <c r="A852" t="str">
        <f t="shared" ref="A852:A883" si="51">A851</f>
        <v>605_古籍</v>
      </c>
      <c r="B852">
        <f t="shared" ref="B852:AK852" si="52">COUNTIFS(B853:B899,"&lt;&gt;")</f>
        <v>0</v>
      </c>
      <c r="C852">
        <f t="shared" si="52"/>
        <v>0</v>
      </c>
      <c r="D852">
        <f t="shared" si="52"/>
        <v>0</v>
      </c>
      <c r="E852">
        <f t="shared" si="52"/>
        <v>0</v>
      </c>
      <c r="F852">
        <f t="shared" si="52"/>
        <v>0</v>
      </c>
      <c r="G852">
        <f t="shared" si="52"/>
        <v>0</v>
      </c>
      <c r="H852">
        <f t="shared" si="52"/>
        <v>0</v>
      </c>
      <c r="I852">
        <f t="shared" si="52"/>
        <v>0</v>
      </c>
      <c r="J852">
        <f t="shared" si="52"/>
        <v>0</v>
      </c>
      <c r="K852">
        <f t="shared" si="52"/>
        <v>0</v>
      </c>
      <c r="L852">
        <f t="shared" si="52"/>
        <v>0</v>
      </c>
      <c r="M852">
        <f t="shared" si="52"/>
        <v>0</v>
      </c>
      <c r="N852">
        <f t="shared" si="52"/>
        <v>0</v>
      </c>
      <c r="O852">
        <f t="shared" si="52"/>
        <v>0</v>
      </c>
      <c r="P852">
        <f t="shared" si="52"/>
        <v>0</v>
      </c>
      <c r="Q852">
        <f t="shared" si="52"/>
        <v>0</v>
      </c>
      <c r="R852">
        <f t="shared" si="52"/>
        <v>0</v>
      </c>
      <c r="S852">
        <f t="shared" si="52"/>
        <v>0</v>
      </c>
      <c r="T852">
        <f t="shared" si="52"/>
        <v>0</v>
      </c>
      <c r="U852">
        <f t="shared" si="52"/>
        <v>0</v>
      </c>
      <c r="V852">
        <f t="shared" si="52"/>
        <v>0</v>
      </c>
      <c r="W852">
        <f t="shared" si="52"/>
        <v>0</v>
      </c>
      <c r="X852">
        <f t="shared" si="52"/>
        <v>0</v>
      </c>
      <c r="Y852">
        <f t="shared" si="52"/>
        <v>0</v>
      </c>
      <c r="Z852">
        <f t="shared" si="52"/>
        <v>0</v>
      </c>
      <c r="AA852">
        <f t="shared" si="52"/>
        <v>0</v>
      </c>
      <c r="AB852">
        <f t="shared" si="52"/>
        <v>0</v>
      </c>
      <c r="AC852">
        <f t="shared" si="52"/>
        <v>0</v>
      </c>
      <c r="AD852">
        <f t="shared" si="52"/>
        <v>0</v>
      </c>
      <c r="AE852">
        <f t="shared" si="52"/>
        <v>0</v>
      </c>
      <c r="AF852">
        <f t="shared" si="52"/>
        <v>0</v>
      </c>
      <c r="AG852">
        <f t="shared" si="52"/>
        <v>0</v>
      </c>
      <c r="AH852">
        <f t="shared" si="52"/>
        <v>0</v>
      </c>
      <c r="AI852">
        <f t="shared" si="52"/>
        <v>0</v>
      </c>
      <c r="AJ852">
        <f t="shared" si="52"/>
        <v>0</v>
      </c>
      <c r="AK852">
        <f t="shared" si="52"/>
        <v>0</v>
      </c>
    </row>
    <row r="853" spans="1:37" x14ac:dyDescent="0.2">
      <c r="A853" t="str">
        <f t="shared" si="51"/>
        <v>605_古籍</v>
      </c>
    </row>
    <row r="854" spans="1:37" x14ac:dyDescent="0.2">
      <c r="A854" t="str">
        <f t="shared" si="51"/>
        <v>605_古籍</v>
      </c>
    </row>
    <row r="855" spans="1:37" x14ac:dyDescent="0.2">
      <c r="A855" t="str">
        <f t="shared" si="51"/>
        <v>605_古籍</v>
      </c>
    </row>
    <row r="856" spans="1:37" x14ac:dyDescent="0.2">
      <c r="A856" t="str">
        <f t="shared" si="51"/>
        <v>605_古籍</v>
      </c>
    </row>
    <row r="857" spans="1:37" x14ac:dyDescent="0.2">
      <c r="A857" t="str">
        <f t="shared" si="51"/>
        <v>605_古籍</v>
      </c>
    </row>
    <row r="858" spans="1:37" x14ac:dyDescent="0.2">
      <c r="A858" t="str">
        <f t="shared" si="51"/>
        <v>605_古籍</v>
      </c>
    </row>
    <row r="859" spans="1:37" x14ac:dyDescent="0.2">
      <c r="A859" t="str">
        <f t="shared" si="51"/>
        <v>605_古籍</v>
      </c>
    </row>
    <row r="860" spans="1:37" x14ac:dyDescent="0.2">
      <c r="A860" t="str">
        <f t="shared" si="51"/>
        <v>605_古籍</v>
      </c>
    </row>
    <row r="861" spans="1:37" x14ac:dyDescent="0.2">
      <c r="A861" t="str">
        <f t="shared" si="51"/>
        <v>605_古籍</v>
      </c>
    </row>
    <row r="862" spans="1:37" x14ac:dyDescent="0.2">
      <c r="A862" t="str">
        <f t="shared" si="51"/>
        <v>605_古籍</v>
      </c>
    </row>
    <row r="863" spans="1:37" x14ac:dyDescent="0.2">
      <c r="A863" t="str">
        <f t="shared" si="51"/>
        <v>605_古籍</v>
      </c>
    </row>
    <row r="864" spans="1:37" x14ac:dyDescent="0.2">
      <c r="A864" t="str">
        <f t="shared" si="51"/>
        <v>605_古籍</v>
      </c>
    </row>
    <row r="865" spans="1:1" x14ac:dyDescent="0.2">
      <c r="A865" t="str">
        <f t="shared" si="51"/>
        <v>605_古籍</v>
      </c>
    </row>
    <row r="866" spans="1:1" x14ac:dyDescent="0.2">
      <c r="A866" t="str">
        <f t="shared" si="51"/>
        <v>605_古籍</v>
      </c>
    </row>
    <row r="867" spans="1:1" x14ac:dyDescent="0.2">
      <c r="A867" t="str">
        <f t="shared" si="51"/>
        <v>605_古籍</v>
      </c>
    </row>
    <row r="868" spans="1:1" x14ac:dyDescent="0.2">
      <c r="A868" t="str">
        <f t="shared" si="51"/>
        <v>605_古籍</v>
      </c>
    </row>
    <row r="869" spans="1:1" x14ac:dyDescent="0.2">
      <c r="A869" t="str">
        <f t="shared" si="51"/>
        <v>605_古籍</v>
      </c>
    </row>
    <row r="870" spans="1:1" x14ac:dyDescent="0.2">
      <c r="A870" t="str">
        <f t="shared" si="51"/>
        <v>605_古籍</v>
      </c>
    </row>
    <row r="871" spans="1:1" x14ac:dyDescent="0.2">
      <c r="A871" t="str">
        <f t="shared" si="51"/>
        <v>605_古籍</v>
      </c>
    </row>
    <row r="872" spans="1:1" x14ac:dyDescent="0.2">
      <c r="A872" t="str">
        <f t="shared" si="51"/>
        <v>605_古籍</v>
      </c>
    </row>
    <row r="873" spans="1:1" x14ac:dyDescent="0.2">
      <c r="A873" t="str">
        <f t="shared" si="51"/>
        <v>605_古籍</v>
      </c>
    </row>
    <row r="874" spans="1:1" x14ac:dyDescent="0.2">
      <c r="A874" t="str">
        <f t="shared" si="51"/>
        <v>605_古籍</v>
      </c>
    </row>
    <row r="875" spans="1:1" x14ac:dyDescent="0.2">
      <c r="A875" t="str">
        <f t="shared" si="51"/>
        <v>605_古籍</v>
      </c>
    </row>
    <row r="876" spans="1:1" x14ac:dyDescent="0.2">
      <c r="A876" t="str">
        <f t="shared" si="51"/>
        <v>605_古籍</v>
      </c>
    </row>
    <row r="877" spans="1:1" x14ac:dyDescent="0.2">
      <c r="A877" t="str">
        <f t="shared" si="51"/>
        <v>605_古籍</v>
      </c>
    </row>
    <row r="878" spans="1:1" x14ac:dyDescent="0.2">
      <c r="A878" t="str">
        <f t="shared" si="51"/>
        <v>605_古籍</v>
      </c>
    </row>
    <row r="879" spans="1:1" x14ac:dyDescent="0.2">
      <c r="A879" t="str">
        <f t="shared" si="51"/>
        <v>605_古籍</v>
      </c>
    </row>
    <row r="880" spans="1:1" x14ac:dyDescent="0.2">
      <c r="A880" t="str">
        <f t="shared" si="51"/>
        <v>605_古籍</v>
      </c>
    </row>
    <row r="881" spans="1:1" x14ac:dyDescent="0.2">
      <c r="A881" t="str">
        <f t="shared" si="51"/>
        <v>605_古籍</v>
      </c>
    </row>
    <row r="882" spans="1:1" x14ac:dyDescent="0.2">
      <c r="A882" t="str">
        <f t="shared" si="51"/>
        <v>605_古籍</v>
      </c>
    </row>
    <row r="883" spans="1:1" x14ac:dyDescent="0.2">
      <c r="A883" t="str">
        <f t="shared" si="51"/>
        <v>605_古籍</v>
      </c>
    </row>
    <row r="884" spans="1:1" x14ac:dyDescent="0.2">
      <c r="A884" t="str">
        <f t="shared" ref="A884:A900" si="53">A883</f>
        <v>605_古籍</v>
      </c>
    </row>
    <row r="885" spans="1:1" x14ac:dyDescent="0.2">
      <c r="A885" t="str">
        <f t="shared" si="53"/>
        <v>605_古籍</v>
      </c>
    </row>
    <row r="886" spans="1:1" x14ac:dyDescent="0.2">
      <c r="A886" t="str">
        <f t="shared" si="53"/>
        <v>605_古籍</v>
      </c>
    </row>
    <row r="887" spans="1:1" x14ac:dyDescent="0.2">
      <c r="A887" t="str">
        <f t="shared" si="53"/>
        <v>605_古籍</v>
      </c>
    </row>
    <row r="888" spans="1:1" x14ac:dyDescent="0.2">
      <c r="A888" t="str">
        <f t="shared" si="53"/>
        <v>605_古籍</v>
      </c>
    </row>
    <row r="889" spans="1:1" x14ac:dyDescent="0.2">
      <c r="A889" t="str">
        <f t="shared" si="53"/>
        <v>605_古籍</v>
      </c>
    </row>
    <row r="890" spans="1:1" x14ac:dyDescent="0.2">
      <c r="A890" t="str">
        <f t="shared" si="53"/>
        <v>605_古籍</v>
      </c>
    </row>
    <row r="891" spans="1:1" x14ac:dyDescent="0.2">
      <c r="A891" t="str">
        <f t="shared" si="53"/>
        <v>605_古籍</v>
      </c>
    </row>
    <row r="892" spans="1:1" x14ac:dyDescent="0.2">
      <c r="A892" t="str">
        <f t="shared" si="53"/>
        <v>605_古籍</v>
      </c>
    </row>
    <row r="893" spans="1:1" x14ac:dyDescent="0.2">
      <c r="A893" t="str">
        <f t="shared" si="53"/>
        <v>605_古籍</v>
      </c>
    </row>
    <row r="894" spans="1:1" x14ac:dyDescent="0.2">
      <c r="A894" t="str">
        <f t="shared" si="53"/>
        <v>605_古籍</v>
      </c>
    </row>
    <row r="895" spans="1:1" x14ac:dyDescent="0.2">
      <c r="A895" t="str">
        <f t="shared" si="53"/>
        <v>605_古籍</v>
      </c>
    </row>
    <row r="896" spans="1:1" x14ac:dyDescent="0.2">
      <c r="A896" t="str">
        <f t="shared" si="53"/>
        <v>605_古籍</v>
      </c>
    </row>
    <row r="897" spans="1:37" x14ac:dyDescent="0.2">
      <c r="A897" t="str">
        <f t="shared" si="53"/>
        <v>605_古籍</v>
      </c>
    </row>
    <row r="898" spans="1:37" x14ac:dyDescent="0.2">
      <c r="A898" t="str">
        <f t="shared" si="53"/>
        <v>605_古籍</v>
      </c>
    </row>
    <row r="899" spans="1:37" x14ac:dyDescent="0.2">
      <c r="A899" t="str">
        <f t="shared" si="53"/>
        <v>605_古籍</v>
      </c>
    </row>
    <row r="900" spans="1:37" x14ac:dyDescent="0.2">
      <c r="A900" t="str">
        <f t="shared" si="53"/>
        <v>605_古籍</v>
      </c>
    </row>
    <row r="901" spans="1:37" x14ac:dyDescent="0.2">
      <c r="A901" t="str">
        <f>VLOOKUP("Google",表_首次要关键词[[#All],[首要关键词]:[排序]],2,0)&amp;"_Google"</f>
        <v>801_Google</v>
      </c>
    </row>
    <row r="902" spans="1:37" x14ac:dyDescent="0.2">
      <c r="A902" t="str">
        <f t="shared" ref="A902:A933" si="54">A901</f>
        <v>801_Google</v>
      </c>
      <c r="B902">
        <f t="shared" ref="B902:AK902" si="55">COUNTIFS(B903:B949,"&lt;&gt;")</f>
        <v>0</v>
      </c>
      <c r="C902">
        <f t="shared" si="55"/>
        <v>0</v>
      </c>
      <c r="D902">
        <f t="shared" si="55"/>
        <v>0</v>
      </c>
      <c r="E902">
        <f t="shared" si="55"/>
        <v>0</v>
      </c>
      <c r="F902">
        <f t="shared" si="55"/>
        <v>0</v>
      </c>
      <c r="G902">
        <f t="shared" si="55"/>
        <v>0</v>
      </c>
      <c r="H902">
        <f t="shared" si="55"/>
        <v>0</v>
      </c>
      <c r="I902">
        <f t="shared" si="55"/>
        <v>0</v>
      </c>
      <c r="J902">
        <f t="shared" si="55"/>
        <v>0</v>
      </c>
      <c r="K902">
        <f t="shared" si="55"/>
        <v>0</v>
      </c>
      <c r="L902">
        <f t="shared" si="55"/>
        <v>0</v>
      </c>
      <c r="M902">
        <f t="shared" si="55"/>
        <v>0</v>
      </c>
      <c r="N902">
        <f t="shared" si="55"/>
        <v>0</v>
      </c>
      <c r="O902">
        <f t="shared" si="55"/>
        <v>0</v>
      </c>
      <c r="P902">
        <f t="shared" si="55"/>
        <v>0</v>
      </c>
      <c r="Q902">
        <f t="shared" si="55"/>
        <v>0</v>
      </c>
      <c r="R902">
        <f t="shared" si="55"/>
        <v>0</v>
      </c>
      <c r="S902">
        <f t="shared" si="55"/>
        <v>0</v>
      </c>
      <c r="T902">
        <f t="shared" si="55"/>
        <v>0</v>
      </c>
      <c r="U902">
        <f t="shared" si="55"/>
        <v>0</v>
      </c>
      <c r="V902">
        <f t="shared" si="55"/>
        <v>0</v>
      </c>
      <c r="W902">
        <f t="shared" si="55"/>
        <v>0</v>
      </c>
      <c r="X902">
        <f t="shared" si="55"/>
        <v>0</v>
      </c>
      <c r="Y902">
        <f t="shared" si="55"/>
        <v>0</v>
      </c>
      <c r="Z902">
        <f t="shared" si="55"/>
        <v>0</v>
      </c>
      <c r="AA902">
        <f t="shared" si="55"/>
        <v>0</v>
      </c>
      <c r="AB902">
        <f t="shared" si="55"/>
        <v>0</v>
      </c>
      <c r="AC902">
        <f t="shared" si="55"/>
        <v>0</v>
      </c>
      <c r="AD902">
        <f t="shared" si="55"/>
        <v>0</v>
      </c>
      <c r="AE902">
        <f t="shared" si="55"/>
        <v>0</v>
      </c>
      <c r="AF902">
        <f t="shared" si="55"/>
        <v>0</v>
      </c>
      <c r="AG902">
        <f t="shared" si="55"/>
        <v>0</v>
      </c>
      <c r="AH902">
        <f t="shared" si="55"/>
        <v>0</v>
      </c>
      <c r="AI902">
        <f t="shared" si="55"/>
        <v>0</v>
      </c>
      <c r="AJ902">
        <f t="shared" si="55"/>
        <v>0</v>
      </c>
      <c r="AK902">
        <f t="shared" si="55"/>
        <v>0</v>
      </c>
    </row>
    <row r="903" spans="1:37" x14ac:dyDescent="0.2">
      <c r="A903" t="str">
        <f t="shared" si="54"/>
        <v>801_Google</v>
      </c>
    </row>
    <row r="904" spans="1:37" x14ac:dyDescent="0.2">
      <c r="A904" t="str">
        <f t="shared" si="54"/>
        <v>801_Google</v>
      </c>
    </row>
    <row r="905" spans="1:37" x14ac:dyDescent="0.2">
      <c r="A905" t="str">
        <f t="shared" si="54"/>
        <v>801_Google</v>
      </c>
    </row>
    <row r="906" spans="1:37" x14ac:dyDescent="0.2">
      <c r="A906" t="str">
        <f t="shared" si="54"/>
        <v>801_Google</v>
      </c>
    </row>
    <row r="907" spans="1:37" x14ac:dyDescent="0.2">
      <c r="A907" t="str">
        <f t="shared" si="54"/>
        <v>801_Google</v>
      </c>
    </row>
    <row r="908" spans="1:37" x14ac:dyDescent="0.2">
      <c r="A908" t="str">
        <f t="shared" si="54"/>
        <v>801_Google</v>
      </c>
    </row>
    <row r="909" spans="1:37" x14ac:dyDescent="0.2">
      <c r="A909" t="str">
        <f t="shared" si="54"/>
        <v>801_Google</v>
      </c>
    </row>
    <row r="910" spans="1:37" x14ac:dyDescent="0.2">
      <c r="A910" t="str">
        <f t="shared" si="54"/>
        <v>801_Google</v>
      </c>
    </row>
    <row r="911" spans="1:37" x14ac:dyDescent="0.2">
      <c r="A911" t="str">
        <f t="shared" si="54"/>
        <v>801_Google</v>
      </c>
    </row>
    <row r="912" spans="1:37" x14ac:dyDescent="0.2">
      <c r="A912" t="str">
        <f t="shared" si="54"/>
        <v>801_Google</v>
      </c>
    </row>
    <row r="913" spans="1:1" x14ac:dyDescent="0.2">
      <c r="A913" t="str">
        <f t="shared" si="54"/>
        <v>801_Google</v>
      </c>
    </row>
    <row r="914" spans="1:1" x14ac:dyDescent="0.2">
      <c r="A914" t="str">
        <f t="shared" si="54"/>
        <v>801_Google</v>
      </c>
    </row>
    <row r="915" spans="1:1" x14ac:dyDescent="0.2">
      <c r="A915" t="str">
        <f t="shared" si="54"/>
        <v>801_Google</v>
      </c>
    </row>
    <row r="916" spans="1:1" x14ac:dyDescent="0.2">
      <c r="A916" t="str">
        <f t="shared" si="54"/>
        <v>801_Google</v>
      </c>
    </row>
    <row r="917" spans="1:1" x14ac:dyDescent="0.2">
      <c r="A917" t="str">
        <f t="shared" si="54"/>
        <v>801_Google</v>
      </c>
    </row>
    <row r="918" spans="1:1" x14ac:dyDescent="0.2">
      <c r="A918" t="str">
        <f t="shared" si="54"/>
        <v>801_Google</v>
      </c>
    </row>
    <row r="919" spans="1:1" x14ac:dyDescent="0.2">
      <c r="A919" t="str">
        <f t="shared" si="54"/>
        <v>801_Google</v>
      </c>
    </row>
    <row r="920" spans="1:1" x14ac:dyDescent="0.2">
      <c r="A920" t="str">
        <f t="shared" si="54"/>
        <v>801_Google</v>
      </c>
    </row>
    <row r="921" spans="1:1" x14ac:dyDescent="0.2">
      <c r="A921" t="str">
        <f t="shared" si="54"/>
        <v>801_Google</v>
      </c>
    </row>
    <row r="922" spans="1:1" x14ac:dyDescent="0.2">
      <c r="A922" t="str">
        <f t="shared" si="54"/>
        <v>801_Google</v>
      </c>
    </row>
    <row r="923" spans="1:1" x14ac:dyDescent="0.2">
      <c r="A923" t="str">
        <f t="shared" si="54"/>
        <v>801_Google</v>
      </c>
    </row>
    <row r="924" spans="1:1" x14ac:dyDescent="0.2">
      <c r="A924" t="str">
        <f t="shared" si="54"/>
        <v>801_Google</v>
      </c>
    </row>
    <row r="925" spans="1:1" x14ac:dyDescent="0.2">
      <c r="A925" t="str">
        <f t="shared" si="54"/>
        <v>801_Google</v>
      </c>
    </row>
    <row r="926" spans="1:1" x14ac:dyDescent="0.2">
      <c r="A926" t="str">
        <f t="shared" si="54"/>
        <v>801_Google</v>
      </c>
    </row>
    <row r="927" spans="1:1" x14ac:dyDescent="0.2">
      <c r="A927" t="str">
        <f t="shared" si="54"/>
        <v>801_Google</v>
      </c>
    </row>
    <row r="928" spans="1:1" x14ac:dyDescent="0.2">
      <c r="A928" t="str">
        <f t="shared" si="54"/>
        <v>801_Google</v>
      </c>
    </row>
    <row r="929" spans="1:1" x14ac:dyDescent="0.2">
      <c r="A929" t="str">
        <f t="shared" si="54"/>
        <v>801_Google</v>
      </c>
    </row>
    <row r="930" spans="1:1" x14ac:dyDescent="0.2">
      <c r="A930" t="str">
        <f t="shared" si="54"/>
        <v>801_Google</v>
      </c>
    </row>
    <row r="931" spans="1:1" x14ac:dyDescent="0.2">
      <c r="A931" t="str">
        <f t="shared" si="54"/>
        <v>801_Google</v>
      </c>
    </row>
    <row r="932" spans="1:1" x14ac:dyDescent="0.2">
      <c r="A932" t="str">
        <f t="shared" si="54"/>
        <v>801_Google</v>
      </c>
    </row>
    <row r="933" spans="1:1" x14ac:dyDescent="0.2">
      <c r="A933" t="str">
        <f t="shared" si="54"/>
        <v>801_Google</v>
      </c>
    </row>
    <row r="934" spans="1:1" x14ac:dyDescent="0.2">
      <c r="A934" t="str">
        <f t="shared" ref="A934:A950" si="56">A933</f>
        <v>801_Google</v>
      </c>
    </row>
    <row r="935" spans="1:1" x14ac:dyDescent="0.2">
      <c r="A935" t="str">
        <f t="shared" si="56"/>
        <v>801_Google</v>
      </c>
    </row>
    <row r="936" spans="1:1" x14ac:dyDescent="0.2">
      <c r="A936" t="str">
        <f t="shared" si="56"/>
        <v>801_Google</v>
      </c>
    </row>
    <row r="937" spans="1:1" x14ac:dyDescent="0.2">
      <c r="A937" t="str">
        <f t="shared" si="56"/>
        <v>801_Google</v>
      </c>
    </row>
    <row r="938" spans="1:1" x14ac:dyDescent="0.2">
      <c r="A938" t="str">
        <f t="shared" si="56"/>
        <v>801_Google</v>
      </c>
    </row>
    <row r="939" spans="1:1" x14ac:dyDescent="0.2">
      <c r="A939" t="str">
        <f t="shared" si="56"/>
        <v>801_Google</v>
      </c>
    </row>
    <row r="940" spans="1:1" x14ac:dyDescent="0.2">
      <c r="A940" t="str">
        <f t="shared" si="56"/>
        <v>801_Google</v>
      </c>
    </row>
    <row r="941" spans="1:1" x14ac:dyDescent="0.2">
      <c r="A941" t="str">
        <f t="shared" si="56"/>
        <v>801_Google</v>
      </c>
    </row>
    <row r="942" spans="1:1" x14ac:dyDescent="0.2">
      <c r="A942" t="str">
        <f t="shared" si="56"/>
        <v>801_Google</v>
      </c>
    </row>
    <row r="943" spans="1:1" x14ac:dyDescent="0.2">
      <c r="A943" t="str">
        <f t="shared" si="56"/>
        <v>801_Google</v>
      </c>
    </row>
    <row r="944" spans="1:1" x14ac:dyDescent="0.2">
      <c r="A944" t="str">
        <f t="shared" si="56"/>
        <v>801_Google</v>
      </c>
    </row>
    <row r="945" spans="1:37" x14ac:dyDescent="0.2">
      <c r="A945" t="str">
        <f t="shared" si="56"/>
        <v>801_Google</v>
      </c>
    </row>
    <row r="946" spans="1:37" x14ac:dyDescent="0.2">
      <c r="A946" t="str">
        <f t="shared" si="56"/>
        <v>801_Google</v>
      </c>
    </row>
    <row r="947" spans="1:37" x14ac:dyDescent="0.2">
      <c r="A947" t="str">
        <f t="shared" si="56"/>
        <v>801_Google</v>
      </c>
    </row>
    <row r="948" spans="1:37" x14ac:dyDescent="0.2">
      <c r="A948" t="str">
        <f t="shared" si="56"/>
        <v>801_Google</v>
      </c>
    </row>
    <row r="949" spans="1:37" x14ac:dyDescent="0.2">
      <c r="A949" t="str">
        <f t="shared" si="56"/>
        <v>801_Google</v>
      </c>
    </row>
    <row r="950" spans="1:37" x14ac:dyDescent="0.2">
      <c r="A950" t="str">
        <f t="shared" si="56"/>
        <v>801_Google</v>
      </c>
    </row>
    <row r="951" spans="1:37" x14ac:dyDescent="0.2">
      <c r="A951" t="str">
        <f>VLOOKUP("百度",表_首次要关键词[[#All],[首要关键词]:[排序]],2,0)&amp;"_百度"</f>
        <v>802_百度</v>
      </c>
    </row>
    <row r="952" spans="1:37" x14ac:dyDescent="0.2">
      <c r="A952" t="str">
        <f t="shared" ref="A952:A983" si="57">A951</f>
        <v>802_百度</v>
      </c>
      <c r="B952">
        <f t="shared" ref="B952:AK952" si="58">COUNTIFS(B953:B999,"&lt;&gt;")</f>
        <v>0</v>
      </c>
      <c r="C952">
        <f t="shared" si="58"/>
        <v>0</v>
      </c>
      <c r="D952">
        <f t="shared" si="58"/>
        <v>0</v>
      </c>
      <c r="E952">
        <f t="shared" si="58"/>
        <v>0</v>
      </c>
      <c r="F952">
        <f t="shared" si="58"/>
        <v>0</v>
      </c>
      <c r="G952">
        <f t="shared" si="58"/>
        <v>0</v>
      </c>
      <c r="H952">
        <f t="shared" si="58"/>
        <v>0</v>
      </c>
      <c r="I952">
        <f t="shared" si="58"/>
        <v>0</v>
      </c>
      <c r="J952">
        <f t="shared" si="58"/>
        <v>0</v>
      </c>
      <c r="K952">
        <f t="shared" si="58"/>
        <v>0</v>
      </c>
      <c r="L952">
        <f t="shared" si="58"/>
        <v>0</v>
      </c>
      <c r="M952">
        <f t="shared" si="58"/>
        <v>0</v>
      </c>
      <c r="N952">
        <f t="shared" si="58"/>
        <v>0</v>
      </c>
      <c r="O952">
        <f t="shared" si="58"/>
        <v>0</v>
      </c>
      <c r="P952">
        <f t="shared" si="58"/>
        <v>0</v>
      </c>
      <c r="Q952">
        <f t="shared" si="58"/>
        <v>0</v>
      </c>
      <c r="R952">
        <f t="shared" si="58"/>
        <v>0</v>
      </c>
      <c r="S952">
        <f t="shared" si="58"/>
        <v>0</v>
      </c>
      <c r="T952">
        <f t="shared" si="58"/>
        <v>0</v>
      </c>
      <c r="U952">
        <f t="shared" si="58"/>
        <v>0</v>
      </c>
      <c r="V952">
        <f t="shared" si="58"/>
        <v>0</v>
      </c>
      <c r="W952">
        <f t="shared" si="58"/>
        <v>0</v>
      </c>
      <c r="X952">
        <f t="shared" si="58"/>
        <v>0</v>
      </c>
      <c r="Y952">
        <f t="shared" si="58"/>
        <v>0</v>
      </c>
      <c r="Z952">
        <f t="shared" si="58"/>
        <v>0</v>
      </c>
      <c r="AA952">
        <f t="shared" si="58"/>
        <v>0</v>
      </c>
      <c r="AB952">
        <f t="shared" si="58"/>
        <v>0</v>
      </c>
      <c r="AC952">
        <f t="shared" si="58"/>
        <v>0</v>
      </c>
      <c r="AD952">
        <f t="shared" si="58"/>
        <v>0</v>
      </c>
      <c r="AE952">
        <f t="shared" si="58"/>
        <v>0</v>
      </c>
      <c r="AF952">
        <f t="shared" si="58"/>
        <v>0</v>
      </c>
      <c r="AG952">
        <f t="shared" si="58"/>
        <v>0</v>
      </c>
      <c r="AH952">
        <f t="shared" si="58"/>
        <v>0</v>
      </c>
      <c r="AI952">
        <f t="shared" si="58"/>
        <v>0</v>
      </c>
      <c r="AJ952">
        <f t="shared" si="58"/>
        <v>0</v>
      </c>
      <c r="AK952">
        <f t="shared" si="58"/>
        <v>0</v>
      </c>
    </row>
    <row r="953" spans="1:37" x14ac:dyDescent="0.2">
      <c r="A953" t="str">
        <f t="shared" si="57"/>
        <v>802_百度</v>
      </c>
    </row>
    <row r="954" spans="1:37" x14ac:dyDescent="0.2">
      <c r="A954" t="str">
        <f t="shared" si="57"/>
        <v>802_百度</v>
      </c>
    </row>
    <row r="955" spans="1:37" x14ac:dyDescent="0.2">
      <c r="A955" t="str">
        <f t="shared" si="57"/>
        <v>802_百度</v>
      </c>
    </row>
    <row r="956" spans="1:37" x14ac:dyDescent="0.2">
      <c r="A956" t="str">
        <f t="shared" si="57"/>
        <v>802_百度</v>
      </c>
    </row>
    <row r="957" spans="1:37" x14ac:dyDescent="0.2">
      <c r="A957" t="str">
        <f t="shared" si="57"/>
        <v>802_百度</v>
      </c>
    </row>
    <row r="958" spans="1:37" x14ac:dyDescent="0.2">
      <c r="A958" t="str">
        <f t="shared" si="57"/>
        <v>802_百度</v>
      </c>
    </row>
    <row r="959" spans="1:37" x14ac:dyDescent="0.2">
      <c r="A959" t="str">
        <f t="shared" si="57"/>
        <v>802_百度</v>
      </c>
    </row>
    <row r="960" spans="1:37" x14ac:dyDescent="0.2">
      <c r="A960" t="str">
        <f t="shared" si="57"/>
        <v>802_百度</v>
      </c>
    </row>
    <row r="961" spans="1:1" x14ac:dyDescent="0.2">
      <c r="A961" t="str">
        <f t="shared" si="57"/>
        <v>802_百度</v>
      </c>
    </row>
    <row r="962" spans="1:1" x14ac:dyDescent="0.2">
      <c r="A962" t="str">
        <f t="shared" si="57"/>
        <v>802_百度</v>
      </c>
    </row>
    <row r="963" spans="1:1" x14ac:dyDescent="0.2">
      <c r="A963" t="str">
        <f t="shared" si="57"/>
        <v>802_百度</v>
      </c>
    </row>
    <row r="964" spans="1:1" x14ac:dyDescent="0.2">
      <c r="A964" t="str">
        <f t="shared" si="57"/>
        <v>802_百度</v>
      </c>
    </row>
    <row r="965" spans="1:1" x14ac:dyDescent="0.2">
      <c r="A965" t="str">
        <f t="shared" si="57"/>
        <v>802_百度</v>
      </c>
    </row>
    <row r="966" spans="1:1" x14ac:dyDescent="0.2">
      <c r="A966" t="str">
        <f t="shared" si="57"/>
        <v>802_百度</v>
      </c>
    </row>
    <row r="967" spans="1:1" x14ac:dyDescent="0.2">
      <c r="A967" t="str">
        <f t="shared" si="57"/>
        <v>802_百度</v>
      </c>
    </row>
    <row r="968" spans="1:1" x14ac:dyDescent="0.2">
      <c r="A968" t="str">
        <f t="shared" si="57"/>
        <v>802_百度</v>
      </c>
    </row>
    <row r="969" spans="1:1" x14ac:dyDescent="0.2">
      <c r="A969" t="str">
        <f t="shared" si="57"/>
        <v>802_百度</v>
      </c>
    </row>
    <row r="970" spans="1:1" x14ac:dyDescent="0.2">
      <c r="A970" t="str">
        <f t="shared" si="57"/>
        <v>802_百度</v>
      </c>
    </row>
    <row r="971" spans="1:1" x14ac:dyDescent="0.2">
      <c r="A971" t="str">
        <f t="shared" si="57"/>
        <v>802_百度</v>
      </c>
    </row>
    <row r="972" spans="1:1" x14ac:dyDescent="0.2">
      <c r="A972" t="str">
        <f t="shared" si="57"/>
        <v>802_百度</v>
      </c>
    </row>
    <row r="973" spans="1:1" x14ac:dyDescent="0.2">
      <c r="A973" t="str">
        <f t="shared" si="57"/>
        <v>802_百度</v>
      </c>
    </row>
    <row r="974" spans="1:1" x14ac:dyDescent="0.2">
      <c r="A974" t="str">
        <f t="shared" si="57"/>
        <v>802_百度</v>
      </c>
    </row>
    <row r="975" spans="1:1" x14ac:dyDescent="0.2">
      <c r="A975" t="str">
        <f t="shared" si="57"/>
        <v>802_百度</v>
      </c>
    </row>
    <row r="976" spans="1:1" x14ac:dyDescent="0.2">
      <c r="A976" t="str">
        <f t="shared" si="57"/>
        <v>802_百度</v>
      </c>
    </row>
    <row r="977" spans="1:1" x14ac:dyDescent="0.2">
      <c r="A977" t="str">
        <f t="shared" si="57"/>
        <v>802_百度</v>
      </c>
    </row>
    <row r="978" spans="1:1" x14ac:dyDescent="0.2">
      <c r="A978" t="str">
        <f t="shared" si="57"/>
        <v>802_百度</v>
      </c>
    </row>
    <row r="979" spans="1:1" x14ac:dyDescent="0.2">
      <c r="A979" t="str">
        <f t="shared" si="57"/>
        <v>802_百度</v>
      </c>
    </row>
    <row r="980" spans="1:1" x14ac:dyDescent="0.2">
      <c r="A980" t="str">
        <f t="shared" si="57"/>
        <v>802_百度</v>
      </c>
    </row>
    <row r="981" spans="1:1" x14ac:dyDescent="0.2">
      <c r="A981" t="str">
        <f t="shared" si="57"/>
        <v>802_百度</v>
      </c>
    </row>
    <row r="982" spans="1:1" x14ac:dyDescent="0.2">
      <c r="A982" t="str">
        <f t="shared" si="57"/>
        <v>802_百度</v>
      </c>
    </row>
    <row r="983" spans="1:1" x14ac:dyDescent="0.2">
      <c r="A983" t="str">
        <f t="shared" si="57"/>
        <v>802_百度</v>
      </c>
    </row>
    <row r="984" spans="1:1" x14ac:dyDescent="0.2">
      <c r="A984" t="str">
        <f t="shared" ref="A984:A1000" si="59">A983</f>
        <v>802_百度</v>
      </c>
    </row>
    <row r="985" spans="1:1" x14ac:dyDescent="0.2">
      <c r="A985" t="str">
        <f t="shared" si="59"/>
        <v>802_百度</v>
      </c>
    </row>
    <row r="986" spans="1:1" x14ac:dyDescent="0.2">
      <c r="A986" t="str">
        <f t="shared" si="59"/>
        <v>802_百度</v>
      </c>
    </row>
    <row r="987" spans="1:1" x14ac:dyDescent="0.2">
      <c r="A987" t="str">
        <f t="shared" si="59"/>
        <v>802_百度</v>
      </c>
    </row>
    <row r="988" spans="1:1" x14ac:dyDescent="0.2">
      <c r="A988" t="str">
        <f t="shared" si="59"/>
        <v>802_百度</v>
      </c>
    </row>
    <row r="989" spans="1:1" x14ac:dyDescent="0.2">
      <c r="A989" t="str">
        <f t="shared" si="59"/>
        <v>802_百度</v>
      </c>
    </row>
    <row r="990" spans="1:1" x14ac:dyDescent="0.2">
      <c r="A990" t="str">
        <f t="shared" si="59"/>
        <v>802_百度</v>
      </c>
    </row>
    <row r="991" spans="1:1" x14ac:dyDescent="0.2">
      <c r="A991" t="str">
        <f t="shared" si="59"/>
        <v>802_百度</v>
      </c>
    </row>
    <row r="992" spans="1:1" x14ac:dyDescent="0.2">
      <c r="A992" t="str">
        <f t="shared" si="59"/>
        <v>802_百度</v>
      </c>
    </row>
    <row r="993" spans="1:37" x14ac:dyDescent="0.2">
      <c r="A993" t="str">
        <f t="shared" si="59"/>
        <v>802_百度</v>
      </c>
    </row>
    <row r="994" spans="1:37" x14ac:dyDescent="0.2">
      <c r="A994" t="str">
        <f t="shared" si="59"/>
        <v>802_百度</v>
      </c>
    </row>
    <row r="995" spans="1:37" x14ac:dyDescent="0.2">
      <c r="A995" t="str">
        <f t="shared" si="59"/>
        <v>802_百度</v>
      </c>
    </row>
    <row r="996" spans="1:37" x14ac:dyDescent="0.2">
      <c r="A996" t="str">
        <f t="shared" si="59"/>
        <v>802_百度</v>
      </c>
    </row>
    <row r="997" spans="1:37" x14ac:dyDescent="0.2">
      <c r="A997" t="str">
        <f t="shared" si="59"/>
        <v>802_百度</v>
      </c>
    </row>
    <row r="998" spans="1:37" x14ac:dyDescent="0.2">
      <c r="A998" t="str">
        <f t="shared" si="59"/>
        <v>802_百度</v>
      </c>
    </row>
    <row r="999" spans="1:37" x14ac:dyDescent="0.2">
      <c r="A999" t="str">
        <f t="shared" si="59"/>
        <v>802_百度</v>
      </c>
    </row>
    <row r="1000" spans="1:37" x14ac:dyDescent="0.2">
      <c r="A1000" t="str">
        <f t="shared" si="59"/>
        <v>802_百度</v>
      </c>
    </row>
    <row r="1001" spans="1:37" x14ac:dyDescent="0.2">
      <c r="A1001" t="str">
        <f>VLOOKUP("网易",表_首次要关键词[[#All],[首要关键词]:[排序]],2,0)&amp;"_网易"</f>
        <v>803_网易</v>
      </c>
    </row>
    <row r="1002" spans="1:37" x14ac:dyDescent="0.2">
      <c r="A1002" t="str">
        <f t="shared" ref="A1002:A1033" si="60">A1001</f>
        <v>803_网易</v>
      </c>
      <c r="B1002">
        <f t="shared" ref="B1002:AK1002" si="61">COUNTIFS(B1003:B1049,"&lt;&gt;")</f>
        <v>0</v>
      </c>
      <c r="C1002">
        <f t="shared" si="61"/>
        <v>0</v>
      </c>
      <c r="D1002">
        <f t="shared" si="61"/>
        <v>0</v>
      </c>
      <c r="E1002">
        <f t="shared" si="61"/>
        <v>0</v>
      </c>
      <c r="F1002">
        <f t="shared" si="61"/>
        <v>0</v>
      </c>
      <c r="G1002">
        <f t="shared" si="61"/>
        <v>0</v>
      </c>
      <c r="H1002">
        <f t="shared" si="61"/>
        <v>0</v>
      </c>
      <c r="I1002">
        <f t="shared" si="61"/>
        <v>0</v>
      </c>
      <c r="J1002">
        <f t="shared" si="61"/>
        <v>0</v>
      </c>
      <c r="K1002">
        <f t="shared" si="61"/>
        <v>0</v>
      </c>
      <c r="L1002">
        <f t="shared" si="61"/>
        <v>0</v>
      </c>
      <c r="M1002">
        <f t="shared" si="61"/>
        <v>0</v>
      </c>
      <c r="N1002">
        <f t="shared" si="61"/>
        <v>0</v>
      </c>
      <c r="O1002">
        <f t="shared" si="61"/>
        <v>0</v>
      </c>
      <c r="P1002">
        <f t="shared" si="61"/>
        <v>0</v>
      </c>
      <c r="Q1002">
        <f t="shared" si="61"/>
        <v>0</v>
      </c>
      <c r="R1002">
        <f t="shared" si="61"/>
        <v>0</v>
      </c>
      <c r="S1002">
        <f t="shared" si="61"/>
        <v>0</v>
      </c>
      <c r="T1002">
        <f t="shared" si="61"/>
        <v>0</v>
      </c>
      <c r="U1002">
        <f t="shared" si="61"/>
        <v>0</v>
      </c>
      <c r="V1002">
        <f t="shared" si="61"/>
        <v>0</v>
      </c>
      <c r="W1002">
        <f t="shared" si="61"/>
        <v>0</v>
      </c>
      <c r="X1002">
        <f t="shared" si="61"/>
        <v>0</v>
      </c>
      <c r="Y1002">
        <f t="shared" si="61"/>
        <v>0</v>
      </c>
      <c r="Z1002">
        <f t="shared" si="61"/>
        <v>0</v>
      </c>
      <c r="AA1002">
        <f t="shared" si="61"/>
        <v>0</v>
      </c>
      <c r="AB1002">
        <f t="shared" si="61"/>
        <v>0</v>
      </c>
      <c r="AC1002">
        <f t="shared" si="61"/>
        <v>0</v>
      </c>
      <c r="AD1002">
        <f t="shared" si="61"/>
        <v>0</v>
      </c>
      <c r="AE1002">
        <f t="shared" si="61"/>
        <v>0</v>
      </c>
      <c r="AF1002">
        <f t="shared" si="61"/>
        <v>0</v>
      </c>
      <c r="AG1002">
        <f t="shared" si="61"/>
        <v>0</v>
      </c>
      <c r="AH1002">
        <f t="shared" si="61"/>
        <v>0</v>
      </c>
      <c r="AI1002">
        <f t="shared" si="61"/>
        <v>0</v>
      </c>
      <c r="AJ1002">
        <f t="shared" si="61"/>
        <v>0</v>
      </c>
      <c r="AK1002">
        <f t="shared" si="61"/>
        <v>0</v>
      </c>
    </row>
    <row r="1003" spans="1:37" x14ac:dyDescent="0.2">
      <c r="A1003" t="str">
        <f t="shared" si="60"/>
        <v>803_网易</v>
      </c>
    </row>
    <row r="1004" spans="1:37" x14ac:dyDescent="0.2">
      <c r="A1004" t="str">
        <f t="shared" si="60"/>
        <v>803_网易</v>
      </c>
    </row>
    <row r="1005" spans="1:37" x14ac:dyDescent="0.2">
      <c r="A1005" t="str">
        <f t="shared" si="60"/>
        <v>803_网易</v>
      </c>
    </row>
    <row r="1006" spans="1:37" x14ac:dyDescent="0.2">
      <c r="A1006" t="str">
        <f t="shared" si="60"/>
        <v>803_网易</v>
      </c>
    </row>
    <row r="1007" spans="1:37" x14ac:dyDescent="0.2">
      <c r="A1007" t="str">
        <f t="shared" si="60"/>
        <v>803_网易</v>
      </c>
    </row>
    <row r="1008" spans="1:37" x14ac:dyDescent="0.2">
      <c r="A1008" t="str">
        <f t="shared" si="60"/>
        <v>803_网易</v>
      </c>
    </row>
    <row r="1009" spans="1:1" x14ac:dyDescent="0.2">
      <c r="A1009" t="str">
        <f t="shared" si="60"/>
        <v>803_网易</v>
      </c>
    </row>
    <row r="1010" spans="1:1" x14ac:dyDescent="0.2">
      <c r="A1010" t="str">
        <f t="shared" si="60"/>
        <v>803_网易</v>
      </c>
    </row>
    <row r="1011" spans="1:1" x14ac:dyDescent="0.2">
      <c r="A1011" t="str">
        <f t="shared" si="60"/>
        <v>803_网易</v>
      </c>
    </row>
    <row r="1012" spans="1:1" x14ac:dyDescent="0.2">
      <c r="A1012" t="str">
        <f t="shared" si="60"/>
        <v>803_网易</v>
      </c>
    </row>
    <row r="1013" spans="1:1" x14ac:dyDescent="0.2">
      <c r="A1013" t="str">
        <f t="shared" si="60"/>
        <v>803_网易</v>
      </c>
    </row>
    <row r="1014" spans="1:1" x14ac:dyDescent="0.2">
      <c r="A1014" t="str">
        <f t="shared" si="60"/>
        <v>803_网易</v>
      </c>
    </row>
    <row r="1015" spans="1:1" x14ac:dyDescent="0.2">
      <c r="A1015" t="str">
        <f t="shared" si="60"/>
        <v>803_网易</v>
      </c>
    </row>
    <row r="1016" spans="1:1" x14ac:dyDescent="0.2">
      <c r="A1016" t="str">
        <f t="shared" si="60"/>
        <v>803_网易</v>
      </c>
    </row>
    <row r="1017" spans="1:1" x14ac:dyDescent="0.2">
      <c r="A1017" t="str">
        <f t="shared" si="60"/>
        <v>803_网易</v>
      </c>
    </row>
    <row r="1018" spans="1:1" x14ac:dyDescent="0.2">
      <c r="A1018" t="str">
        <f t="shared" si="60"/>
        <v>803_网易</v>
      </c>
    </row>
    <row r="1019" spans="1:1" x14ac:dyDescent="0.2">
      <c r="A1019" t="str">
        <f t="shared" si="60"/>
        <v>803_网易</v>
      </c>
    </row>
    <row r="1020" spans="1:1" x14ac:dyDescent="0.2">
      <c r="A1020" t="str">
        <f t="shared" si="60"/>
        <v>803_网易</v>
      </c>
    </row>
    <row r="1021" spans="1:1" x14ac:dyDescent="0.2">
      <c r="A1021" t="str">
        <f t="shared" si="60"/>
        <v>803_网易</v>
      </c>
    </row>
    <row r="1022" spans="1:1" x14ac:dyDescent="0.2">
      <c r="A1022" t="str">
        <f t="shared" si="60"/>
        <v>803_网易</v>
      </c>
    </row>
    <row r="1023" spans="1:1" x14ac:dyDescent="0.2">
      <c r="A1023" t="str">
        <f t="shared" si="60"/>
        <v>803_网易</v>
      </c>
    </row>
    <row r="1024" spans="1:1" x14ac:dyDescent="0.2">
      <c r="A1024" t="str">
        <f t="shared" si="60"/>
        <v>803_网易</v>
      </c>
    </row>
    <row r="1025" spans="1:1" x14ac:dyDescent="0.2">
      <c r="A1025" t="str">
        <f t="shared" si="60"/>
        <v>803_网易</v>
      </c>
    </row>
    <row r="1026" spans="1:1" x14ac:dyDescent="0.2">
      <c r="A1026" t="str">
        <f t="shared" si="60"/>
        <v>803_网易</v>
      </c>
    </row>
    <row r="1027" spans="1:1" x14ac:dyDescent="0.2">
      <c r="A1027" t="str">
        <f t="shared" si="60"/>
        <v>803_网易</v>
      </c>
    </row>
    <row r="1028" spans="1:1" x14ac:dyDescent="0.2">
      <c r="A1028" t="str">
        <f t="shared" si="60"/>
        <v>803_网易</v>
      </c>
    </row>
    <row r="1029" spans="1:1" x14ac:dyDescent="0.2">
      <c r="A1029" t="str">
        <f t="shared" si="60"/>
        <v>803_网易</v>
      </c>
    </row>
    <row r="1030" spans="1:1" x14ac:dyDescent="0.2">
      <c r="A1030" t="str">
        <f t="shared" si="60"/>
        <v>803_网易</v>
      </c>
    </row>
    <row r="1031" spans="1:1" x14ac:dyDescent="0.2">
      <c r="A1031" t="str">
        <f t="shared" si="60"/>
        <v>803_网易</v>
      </c>
    </row>
    <row r="1032" spans="1:1" x14ac:dyDescent="0.2">
      <c r="A1032" t="str">
        <f t="shared" si="60"/>
        <v>803_网易</v>
      </c>
    </row>
    <row r="1033" spans="1:1" x14ac:dyDescent="0.2">
      <c r="A1033" t="str">
        <f t="shared" si="60"/>
        <v>803_网易</v>
      </c>
    </row>
    <row r="1034" spans="1:1" x14ac:dyDescent="0.2">
      <c r="A1034" t="str">
        <f t="shared" ref="A1034:A1050" si="62">A1033</f>
        <v>803_网易</v>
      </c>
    </row>
    <row r="1035" spans="1:1" x14ac:dyDescent="0.2">
      <c r="A1035" t="str">
        <f t="shared" si="62"/>
        <v>803_网易</v>
      </c>
    </row>
    <row r="1036" spans="1:1" x14ac:dyDescent="0.2">
      <c r="A1036" t="str">
        <f t="shared" si="62"/>
        <v>803_网易</v>
      </c>
    </row>
    <row r="1037" spans="1:1" x14ac:dyDescent="0.2">
      <c r="A1037" t="str">
        <f t="shared" si="62"/>
        <v>803_网易</v>
      </c>
    </row>
    <row r="1038" spans="1:1" x14ac:dyDescent="0.2">
      <c r="A1038" t="str">
        <f t="shared" si="62"/>
        <v>803_网易</v>
      </c>
    </row>
    <row r="1039" spans="1:1" x14ac:dyDescent="0.2">
      <c r="A1039" t="str">
        <f t="shared" si="62"/>
        <v>803_网易</v>
      </c>
    </row>
    <row r="1040" spans="1:1" x14ac:dyDescent="0.2">
      <c r="A1040" t="str">
        <f t="shared" si="62"/>
        <v>803_网易</v>
      </c>
    </row>
    <row r="1041" spans="1:37" x14ac:dyDescent="0.2">
      <c r="A1041" t="str">
        <f t="shared" si="62"/>
        <v>803_网易</v>
      </c>
    </row>
    <row r="1042" spans="1:37" x14ac:dyDescent="0.2">
      <c r="A1042" t="str">
        <f t="shared" si="62"/>
        <v>803_网易</v>
      </c>
    </row>
    <row r="1043" spans="1:37" x14ac:dyDescent="0.2">
      <c r="A1043" t="str">
        <f t="shared" si="62"/>
        <v>803_网易</v>
      </c>
    </row>
    <row r="1044" spans="1:37" x14ac:dyDescent="0.2">
      <c r="A1044" t="str">
        <f t="shared" si="62"/>
        <v>803_网易</v>
      </c>
    </row>
    <row r="1045" spans="1:37" x14ac:dyDescent="0.2">
      <c r="A1045" t="str">
        <f t="shared" si="62"/>
        <v>803_网易</v>
      </c>
    </row>
    <row r="1046" spans="1:37" x14ac:dyDescent="0.2">
      <c r="A1046" t="str">
        <f t="shared" si="62"/>
        <v>803_网易</v>
      </c>
    </row>
    <row r="1047" spans="1:37" x14ac:dyDescent="0.2">
      <c r="A1047" t="str">
        <f t="shared" si="62"/>
        <v>803_网易</v>
      </c>
    </row>
    <row r="1048" spans="1:37" x14ac:dyDescent="0.2">
      <c r="A1048" t="str">
        <f t="shared" si="62"/>
        <v>803_网易</v>
      </c>
    </row>
    <row r="1049" spans="1:37" x14ac:dyDescent="0.2">
      <c r="A1049" t="str">
        <f t="shared" si="62"/>
        <v>803_网易</v>
      </c>
    </row>
    <row r="1050" spans="1:37" x14ac:dyDescent="0.2">
      <c r="A1050" t="str">
        <f t="shared" si="62"/>
        <v>803_网易</v>
      </c>
    </row>
    <row r="1051" spans="1:37" x14ac:dyDescent="0.2">
      <c r="A1051" t="str">
        <f>VLOOKUP("网购平台",表_首次要关键词[[#All],[首要关键词]:[排序]],2,0)&amp;"_网购平台"</f>
        <v>900_网购平台</v>
      </c>
    </row>
    <row r="1052" spans="1:37" x14ac:dyDescent="0.2">
      <c r="A1052" t="str">
        <f t="shared" ref="A1052:A1083" si="63">A1051</f>
        <v>900_网购平台</v>
      </c>
      <c r="B1052">
        <f t="shared" ref="B1052:AK1052" si="64">COUNTIFS(B1053:B1099,"&lt;&gt;")</f>
        <v>0</v>
      </c>
      <c r="C1052">
        <f t="shared" si="64"/>
        <v>0</v>
      </c>
      <c r="D1052">
        <f t="shared" si="64"/>
        <v>0</v>
      </c>
      <c r="E1052">
        <f t="shared" si="64"/>
        <v>0</v>
      </c>
      <c r="F1052">
        <f t="shared" si="64"/>
        <v>0</v>
      </c>
      <c r="G1052">
        <f t="shared" si="64"/>
        <v>0</v>
      </c>
      <c r="H1052">
        <f t="shared" si="64"/>
        <v>0</v>
      </c>
      <c r="I1052">
        <f t="shared" si="64"/>
        <v>0</v>
      </c>
      <c r="J1052">
        <f t="shared" si="64"/>
        <v>0</v>
      </c>
      <c r="K1052">
        <f t="shared" si="64"/>
        <v>0</v>
      </c>
      <c r="L1052">
        <f t="shared" si="64"/>
        <v>0</v>
      </c>
      <c r="M1052">
        <f t="shared" si="64"/>
        <v>0</v>
      </c>
      <c r="N1052">
        <f t="shared" si="64"/>
        <v>0</v>
      </c>
      <c r="O1052">
        <f t="shared" si="64"/>
        <v>0</v>
      </c>
      <c r="P1052">
        <f t="shared" si="64"/>
        <v>0</v>
      </c>
      <c r="Q1052">
        <f t="shared" si="64"/>
        <v>0</v>
      </c>
      <c r="R1052">
        <f t="shared" si="64"/>
        <v>0</v>
      </c>
      <c r="S1052">
        <f t="shared" si="64"/>
        <v>0</v>
      </c>
      <c r="T1052">
        <f t="shared" si="64"/>
        <v>0</v>
      </c>
      <c r="U1052">
        <f t="shared" si="64"/>
        <v>0</v>
      </c>
      <c r="V1052">
        <f t="shared" si="64"/>
        <v>0</v>
      </c>
      <c r="W1052">
        <f t="shared" si="64"/>
        <v>0</v>
      </c>
      <c r="X1052">
        <f t="shared" si="64"/>
        <v>0</v>
      </c>
      <c r="Y1052">
        <f t="shared" si="64"/>
        <v>0</v>
      </c>
      <c r="Z1052">
        <f t="shared" si="64"/>
        <v>0</v>
      </c>
      <c r="AA1052">
        <f t="shared" si="64"/>
        <v>0</v>
      </c>
      <c r="AB1052">
        <f t="shared" si="64"/>
        <v>0</v>
      </c>
      <c r="AC1052">
        <f t="shared" si="64"/>
        <v>0</v>
      </c>
      <c r="AD1052">
        <f t="shared" si="64"/>
        <v>0</v>
      </c>
      <c r="AE1052">
        <f t="shared" si="64"/>
        <v>0</v>
      </c>
      <c r="AF1052">
        <f t="shared" si="64"/>
        <v>0</v>
      </c>
      <c r="AG1052">
        <f t="shared" si="64"/>
        <v>0</v>
      </c>
      <c r="AH1052">
        <f t="shared" si="64"/>
        <v>0</v>
      </c>
      <c r="AI1052">
        <f t="shared" si="64"/>
        <v>0</v>
      </c>
      <c r="AJ1052">
        <f t="shared" si="64"/>
        <v>0</v>
      </c>
      <c r="AK1052">
        <f t="shared" si="64"/>
        <v>0</v>
      </c>
    </row>
    <row r="1053" spans="1:37" x14ac:dyDescent="0.2">
      <c r="A1053" t="str">
        <f t="shared" si="63"/>
        <v>900_网购平台</v>
      </c>
    </row>
    <row r="1054" spans="1:37" x14ac:dyDescent="0.2">
      <c r="A1054" t="str">
        <f t="shared" si="63"/>
        <v>900_网购平台</v>
      </c>
    </row>
    <row r="1055" spans="1:37" x14ac:dyDescent="0.2">
      <c r="A1055" t="str">
        <f t="shared" si="63"/>
        <v>900_网购平台</v>
      </c>
    </row>
    <row r="1056" spans="1:37" x14ac:dyDescent="0.2">
      <c r="A1056" t="str">
        <f t="shared" si="63"/>
        <v>900_网购平台</v>
      </c>
    </row>
    <row r="1057" spans="1:1" x14ac:dyDescent="0.2">
      <c r="A1057" t="str">
        <f t="shared" si="63"/>
        <v>900_网购平台</v>
      </c>
    </row>
    <row r="1058" spans="1:1" x14ac:dyDescent="0.2">
      <c r="A1058" t="str">
        <f t="shared" si="63"/>
        <v>900_网购平台</v>
      </c>
    </row>
    <row r="1059" spans="1:1" x14ac:dyDescent="0.2">
      <c r="A1059" t="str">
        <f t="shared" si="63"/>
        <v>900_网购平台</v>
      </c>
    </row>
    <row r="1060" spans="1:1" x14ac:dyDescent="0.2">
      <c r="A1060" t="str">
        <f t="shared" si="63"/>
        <v>900_网购平台</v>
      </c>
    </row>
    <row r="1061" spans="1:1" x14ac:dyDescent="0.2">
      <c r="A1061" t="str">
        <f t="shared" si="63"/>
        <v>900_网购平台</v>
      </c>
    </row>
    <row r="1062" spans="1:1" x14ac:dyDescent="0.2">
      <c r="A1062" t="str">
        <f t="shared" si="63"/>
        <v>900_网购平台</v>
      </c>
    </row>
    <row r="1063" spans="1:1" x14ac:dyDescent="0.2">
      <c r="A1063" t="str">
        <f t="shared" si="63"/>
        <v>900_网购平台</v>
      </c>
    </row>
    <row r="1064" spans="1:1" x14ac:dyDescent="0.2">
      <c r="A1064" t="str">
        <f t="shared" si="63"/>
        <v>900_网购平台</v>
      </c>
    </row>
    <row r="1065" spans="1:1" x14ac:dyDescent="0.2">
      <c r="A1065" t="str">
        <f t="shared" si="63"/>
        <v>900_网购平台</v>
      </c>
    </row>
    <row r="1066" spans="1:1" x14ac:dyDescent="0.2">
      <c r="A1066" t="str">
        <f t="shared" si="63"/>
        <v>900_网购平台</v>
      </c>
    </row>
    <row r="1067" spans="1:1" x14ac:dyDescent="0.2">
      <c r="A1067" t="str">
        <f t="shared" si="63"/>
        <v>900_网购平台</v>
      </c>
    </row>
    <row r="1068" spans="1:1" x14ac:dyDescent="0.2">
      <c r="A1068" t="str">
        <f t="shared" si="63"/>
        <v>900_网购平台</v>
      </c>
    </row>
    <row r="1069" spans="1:1" x14ac:dyDescent="0.2">
      <c r="A1069" t="str">
        <f t="shared" si="63"/>
        <v>900_网购平台</v>
      </c>
    </row>
    <row r="1070" spans="1:1" x14ac:dyDescent="0.2">
      <c r="A1070" t="str">
        <f t="shared" si="63"/>
        <v>900_网购平台</v>
      </c>
    </row>
    <row r="1071" spans="1:1" x14ac:dyDescent="0.2">
      <c r="A1071" t="str">
        <f t="shared" si="63"/>
        <v>900_网购平台</v>
      </c>
    </row>
    <row r="1072" spans="1:1" x14ac:dyDescent="0.2">
      <c r="A1072" t="str">
        <f t="shared" si="63"/>
        <v>900_网购平台</v>
      </c>
    </row>
    <row r="1073" spans="1:1" x14ac:dyDescent="0.2">
      <c r="A1073" t="str">
        <f t="shared" si="63"/>
        <v>900_网购平台</v>
      </c>
    </row>
    <row r="1074" spans="1:1" x14ac:dyDescent="0.2">
      <c r="A1074" t="str">
        <f t="shared" si="63"/>
        <v>900_网购平台</v>
      </c>
    </row>
    <row r="1075" spans="1:1" x14ac:dyDescent="0.2">
      <c r="A1075" t="str">
        <f t="shared" si="63"/>
        <v>900_网购平台</v>
      </c>
    </row>
    <row r="1076" spans="1:1" x14ac:dyDescent="0.2">
      <c r="A1076" t="str">
        <f t="shared" si="63"/>
        <v>900_网购平台</v>
      </c>
    </row>
    <row r="1077" spans="1:1" x14ac:dyDescent="0.2">
      <c r="A1077" t="str">
        <f t="shared" si="63"/>
        <v>900_网购平台</v>
      </c>
    </row>
    <row r="1078" spans="1:1" x14ac:dyDescent="0.2">
      <c r="A1078" t="str">
        <f t="shared" si="63"/>
        <v>900_网购平台</v>
      </c>
    </row>
    <row r="1079" spans="1:1" x14ac:dyDescent="0.2">
      <c r="A1079" t="str">
        <f t="shared" si="63"/>
        <v>900_网购平台</v>
      </c>
    </row>
    <row r="1080" spans="1:1" x14ac:dyDescent="0.2">
      <c r="A1080" t="str">
        <f t="shared" si="63"/>
        <v>900_网购平台</v>
      </c>
    </row>
    <row r="1081" spans="1:1" x14ac:dyDescent="0.2">
      <c r="A1081" t="str">
        <f t="shared" si="63"/>
        <v>900_网购平台</v>
      </c>
    </row>
    <row r="1082" spans="1:1" x14ac:dyDescent="0.2">
      <c r="A1082" t="str">
        <f t="shared" si="63"/>
        <v>900_网购平台</v>
      </c>
    </row>
    <row r="1083" spans="1:1" x14ac:dyDescent="0.2">
      <c r="A1083" t="str">
        <f t="shared" si="63"/>
        <v>900_网购平台</v>
      </c>
    </row>
    <row r="1084" spans="1:1" x14ac:dyDescent="0.2">
      <c r="A1084" t="str">
        <f t="shared" ref="A1084:A1100" si="65">A1083</f>
        <v>900_网购平台</v>
      </c>
    </row>
    <row r="1085" spans="1:1" x14ac:dyDescent="0.2">
      <c r="A1085" t="str">
        <f t="shared" si="65"/>
        <v>900_网购平台</v>
      </c>
    </row>
    <row r="1086" spans="1:1" x14ac:dyDescent="0.2">
      <c r="A1086" t="str">
        <f t="shared" si="65"/>
        <v>900_网购平台</v>
      </c>
    </row>
    <row r="1087" spans="1:1" x14ac:dyDescent="0.2">
      <c r="A1087" t="str">
        <f t="shared" si="65"/>
        <v>900_网购平台</v>
      </c>
    </row>
    <row r="1088" spans="1:1" x14ac:dyDescent="0.2">
      <c r="A1088" t="str">
        <f t="shared" si="65"/>
        <v>900_网购平台</v>
      </c>
    </row>
    <row r="1089" spans="1:37" x14ac:dyDescent="0.2">
      <c r="A1089" t="str">
        <f t="shared" si="65"/>
        <v>900_网购平台</v>
      </c>
    </row>
    <row r="1090" spans="1:37" x14ac:dyDescent="0.2">
      <c r="A1090" t="str">
        <f t="shared" si="65"/>
        <v>900_网购平台</v>
      </c>
    </row>
    <row r="1091" spans="1:37" x14ac:dyDescent="0.2">
      <c r="A1091" t="str">
        <f t="shared" si="65"/>
        <v>900_网购平台</v>
      </c>
    </row>
    <row r="1092" spans="1:37" x14ac:dyDescent="0.2">
      <c r="A1092" t="str">
        <f t="shared" si="65"/>
        <v>900_网购平台</v>
      </c>
    </row>
    <row r="1093" spans="1:37" x14ac:dyDescent="0.2">
      <c r="A1093" t="str">
        <f t="shared" si="65"/>
        <v>900_网购平台</v>
      </c>
    </row>
    <row r="1094" spans="1:37" x14ac:dyDescent="0.2">
      <c r="A1094" t="str">
        <f t="shared" si="65"/>
        <v>900_网购平台</v>
      </c>
    </row>
    <row r="1095" spans="1:37" x14ac:dyDescent="0.2">
      <c r="A1095" t="str">
        <f t="shared" si="65"/>
        <v>900_网购平台</v>
      </c>
    </row>
    <row r="1096" spans="1:37" x14ac:dyDescent="0.2">
      <c r="A1096" t="str">
        <f t="shared" si="65"/>
        <v>900_网购平台</v>
      </c>
    </row>
    <row r="1097" spans="1:37" x14ac:dyDescent="0.2">
      <c r="A1097" t="str">
        <f t="shared" si="65"/>
        <v>900_网购平台</v>
      </c>
    </row>
    <row r="1098" spans="1:37" x14ac:dyDescent="0.2">
      <c r="A1098" t="str">
        <f t="shared" si="65"/>
        <v>900_网购平台</v>
      </c>
    </row>
    <row r="1099" spans="1:37" x14ac:dyDescent="0.2">
      <c r="A1099" t="str">
        <f t="shared" si="65"/>
        <v>900_网购平台</v>
      </c>
    </row>
    <row r="1100" spans="1:37" x14ac:dyDescent="0.2">
      <c r="A1100" t="str">
        <f t="shared" si="65"/>
        <v>900_网购平台</v>
      </c>
    </row>
    <row r="1101" spans="1:37" x14ac:dyDescent="0.2">
      <c r="A1101" t="str">
        <f>VLOOKUP("邮箱",表_首次要关键词[[#All],[首要关键词]:[排序]],2,0)&amp;"_邮箱"</f>
        <v>901_邮箱</v>
      </c>
    </row>
    <row r="1102" spans="1:37" x14ac:dyDescent="0.2">
      <c r="A1102" t="str">
        <f t="shared" ref="A1102:A1133" si="66">A1101</f>
        <v>901_邮箱</v>
      </c>
      <c r="B1102">
        <f t="shared" ref="B1102:AK1102" si="67">COUNTIFS(B1103:B1149,"&lt;&gt;")</f>
        <v>0</v>
      </c>
      <c r="C1102">
        <f t="shared" si="67"/>
        <v>0</v>
      </c>
      <c r="D1102">
        <f t="shared" si="67"/>
        <v>0</v>
      </c>
      <c r="E1102">
        <f t="shared" si="67"/>
        <v>0</v>
      </c>
      <c r="F1102">
        <f t="shared" si="67"/>
        <v>0</v>
      </c>
      <c r="G1102">
        <f t="shared" si="67"/>
        <v>0</v>
      </c>
      <c r="H1102">
        <f t="shared" si="67"/>
        <v>0</v>
      </c>
      <c r="I1102">
        <f t="shared" si="67"/>
        <v>0</v>
      </c>
      <c r="J1102">
        <f t="shared" si="67"/>
        <v>0</v>
      </c>
      <c r="K1102">
        <f t="shared" si="67"/>
        <v>0</v>
      </c>
      <c r="L1102">
        <f t="shared" si="67"/>
        <v>0</v>
      </c>
      <c r="M1102">
        <f t="shared" si="67"/>
        <v>0</v>
      </c>
      <c r="N1102">
        <f t="shared" si="67"/>
        <v>0</v>
      </c>
      <c r="O1102">
        <f t="shared" si="67"/>
        <v>0</v>
      </c>
      <c r="P1102">
        <f t="shared" si="67"/>
        <v>0</v>
      </c>
      <c r="Q1102">
        <f t="shared" si="67"/>
        <v>0</v>
      </c>
      <c r="R1102">
        <f t="shared" si="67"/>
        <v>0</v>
      </c>
      <c r="S1102">
        <f t="shared" si="67"/>
        <v>0</v>
      </c>
      <c r="T1102">
        <f t="shared" si="67"/>
        <v>0</v>
      </c>
      <c r="U1102">
        <f t="shared" si="67"/>
        <v>0</v>
      </c>
      <c r="V1102">
        <f t="shared" si="67"/>
        <v>0</v>
      </c>
      <c r="W1102">
        <f t="shared" si="67"/>
        <v>0</v>
      </c>
      <c r="X1102">
        <f t="shared" si="67"/>
        <v>0</v>
      </c>
      <c r="Y1102">
        <f t="shared" si="67"/>
        <v>0</v>
      </c>
      <c r="Z1102">
        <f t="shared" si="67"/>
        <v>0</v>
      </c>
      <c r="AA1102">
        <f t="shared" si="67"/>
        <v>0</v>
      </c>
      <c r="AB1102">
        <f t="shared" si="67"/>
        <v>0</v>
      </c>
      <c r="AC1102">
        <f t="shared" si="67"/>
        <v>0</v>
      </c>
      <c r="AD1102">
        <f t="shared" si="67"/>
        <v>0</v>
      </c>
      <c r="AE1102">
        <f t="shared" si="67"/>
        <v>0</v>
      </c>
      <c r="AF1102">
        <f t="shared" si="67"/>
        <v>0</v>
      </c>
      <c r="AG1102">
        <f t="shared" si="67"/>
        <v>0</v>
      </c>
      <c r="AH1102">
        <f t="shared" si="67"/>
        <v>0</v>
      </c>
      <c r="AI1102">
        <f t="shared" si="67"/>
        <v>0</v>
      </c>
      <c r="AJ1102">
        <f t="shared" si="67"/>
        <v>0</v>
      </c>
      <c r="AK1102">
        <f t="shared" si="67"/>
        <v>0</v>
      </c>
    </row>
    <row r="1103" spans="1:37" x14ac:dyDescent="0.2">
      <c r="A1103" t="str">
        <f t="shared" si="66"/>
        <v>901_邮箱</v>
      </c>
    </row>
    <row r="1104" spans="1:37" x14ac:dyDescent="0.2">
      <c r="A1104" t="str">
        <f t="shared" si="66"/>
        <v>901_邮箱</v>
      </c>
    </row>
    <row r="1105" spans="1:1" x14ac:dyDescent="0.2">
      <c r="A1105" t="str">
        <f t="shared" si="66"/>
        <v>901_邮箱</v>
      </c>
    </row>
    <row r="1106" spans="1:1" x14ac:dyDescent="0.2">
      <c r="A1106" t="str">
        <f t="shared" si="66"/>
        <v>901_邮箱</v>
      </c>
    </row>
    <row r="1107" spans="1:1" x14ac:dyDescent="0.2">
      <c r="A1107" t="str">
        <f t="shared" si="66"/>
        <v>901_邮箱</v>
      </c>
    </row>
    <row r="1108" spans="1:1" x14ac:dyDescent="0.2">
      <c r="A1108" t="str">
        <f t="shared" si="66"/>
        <v>901_邮箱</v>
      </c>
    </row>
    <row r="1109" spans="1:1" x14ac:dyDescent="0.2">
      <c r="A1109" t="str">
        <f t="shared" si="66"/>
        <v>901_邮箱</v>
      </c>
    </row>
    <row r="1110" spans="1:1" x14ac:dyDescent="0.2">
      <c r="A1110" t="str">
        <f t="shared" si="66"/>
        <v>901_邮箱</v>
      </c>
    </row>
    <row r="1111" spans="1:1" x14ac:dyDescent="0.2">
      <c r="A1111" t="str">
        <f t="shared" si="66"/>
        <v>901_邮箱</v>
      </c>
    </row>
    <row r="1112" spans="1:1" x14ac:dyDescent="0.2">
      <c r="A1112" t="str">
        <f t="shared" si="66"/>
        <v>901_邮箱</v>
      </c>
    </row>
    <row r="1113" spans="1:1" x14ac:dyDescent="0.2">
      <c r="A1113" t="str">
        <f t="shared" si="66"/>
        <v>901_邮箱</v>
      </c>
    </row>
    <row r="1114" spans="1:1" x14ac:dyDescent="0.2">
      <c r="A1114" t="str">
        <f t="shared" si="66"/>
        <v>901_邮箱</v>
      </c>
    </row>
    <row r="1115" spans="1:1" x14ac:dyDescent="0.2">
      <c r="A1115" t="str">
        <f t="shared" si="66"/>
        <v>901_邮箱</v>
      </c>
    </row>
    <row r="1116" spans="1:1" x14ac:dyDescent="0.2">
      <c r="A1116" t="str">
        <f t="shared" si="66"/>
        <v>901_邮箱</v>
      </c>
    </row>
    <row r="1117" spans="1:1" x14ac:dyDescent="0.2">
      <c r="A1117" t="str">
        <f t="shared" si="66"/>
        <v>901_邮箱</v>
      </c>
    </row>
    <row r="1118" spans="1:1" x14ac:dyDescent="0.2">
      <c r="A1118" t="str">
        <f t="shared" si="66"/>
        <v>901_邮箱</v>
      </c>
    </row>
    <row r="1119" spans="1:1" x14ac:dyDescent="0.2">
      <c r="A1119" t="str">
        <f t="shared" si="66"/>
        <v>901_邮箱</v>
      </c>
    </row>
    <row r="1120" spans="1:1" x14ac:dyDescent="0.2">
      <c r="A1120" t="str">
        <f t="shared" si="66"/>
        <v>901_邮箱</v>
      </c>
    </row>
    <row r="1121" spans="1:1" x14ac:dyDescent="0.2">
      <c r="A1121" t="str">
        <f t="shared" si="66"/>
        <v>901_邮箱</v>
      </c>
    </row>
    <row r="1122" spans="1:1" x14ac:dyDescent="0.2">
      <c r="A1122" t="str">
        <f t="shared" si="66"/>
        <v>901_邮箱</v>
      </c>
    </row>
    <row r="1123" spans="1:1" x14ac:dyDescent="0.2">
      <c r="A1123" t="str">
        <f t="shared" si="66"/>
        <v>901_邮箱</v>
      </c>
    </row>
    <row r="1124" spans="1:1" x14ac:dyDescent="0.2">
      <c r="A1124" t="str">
        <f t="shared" si="66"/>
        <v>901_邮箱</v>
      </c>
    </row>
    <row r="1125" spans="1:1" x14ac:dyDescent="0.2">
      <c r="A1125" t="str">
        <f t="shared" si="66"/>
        <v>901_邮箱</v>
      </c>
    </row>
    <row r="1126" spans="1:1" x14ac:dyDescent="0.2">
      <c r="A1126" t="str">
        <f t="shared" si="66"/>
        <v>901_邮箱</v>
      </c>
    </row>
    <row r="1127" spans="1:1" x14ac:dyDescent="0.2">
      <c r="A1127" t="str">
        <f t="shared" si="66"/>
        <v>901_邮箱</v>
      </c>
    </row>
    <row r="1128" spans="1:1" x14ac:dyDescent="0.2">
      <c r="A1128" t="str">
        <f t="shared" si="66"/>
        <v>901_邮箱</v>
      </c>
    </row>
    <row r="1129" spans="1:1" x14ac:dyDescent="0.2">
      <c r="A1129" t="str">
        <f t="shared" si="66"/>
        <v>901_邮箱</v>
      </c>
    </row>
    <row r="1130" spans="1:1" x14ac:dyDescent="0.2">
      <c r="A1130" t="str">
        <f t="shared" si="66"/>
        <v>901_邮箱</v>
      </c>
    </row>
    <row r="1131" spans="1:1" x14ac:dyDescent="0.2">
      <c r="A1131" t="str">
        <f t="shared" si="66"/>
        <v>901_邮箱</v>
      </c>
    </row>
    <row r="1132" spans="1:1" x14ac:dyDescent="0.2">
      <c r="A1132" t="str">
        <f t="shared" si="66"/>
        <v>901_邮箱</v>
      </c>
    </row>
    <row r="1133" spans="1:1" x14ac:dyDescent="0.2">
      <c r="A1133" t="str">
        <f t="shared" si="66"/>
        <v>901_邮箱</v>
      </c>
    </row>
    <row r="1134" spans="1:1" x14ac:dyDescent="0.2">
      <c r="A1134" t="str">
        <f t="shared" ref="A1134:A1150" si="68">A1133</f>
        <v>901_邮箱</v>
      </c>
    </row>
    <row r="1135" spans="1:1" x14ac:dyDescent="0.2">
      <c r="A1135" t="str">
        <f t="shared" si="68"/>
        <v>901_邮箱</v>
      </c>
    </row>
    <row r="1136" spans="1:1" x14ac:dyDescent="0.2">
      <c r="A1136" t="str">
        <f t="shared" si="68"/>
        <v>901_邮箱</v>
      </c>
    </row>
    <row r="1137" spans="1:37" x14ac:dyDescent="0.2">
      <c r="A1137" t="str">
        <f t="shared" si="68"/>
        <v>901_邮箱</v>
      </c>
    </row>
    <row r="1138" spans="1:37" x14ac:dyDescent="0.2">
      <c r="A1138" t="str">
        <f t="shared" si="68"/>
        <v>901_邮箱</v>
      </c>
    </row>
    <row r="1139" spans="1:37" x14ac:dyDescent="0.2">
      <c r="A1139" t="str">
        <f t="shared" si="68"/>
        <v>901_邮箱</v>
      </c>
    </row>
    <row r="1140" spans="1:37" x14ac:dyDescent="0.2">
      <c r="A1140" t="str">
        <f t="shared" si="68"/>
        <v>901_邮箱</v>
      </c>
    </row>
    <row r="1141" spans="1:37" x14ac:dyDescent="0.2">
      <c r="A1141" t="str">
        <f t="shared" si="68"/>
        <v>901_邮箱</v>
      </c>
    </row>
    <row r="1142" spans="1:37" x14ac:dyDescent="0.2">
      <c r="A1142" t="str">
        <f t="shared" si="68"/>
        <v>901_邮箱</v>
      </c>
    </row>
    <row r="1143" spans="1:37" x14ac:dyDescent="0.2">
      <c r="A1143" t="str">
        <f t="shared" si="68"/>
        <v>901_邮箱</v>
      </c>
    </row>
    <row r="1144" spans="1:37" x14ac:dyDescent="0.2">
      <c r="A1144" t="str">
        <f t="shared" si="68"/>
        <v>901_邮箱</v>
      </c>
    </row>
    <row r="1145" spans="1:37" x14ac:dyDescent="0.2">
      <c r="A1145" t="str">
        <f t="shared" si="68"/>
        <v>901_邮箱</v>
      </c>
    </row>
    <row r="1146" spans="1:37" x14ac:dyDescent="0.2">
      <c r="A1146" t="str">
        <f t="shared" si="68"/>
        <v>901_邮箱</v>
      </c>
    </row>
    <row r="1147" spans="1:37" x14ac:dyDescent="0.2">
      <c r="A1147" t="str">
        <f t="shared" si="68"/>
        <v>901_邮箱</v>
      </c>
    </row>
    <row r="1148" spans="1:37" x14ac:dyDescent="0.2">
      <c r="A1148" t="str">
        <f t="shared" si="68"/>
        <v>901_邮箱</v>
      </c>
    </row>
    <row r="1149" spans="1:37" x14ac:dyDescent="0.2">
      <c r="A1149" t="str">
        <f t="shared" si="68"/>
        <v>901_邮箱</v>
      </c>
    </row>
    <row r="1150" spans="1:37" x14ac:dyDescent="0.2">
      <c r="A1150" t="str">
        <f t="shared" si="68"/>
        <v>901_邮箱</v>
      </c>
    </row>
    <row r="1151" spans="1:37" x14ac:dyDescent="0.2">
      <c r="A1151" t="str">
        <f>VLOOKUP("图片",表_首次要关键词[[#All],[首要关键词]:[排序]],2,0)&amp;"_图片"</f>
        <v>902_图片</v>
      </c>
    </row>
    <row r="1152" spans="1:37" x14ac:dyDescent="0.2">
      <c r="A1152" t="str">
        <f t="shared" ref="A1152:A1183" si="69">A1151</f>
        <v>902_图片</v>
      </c>
      <c r="B1152">
        <f t="shared" ref="B1152:AK1152" si="70">COUNTIFS(B1153:B1199,"&lt;&gt;")</f>
        <v>0</v>
      </c>
      <c r="C1152">
        <f t="shared" si="70"/>
        <v>0</v>
      </c>
      <c r="D1152">
        <f t="shared" si="70"/>
        <v>0</v>
      </c>
      <c r="E1152">
        <f t="shared" si="70"/>
        <v>0</v>
      </c>
      <c r="F1152">
        <f t="shared" si="70"/>
        <v>0</v>
      </c>
      <c r="G1152">
        <f t="shared" si="70"/>
        <v>0</v>
      </c>
      <c r="H1152">
        <f t="shared" si="70"/>
        <v>0</v>
      </c>
      <c r="I1152">
        <f t="shared" si="70"/>
        <v>0</v>
      </c>
      <c r="J1152">
        <f t="shared" si="70"/>
        <v>0</v>
      </c>
      <c r="K1152">
        <f t="shared" si="70"/>
        <v>0</v>
      </c>
      <c r="L1152">
        <f t="shared" si="70"/>
        <v>0</v>
      </c>
      <c r="M1152">
        <f t="shared" si="70"/>
        <v>0</v>
      </c>
      <c r="N1152">
        <f t="shared" si="70"/>
        <v>0</v>
      </c>
      <c r="O1152">
        <f t="shared" si="70"/>
        <v>0</v>
      </c>
      <c r="P1152">
        <f t="shared" si="70"/>
        <v>0</v>
      </c>
      <c r="Q1152">
        <f t="shared" si="70"/>
        <v>0</v>
      </c>
      <c r="R1152">
        <f t="shared" si="70"/>
        <v>0</v>
      </c>
      <c r="S1152">
        <f t="shared" si="70"/>
        <v>0</v>
      </c>
      <c r="T1152">
        <f t="shared" si="70"/>
        <v>0</v>
      </c>
      <c r="U1152">
        <f t="shared" si="70"/>
        <v>0</v>
      </c>
      <c r="V1152">
        <f t="shared" si="70"/>
        <v>0</v>
      </c>
      <c r="W1152">
        <f t="shared" si="70"/>
        <v>0</v>
      </c>
      <c r="X1152">
        <f t="shared" si="70"/>
        <v>0</v>
      </c>
      <c r="Y1152">
        <f t="shared" si="70"/>
        <v>0</v>
      </c>
      <c r="Z1152">
        <f t="shared" si="70"/>
        <v>0</v>
      </c>
      <c r="AA1152">
        <f t="shared" si="70"/>
        <v>0</v>
      </c>
      <c r="AB1152">
        <f t="shared" si="70"/>
        <v>0</v>
      </c>
      <c r="AC1152">
        <f t="shared" si="70"/>
        <v>0</v>
      </c>
      <c r="AD1152">
        <f t="shared" si="70"/>
        <v>0</v>
      </c>
      <c r="AE1152">
        <f t="shared" si="70"/>
        <v>0</v>
      </c>
      <c r="AF1152">
        <f t="shared" si="70"/>
        <v>0</v>
      </c>
      <c r="AG1152">
        <f t="shared" si="70"/>
        <v>0</v>
      </c>
      <c r="AH1152">
        <f t="shared" si="70"/>
        <v>0</v>
      </c>
      <c r="AI1152">
        <f t="shared" si="70"/>
        <v>0</v>
      </c>
      <c r="AJ1152">
        <f t="shared" si="70"/>
        <v>0</v>
      </c>
      <c r="AK1152">
        <f t="shared" si="70"/>
        <v>0</v>
      </c>
    </row>
    <row r="1153" spans="1:1" x14ac:dyDescent="0.2">
      <c r="A1153" t="str">
        <f t="shared" si="69"/>
        <v>902_图片</v>
      </c>
    </row>
    <row r="1154" spans="1:1" x14ac:dyDescent="0.2">
      <c r="A1154" t="str">
        <f t="shared" si="69"/>
        <v>902_图片</v>
      </c>
    </row>
    <row r="1155" spans="1:1" x14ac:dyDescent="0.2">
      <c r="A1155" t="str">
        <f t="shared" si="69"/>
        <v>902_图片</v>
      </c>
    </row>
    <row r="1156" spans="1:1" x14ac:dyDescent="0.2">
      <c r="A1156" t="str">
        <f t="shared" si="69"/>
        <v>902_图片</v>
      </c>
    </row>
    <row r="1157" spans="1:1" x14ac:dyDescent="0.2">
      <c r="A1157" t="str">
        <f t="shared" si="69"/>
        <v>902_图片</v>
      </c>
    </row>
    <row r="1158" spans="1:1" x14ac:dyDescent="0.2">
      <c r="A1158" t="str">
        <f t="shared" si="69"/>
        <v>902_图片</v>
      </c>
    </row>
    <row r="1159" spans="1:1" x14ac:dyDescent="0.2">
      <c r="A1159" t="str">
        <f t="shared" si="69"/>
        <v>902_图片</v>
      </c>
    </row>
    <row r="1160" spans="1:1" x14ac:dyDescent="0.2">
      <c r="A1160" t="str">
        <f t="shared" si="69"/>
        <v>902_图片</v>
      </c>
    </row>
    <row r="1161" spans="1:1" x14ac:dyDescent="0.2">
      <c r="A1161" t="str">
        <f t="shared" si="69"/>
        <v>902_图片</v>
      </c>
    </row>
    <row r="1162" spans="1:1" x14ac:dyDescent="0.2">
      <c r="A1162" t="str">
        <f t="shared" si="69"/>
        <v>902_图片</v>
      </c>
    </row>
    <row r="1163" spans="1:1" x14ac:dyDescent="0.2">
      <c r="A1163" t="str">
        <f t="shared" si="69"/>
        <v>902_图片</v>
      </c>
    </row>
    <row r="1164" spans="1:1" x14ac:dyDescent="0.2">
      <c r="A1164" t="str">
        <f t="shared" si="69"/>
        <v>902_图片</v>
      </c>
    </row>
    <row r="1165" spans="1:1" x14ac:dyDescent="0.2">
      <c r="A1165" t="str">
        <f t="shared" si="69"/>
        <v>902_图片</v>
      </c>
    </row>
    <row r="1166" spans="1:1" x14ac:dyDescent="0.2">
      <c r="A1166" t="str">
        <f t="shared" si="69"/>
        <v>902_图片</v>
      </c>
    </row>
    <row r="1167" spans="1:1" x14ac:dyDescent="0.2">
      <c r="A1167" t="str">
        <f t="shared" si="69"/>
        <v>902_图片</v>
      </c>
    </row>
    <row r="1168" spans="1:1" x14ac:dyDescent="0.2">
      <c r="A1168" t="str">
        <f t="shared" si="69"/>
        <v>902_图片</v>
      </c>
    </row>
    <row r="1169" spans="1:1" x14ac:dyDescent="0.2">
      <c r="A1169" t="str">
        <f t="shared" si="69"/>
        <v>902_图片</v>
      </c>
    </row>
    <row r="1170" spans="1:1" x14ac:dyDescent="0.2">
      <c r="A1170" t="str">
        <f t="shared" si="69"/>
        <v>902_图片</v>
      </c>
    </row>
    <row r="1171" spans="1:1" x14ac:dyDescent="0.2">
      <c r="A1171" t="str">
        <f t="shared" si="69"/>
        <v>902_图片</v>
      </c>
    </row>
    <row r="1172" spans="1:1" x14ac:dyDescent="0.2">
      <c r="A1172" t="str">
        <f t="shared" si="69"/>
        <v>902_图片</v>
      </c>
    </row>
    <row r="1173" spans="1:1" x14ac:dyDescent="0.2">
      <c r="A1173" t="str">
        <f t="shared" si="69"/>
        <v>902_图片</v>
      </c>
    </row>
    <row r="1174" spans="1:1" x14ac:dyDescent="0.2">
      <c r="A1174" t="str">
        <f t="shared" si="69"/>
        <v>902_图片</v>
      </c>
    </row>
    <row r="1175" spans="1:1" x14ac:dyDescent="0.2">
      <c r="A1175" t="str">
        <f t="shared" si="69"/>
        <v>902_图片</v>
      </c>
    </row>
    <row r="1176" spans="1:1" x14ac:dyDescent="0.2">
      <c r="A1176" t="str">
        <f t="shared" si="69"/>
        <v>902_图片</v>
      </c>
    </row>
    <row r="1177" spans="1:1" x14ac:dyDescent="0.2">
      <c r="A1177" t="str">
        <f t="shared" si="69"/>
        <v>902_图片</v>
      </c>
    </row>
    <row r="1178" spans="1:1" x14ac:dyDescent="0.2">
      <c r="A1178" t="str">
        <f t="shared" si="69"/>
        <v>902_图片</v>
      </c>
    </row>
    <row r="1179" spans="1:1" x14ac:dyDescent="0.2">
      <c r="A1179" t="str">
        <f t="shared" si="69"/>
        <v>902_图片</v>
      </c>
    </row>
    <row r="1180" spans="1:1" x14ac:dyDescent="0.2">
      <c r="A1180" t="str">
        <f t="shared" si="69"/>
        <v>902_图片</v>
      </c>
    </row>
    <row r="1181" spans="1:1" x14ac:dyDescent="0.2">
      <c r="A1181" t="str">
        <f t="shared" si="69"/>
        <v>902_图片</v>
      </c>
    </row>
    <row r="1182" spans="1:1" x14ac:dyDescent="0.2">
      <c r="A1182" t="str">
        <f t="shared" si="69"/>
        <v>902_图片</v>
      </c>
    </row>
    <row r="1183" spans="1:1" x14ac:dyDescent="0.2">
      <c r="A1183" t="str">
        <f t="shared" si="69"/>
        <v>902_图片</v>
      </c>
    </row>
    <row r="1184" spans="1:1" x14ac:dyDescent="0.2">
      <c r="A1184" t="str">
        <f t="shared" ref="A1184:A1200" si="71">A1183</f>
        <v>902_图片</v>
      </c>
    </row>
    <row r="1185" spans="1:1" x14ac:dyDescent="0.2">
      <c r="A1185" t="str">
        <f t="shared" si="71"/>
        <v>902_图片</v>
      </c>
    </row>
    <row r="1186" spans="1:1" x14ac:dyDescent="0.2">
      <c r="A1186" t="str">
        <f t="shared" si="71"/>
        <v>902_图片</v>
      </c>
    </row>
    <row r="1187" spans="1:1" x14ac:dyDescent="0.2">
      <c r="A1187" t="str">
        <f t="shared" si="71"/>
        <v>902_图片</v>
      </c>
    </row>
    <row r="1188" spans="1:1" x14ac:dyDescent="0.2">
      <c r="A1188" t="str">
        <f t="shared" si="71"/>
        <v>902_图片</v>
      </c>
    </row>
    <row r="1189" spans="1:1" x14ac:dyDescent="0.2">
      <c r="A1189" t="str">
        <f t="shared" si="71"/>
        <v>902_图片</v>
      </c>
    </row>
    <row r="1190" spans="1:1" x14ac:dyDescent="0.2">
      <c r="A1190" t="str">
        <f t="shared" si="71"/>
        <v>902_图片</v>
      </c>
    </row>
    <row r="1191" spans="1:1" x14ac:dyDescent="0.2">
      <c r="A1191" t="str">
        <f t="shared" si="71"/>
        <v>902_图片</v>
      </c>
    </row>
    <row r="1192" spans="1:1" x14ac:dyDescent="0.2">
      <c r="A1192" t="str">
        <f t="shared" si="71"/>
        <v>902_图片</v>
      </c>
    </row>
    <row r="1193" spans="1:1" x14ac:dyDescent="0.2">
      <c r="A1193" t="str">
        <f t="shared" si="71"/>
        <v>902_图片</v>
      </c>
    </row>
    <row r="1194" spans="1:1" x14ac:dyDescent="0.2">
      <c r="A1194" t="str">
        <f t="shared" si="71"/>
        <v>902_图片</v>
      </c>
    </row>
    <row r="1195" spans="1:1" x14ac:dyDescent="0.2">
      <c r="A1195" t="str">
        <f t="shared" si="71"/>
        <v>902_图片</v>
      </c>
    </row>
    <row r="1196" spans="1:1" x14ac:dyDescent="0.2">
      <c r="A1196" t="str">
        <f t="shared" si="71"/>
        <v>902_图片</v>
      </c>
    </row>
    <row r="1197" spans="1:1" x14ac:dyDescent="0.2">
      <c r="A1197" t="str">
        <f t="shared" si="71"/>
        <v>902_图片</v>
      </c>
    </row>
    <row r="1198" spans="1:1" x14ac:dyDescent="0.2">
      <c r="A1198" t="str">
        <f t="shared" si="71"/>
        <v>902_图片</v>
      </c>
    </row>
    <row r="1199" spans="1:1" x14ac:dyDescent="0.2">
      <c r="A1199" t="str">
        <f t="shared" si="71"/>
        <v>902_图片</v>
      </c>
    </row>
    <row r="1200" spans="1:1" x14ac:dyDescent="0.2">
      <c r="A1200" t="str">
        <f t="shared" si="71"/>
        <v>902_图片</v>
      </c>
    </row>
    <row r="1201" spans="1:37" x14ac:dyDescent="0.2">
      <c r="A1201" t="str">
        <f>VLOOKUP("云服务",表_首次要关键词[[#All],[首要关键词]:[排序]],2,0)&amp;"_云服务"</f>
        <v>903_云服务</v>
      </c>
    </row>
    <row r="1202" spans="1:37" x14ac:dyDescent="0.2">
      <c r="A1202" t="str">
        <f t="shared" ref="A1202:A1233" si="72">A1201</f>
        <v>903_云服务</v>
      </c>
      <c r="B1202">
        <f t="shared" ref="B1202:AK1202" si="73">COUNTIFS(B1203:B1249,"&lt;&gt;")</f>
        <v>0</v>
      </c>
      <c r="C1202">
        <f t="shared" si="73"/>
        <v>0</v>
      </c>
      <c r="D1202">
        <f t="shared" si="73"/>
        <v>0</v>
      </c>
      <c r="E1202">
        <f t="shared" si="73"/>
        <v>0</v>
      </c>
      <c r="F1202">
        <f t="shared" si="73"/>
        <v>0</v>
      </c>
      <c r="G1202">
        <f t="shared" si="73"/>
        <v>0</v>
      </c>
      <c r="H1202">
        <f t="shared" si="73"/>
        <v>0</v>
      </c>
      <c r="I1202">
        <f t="shared" si="73"/>
        <v>0</v>
      </c>
      <c r="J1202">
        <f t="shared" si="73"/>
        <v>0</v>
      </c>
      <c r="K1202">
        <f t="shared" si="73"/>
        <v>0</v>
      </c>
      <c r="L1202">
        <f t="shared" si="73"/>
        <v>0</v>
      </c>
      <c r="M1202">
        <f t="shared" si="73"/>
        <v>0</v>
      </c>
      <c r="N1202">
        <f t="shared" si="73"/>
        <v>0</v>
      </c>
      <c r="O1202">
        <f t="shared" si="73"/>
        <v>0</v>
      </c>
      <c r="P1202">
        <f t="shared" si="73"/>
        <v>0</v>
      </c>
      <c r="Q1202">
        <f t="shared" si="73"/>
        <v>0</v>
      </c>
      <c r="R1202">
        <f t="shared" si="73"/>
        <v>0</v>
      </c>
      <c r="S1202">
        <f t="shared" si="73"/>
        <v>0</v>
      </c>
      <c r="T1202">
        <f t="shared" si="73"/>
        <v>0</v>
      </c>
      <c r="U1202">
        <f t="shared" si="73"/>
        <v>0</v>
      </c>
      <c r="V1202">
        <f t="shared" si="73"/>
        <v>0</v>
      </c>
      <c r="W1202">
        <f t="shared" si="73"/>
        <v>0</v>
      </c>
      <c r="X1202">
        <f t="shared" si="73"/>
        <v>0</v>
      </c>
      <c r="Y1202">
        <f t="shared" si="73"/>
        <v>0</v>
      </c>
      <c r="Z1202">
        <f t="shared" si="73"/>
        <v>0</v>
      </c>
      <c r="AA1202">
        <f t="shared" si="73"/>
        <v>0</v>
      </c>
      <c r="AB1202">
        <f t="shared" si="73"/>
        <v>0</v>
      </c>
      <c r="AC1202">
        <f t="shared" si="73"/>
        <v>0</v>
      </c>
      <c r="AD1202">
        <f t="shared" si="73"/>
        <v>0</v>
      </c>
      <c r="AE1202">
        <f t="shared" si="73"/>
        <v>0</v>
      </c>
      <c r="AF1202">
        <f t="shared" si="73"/>
        <v>0</v>
      </c>
      <c r="AG1202">
        <f t="shared" si="73"/>
        <v>0</v>
      </c>
      <c r="AH1202">
        <f t="shared" si="73"/>
        <v>0</v>
      </c>
      <c r="AI1202">
        <f t="shared" si="73"/>
        <v>0</v>
      </c>
      <c r="AJ1202">
        <f t="shared" si="73"/>
        <v>0</v>
      </c>
      <c r="AK1202">
        <f t="shared" si="73"/>
        <v>0</v>
      </c>
    </row>
    <row r="1203" spans="1:37" x14ac:dyDescent="0.2">
      <c r="A1203" t="str">
        <f t="shared" si="72"/>
        <v>903_云服务</v>
      </c>
    </row>
    <row r="1204" spans="1:37" x14ac:dyDescent="0.2">
      <c r="A1204" t="str">
        <f t="shared" si="72"/>
        <v>903_云服务</v>
      </c>
    </row>
    <row r="1205" spans="1:37" x14ac:dyDescent="0.2">
      <c r="A1205" t="str">
        <f t="shared" si="72"/>
        <v>903_云服务</v>
      </c>
    </row>
    <row r="1206" spans="1:37" x14ac:dyDescent="0.2">
      <c r="A1206" t="str">
        <f t="shared" si="72"/>
        <v>903_云服务</v>
      </c>
    </row>
    <row r="1207" spans="1:37" x14ac:dyDescent="0.2">
      <c r="A1207" t="str">
        <f t="shared" si="72"/>
        <v>903_云服务</v>
      </c>
    </row>
    <row r="1208" spans="1:37" x14ac:dyDescent="0.2">
      <c r="A1208" t="str">
        <f t="shared" si="72"/>
        <v>903_云服务</v>
      </c>
    </row>
    <row r="1209" spans="1:37" x14ac:dyDescent="0.2">
      <c r="A1209" t="str">
        <f t="shared" si="72"/>
        <v>903_云服务</v>
      </c>
    </row>
    <row r="1210" spans="1:37" x14ac:dyDescent="0.2">
      <c r="A1210" t="str">
        <f t="shared" si="72"/>
        <v>903_云服务</v>
      </c>
    </row>
    <row r="1211" spans="1:37" x14ac:dyDescent="0.2">
      <c r="A1211" t="str">
        <f t="shared" si="72"/>
        <v>903_云服务</v>
      </c>
    </row>
    <row r="1212" spans="1:37" x14ac:dyDescent="0.2">
      <c r="A1212" t="str">
        <f t="shared" si="72"/>
        <v>903_云服务</v>
      </c>
    </row>
    <row r="1213" spans="1:37" x14ac:dyDescent="0.2">
      <c r="A1213" t="str">
        <f t="shared" si="72"/>
        <v>903_云服务</v>
      </c>
    </row>
    <row r="1214" spans="1:37" x14ac:dyDescent="0.2">
      <c r="A1214" t="str">
        <f t="shared" si="72"/>
        <v>903_云服务</v>
      </c>
    </row>
    <row r="1215" spans="1:37" x14ac:dyDescent="0.2">
      <c r="A1215" t="str">
        <f t="shared" si="72"/>
        <v>903_云服务</v>
      </c>
    </row>
    <row r="1216" spans="1:37" x14ac:dyDescent="0.2">
      <c r="A1216" t="str">
        <f t="shared" si="72"/>
        <v>903_云服务</v>
      </c>
    </row>
    <row r="1217" spans="1:1" x14ac:dyDescent="0.2">
      <c r="A1217" t="str">
        <f t="shared" si="72"/>
        <v>903_云服务</v>
      </c>
    </row>
    <row r="1218" spans="1:1" x14ac:dyDescent="0.2">
      <c r="A1218" t="str">
        <f t="shared" si="72"/>
        <v>903_云服务</v>
      </c>
    </row>
    <row r="1219" spans="1:1" x14ac:dyDescent="0.2">
      <c r="A1219" t="str">
        <f t="shared" si="72"/>
        <v>903_云服务</v>
      </c>
    </row>
    <row r="1220" spans="1:1" x14ac:dyDescent="0.2">
      <c r="A1220" t="str">
        <f t="shared" si="72"/>
        <v>903_云服务</v>
      </c>
    </row>
    <row r="1221" spans="1:1" x14ac:dyDescent="0.2">
      <c r="A1221" t="str">
        <f t="shared" si="72"/>
        <v>903_云服务</v>
      </c>
    </row>
    <row r="1222" spans="1:1" x14ac:dyDescent="0.2">
      <c r="A1222" t="str">
        <f t="shared" si="72"/>
        <v>903_云服务</v>
      </c>
    </row>
    <row r="1223" spans="1:1" x14ac:dyDescent="0.2">
      <c r="A1223" t="str">
        <f t="shared" si="72"/>
        <v>903_云服务</v>
      </c>
    </row>
    <row r="1224" spans="1:1" x14ac:dyDescent="0.2">
      <c r="A1224" t="str">
        <f t="shared" si="72"/>
        <v>903_云服务</v>
      </c>
    </row>
    <row r="1225" spans="1:1" x14ac:dyDescent="0.2">
      <c r="A1225" t="str">
        <f t="shared" si="72"/>
        <v>903_云服务</v>
      </c>
    </row>
    <row r="1226" spans="1:1" x14ac:dyDescent="0.2">
      <c r="A1226" t="str">
        <f t="shared" si="72"/>
        <v>903_云服务</v>
      </c>
    </row>
    <row r="1227" spans="1:1" x14ac:dyDescent="0.2">
      <c r="A1227" t="str">
        <f t="shared" si="72"/>
        <v>903_云服务</v>
      </c>
    </row>
    <row r="1228" spans="1:1" x14ac:dyDescent="0.2">
      <c r="A1228" t="str">
        <f t="shared" si="72"/>
        <v>903_云服务</v>
      </c>
    </row>
    <row r="1229" spans="1:1" x14ac:dyDescent="0.2">
      <c r="A1229" t="str">
        <f t="shared" si="72"/>
        <v>903_云服务</v>
      </c>
    </row>
    <row r="1230" spans="1:1" x14ac:dyDescent="0.2">
      <c r="A1230" t="str">
        <f t="shared" si="72"/>
        <v>903_云服务</v>
      </c>
    </row>
    <row r="1231" spans="1:1" x14ac:dyDescent="0.2">
      <c r="A1231" t="str">
        <f t="shared" si="72"/>
        <v>903_云服务</v>
      </c>
    </row>
    <row r="1232" spans="1:1" x14ac:dyDescent="0.2">
      <c r="A1232" t="str">
        <f t="shared" si="72"/>
        <v>903_云服务</v>
      </c>
    </row>
    <row r="1233" spans="1:1" x14ac:dyDescent="0.2">
      <c r="A1233" t="str">
        <f t="shared" si="72"/>
        <v>903_云服务</v>
      </c>
    </row>
    <row r="1234" spans="1:1" x14ac:dyDescent="0.2">
      <c r="A1234" t="str">
        <f t="shared" ref="A1234:A1250" si="74">A1233</f>
        <v>903_云服务</v>
      </c>
    </row>
    <row r="1235" spans="1:1" x14ac:dyDescent="0.2">
      <c r="A1235" t="str">
        <f t="shared" si="74"/>
        <v>903_云服务</v>
      </c>
    </row>
    <row r="1236" spans="1:1" x14ac:dyDescent="0.2">
      <c r="A1236" t="str">
        <f t="shared" si="74"/>
        <v>903_云服务</v>
      </c>
    </row>
    <row r="1237" spans="1:1" x14ac:dyDescent="0.2">
      <c r="A1237" t="str">
        <f t="shared" si="74"/>
        <v>903_云服务</v>
      </c>
    </row>
    <row r="1238" spans="1:1" x14ac:dyDescent="0.2">
      <c r="A1238" t="str">
        <f t="shared" si="74"/>
        <v>903_云服务</v>
      </c>
    </row>
    <row r="1239" spans="1:1" x14ac:dyDescent="0.2">
      <c r="A1239" t="str">
        <f t="shared" si="74"/>
        <v>903_云服务</v>
      </c>
    </row>
    <row r="1240" spans="1:1" x14ac:dyDescent="0.2">
      <c r="A1240" t="str">
        <f t="shared" si="74"/>
        <v>903_云服务</v>
      </c>
    </row>
    <row r="1241" spans="1:1" x14ac:dyDescent="0.2">
      <c r="A1241" t="str">
        <f t="shared" si="74"/>
        <v>903_云服务</v>
      </c>
    </row>
    <row r="1242" spans="1:1" x14ac:dyDescent="0.2">
      <c r="A1242" t="str">
        <f t="shared" si="74"/>
        <v>903_云服务</v>
      </c>
    </row>
    <row r="1243" spans="1:1" x14ac:dyDescent="0.2">
      <c r="A1243" t="str">
        <f t="shared" si="74"/>
        <v>903_云服务</v>
      </c>
    </row>
    <row r="1244" spans="1:1" x14ac:dyDescent="0.2">
      <c r="A1244" t="str">
        <f t="shared" si="74"/>
        <v>903_云服务</v>
      </c>
    </row>
    <row r="1245" spans="1:1" x14ac:dyDescent="0.2">
      <c r="A1245" t="str">
        <f t="shared" si="74"/>
        <v>903_云服务</v>
      </c>
    </row>
    <row r="1246" spans="1:1" x14ac:dyDescent="0.2">
      <c r="A1246" t="str">
        <f t="shared" si="74"/>
        <v>903_云服务</v>
      </c>
    </row>
    <row r="1247" spans="1:1" x14ac:dyDescent="0.2">
      <c r="A1247" t="str">
        <f t="shared" si="74"/>
        <v>903_云服务</v>
      </c>
    </row>
    <row r="1248" spans="1:1" x14ac:dyDescent="0.2">
      <c r="A1248" t="str">
        <f t="shared" si="74"/>
        <v>903_云服务</v>
      </c>
    </row>
    <row r="1249" spans="1:37" x14ac:dyDescent="0.2">
      <c r="A1249" t="str">
        <f t="shared" si="74"/>
        <v>903_云服务</v>
      </c>
    </row>
    <row r="1250" spans="1:37" x14ac:dyDescent="0.2">
      <c r="A1250" t="str">
        <f t="shared" si="74"/>
        <v>903_云服务</v>
      </c>
    </row>
    <row r="1251" spans="1:37" x14ac:dyDescent="0.2">
      <c r="A1251" t="str">
        <f>VLOOKUP("在线教育",表_首次要关键词[[#All],[首要关键词]:[排序]],2,0)&amp;"_在线教育"</f>
        <v>904_在线教育</v>
      </c>
    </row>
    <row r="1252" spans="1:37" x14ac:dyDescent="0.2">
      <c r="A1252" t="str">
        <f t="shared" ref="A1252:A1283" si="75">A1251</f>
        <v>904_在线教育</v>
      </c>
      <c r="B1252">
        <f t="shared" ref="B1252:AK1252" si="76">COUNTIFS(B1253:B1299,"&lt;&gt;")</f>
        <v>0</v>
      </c>
      <c r="C1252">
        <f t="shared" si="76"/>
        <v>0</v>
      </c>
      <c r="D1252">
        <f t="shared" si="76"/>
        <v>0</v>
      </c>
      <c r="E1252">
        <f t="shared" si="76"/>
        <v>0</v>
      </c>
      <c r="F1252">
        <f t="shared" si="76"/>
        <v>0</v>
      </c>
      <c r="G1252">
        <f t="shared" si="76"/>
        <v>0</v>
      </c>
      <c r="H1252">
        <f t="shared" si="76"/>
        <v>0</v>
      </c>
      <c r="I1252">
        <f t="shared" si="76"/>
        <v>0</v>
      </c>
      <c r="J1252">
        <f t="shared" si="76"/>
        <v>0</v>
      </c>
      <c r="K1252">
        <f t="shared" si="76"/>
        <v>0</v>
      </c>
      <c r="L1252">
        <f t="shared" si="76"/>
        <v>0</v>
      </c>
      <c r="M1252">
        <f t="shared" si="76"/>
        <v>0</v>
      </c>
      <c r="N1252">
        <f t="shared" si="76"/>
        <v>0</v>
      </c>
      <c r="O1252">
        <f t="shared" si="76"/>
        <v>0</v>
      </c>
      <c r="P1252">
        <f t="shared" si="76"/>
        <v>0</v>
      </c>
      <c r="Q1252">
        <f t="shared" si="76"/>
        <v>0</v>
      </c>
      <c r="R1252">
        <f t="shared" si="76"/>
        <v>0</v>
      </c>
      <c r="S1252">
        <f t="shared" si="76"/>
        <v>0</v>
      </c>
      <c r="T1252">
        <f t="shared" si="76"/>
        <v>0</v>
      </c>
      <c r="U1252">
        <f t="shared" si="76"/>
        <v>0</v>
      </c>
      <c r="V1252">
        <f t="shared" si="76"/>
        <v>0</v>
      </c>
      <c r="W1252">
        <f t="shared" si="76"/>
        <v>0</v>
      </c>
      <c r="X1252">
        <f t="shared" si="76"/>
        <v>0</v>
      </c>
      <c r="Y1252">
        <f t="shared" si="76"/>
        <v>0</v>
      </c>
      <c r="Z1252">
        <f t="shared" si="76"/>
        <v>0</v>
      </c>
      <c r="AA1252">
        <f t="shared" si="76"/>
        <v>0</v>
      </c>
      <c r="AB1252">
        <f t="shared" si="76"/>
        <v>0</v>
      </c>
      <c r="AC1252">
        <f t="shared" si="76"/>
        <v>0</v>
      </c>
      <c r="AD1252">
        <f t="shared" si="76"/>
        <v>0</v>
      </c>
      <c r="AE1252">
        <f t="shared" si="76"/>
        <v>0</v>
      </c>
      <c r="AF1252">
        <f t="shared" si="76"/>
        <v>0</v>
      </c>
      <c r="AG1252">
        <f t="shared" si="76"/>
        <v>0</v>
      </c>
      <c r="AH1252">
        <f t="shared" si="76"/>
        <v>0</v>
      </c>
      <c r="AI1252">
        <f t="shared" si="76"/>
        <v>0</v>
      </c>
      <c r="AJ1252">
        <f t="shared" si="76"/>
        <v>0</v>
      </c>
      <c r="AK1252">
        <f t="shared" si="76"/>
        <v>0</v>
      </c>
    </row>
    <row r="1253" spans="1:37" x14ac:dyDescent="0.2">
      <c r="A1253" t="str">
        <f t="shared" si="75"/>
        <v>904_在线教育</v>
      </c>
    </row>
    <row r="1254" spans="1:37" x14ac:dyDescent="0.2">
      <c r="A1254" t="str">
        <f t="shared" si="75"/>
        <v>904_在线教育</v>
      </c>
    </row>
    <row r="1255" spans="1:37" x14ac:dyDescent="0.2">
      <c r="A1255" t="str">
        <f t="shared" si="75"/>
        <v>904_在线教育</v>
      </c>
    </row>
    <row r="1256" spans="1:37" x14ac:dyDescent="0.2">
      <c r="A1256" t="str">
        <f t="shared" si="75"/>
        <v>904_在线教育</v>
      </c>
    </row>
    <row r="1257" spans="1:37" x14ac:dyDescent="0.2">
      <c r="A1257" t="str">
        <f t="shared" si="75"/>
        <v>904_在线教育</v>
      </c>
    </row>
    <row r="1258" spans="1:37" x14ac:dyDescent="0.2">
      <c r="A1258" t="str">
        <f t="shared" si="75"/>
        <v>904_在线教育</v>
      </c>
    </row>
    <row r="1259" spans="1:37" x14ac:dyDescent="0.2">
      <c r="A1259" t="str">
        <f t="shared" si="75"/>
        <v>904_在线教育</v>
      </c>
    </row>
    <row r="1260" spans="1:37" x14ac:dyDescent="0.2">
      <c r="A1260" t="str">
        <f t="shared" si="75"/>
        <v>904_在线教育</v>
      </c>
    </row>
    <row r="1261" spans="1:37" x14ac:dyDescent="0.2">
      <c r="A1261" t="str">
        <f t="shared" si="75"/>
        <v>904_在线教育</v>
      </c>
    </row>
    <row r="1262" spans="1:37" x14ac:dyDescent="0.2">
      <c r="A1262" t="str">
        <f t="shared" si="75"/>
        <v>904_在线教育</v>
      </c>
    </row>
    <row r="1263" spans="1:37" x14ac:dyDescent="0.2">
      <c r="A1263" t="str">
        <f t="shared" si="75"/>
        <v>904_在线教育</v>
      </c>
    </row>
    <row r="1264" spans="1:37" x14ac:dyDescent="0.2">
      <c r="A1264" t="str">
        <f t="shared" si="75"/>
        <v>904_在线教育</v>
      </c>
    </row>
    <row r="1265" spans="1:1" x14ac:dyDescent="0.2">
      <c r="A1265" t="str">
        <f t="shared" si="75"/>
        <v>904_在线教育</v>
      </c>
    </row>
    <row r="1266" spans="1:1" x14ac:dyDescent="0.2">
      <c r="A1266" t="str">
        <f t="shared" si="75"/>
        <v>904_在线教育</v>
      </c>
    </row>
    <row r="1267" spans="1:1" x14ac:dyDescent="0.2">
      <c r="A1267" t="str">
        <f t="shared" si="75"/>
        <v>904_在线教育</v>
      </c>
    </row>
    <row r="1268" spans="1:1" x14ac:dyDescent="0.2">
      <c r="A1268" t="str">
        <f t="shared" si="75"/>
        <v>904_在线教育</v>
      </c>
    </row>
    <row r="1269" spans="1:1" x14ac:dyDescent="0.2">
      <c r="A1269" t="str">
        <f t="shared" si="75"/>
        <v>904_在线教育</v>
      </c>
    </row>
    <row r="1270" spans="1:1" x14ac:dyDescent="0.2">
      <c r="A1270" t="str">
        <f t="shared" si="75"/>
        <v>904_在线教育</v>
      </c>
    </row>
    <row r="1271" spans="1:1" x14ac:dyDescent="0.2">
      <c r="A1271" t="str">
        <f t="shared" si="75"/>
        <v>904_在线教育</v>
      </c>
    </row>
    <row r="1272" spans="1:1" x14ac:dyDescent="0.2">
      <c r="A1272" t="str">
        <f t="shared" si="75"/>
        <v>904_在线教育</v>
      </c>
    </row>
    <row r="1273" spans="1:1" x14ac:dyDescent="0.2">
      <c r="A1273" t="str">
        <f t="shared" si="75"/>
        <v>904_在线教育</v>
      </c>
    </row>
    <row r="1274" spans="1:1" x14ac:dyDescent="0.2">
      <c r="A1274" t="str">
        <f t="shared" si="75"/>
        <v>904_在线教育</v>
      </c>
    </row>
    <row r="1275" spans="1:1" x14ac:dyDescent="0.2">
      <c r="A1275" t="str">
        <f t="shared" si="75"/>
        <v>904_在线教育</v>
      </c>
    </row>
    <row r="1276" spans="1:1" x14ac:dyDescent="0.2">
      <c r="A1276" t="str">
        <f t="shared" si="75"/>
        <v>904_在线教育</v>
      </c>
    </row>
    <row r="1277" spans="1:1" x14ac:dyDescent="0.2">
      <c r="A1277" t="str">
        <f t="shared" si="75"/>
        <v>904_在线教育</v>
      </c>
    </row>
    <row r="1278" spans="1:1" x14ac:dyDescent="0.2">
      <c r="A1278" t="str">
        <f t="shared" si="75"/>
        <v>904_在线教育</v>
      </c>
    </row>
    <row r="1279" spans="1:1" x14ac:dyDescent="0.2">
      <c r="A1279" t="str">
        <f t="shared" si="75"/>
        <v>904_在线教育</v>
      </c>
    </row>
    <row r="1280" spans="1:1" x14ac:dyDescent="0.2">
      <c r="A1280" t="str">
        <f t="shared" si="75"/>
        <v>904_在线教育</v>
      </c>
    </row>
    <row r="1281" spans="1:1" x14ac:dyDescent="0.2">
      <c r="A1281" t="str">
        <f t="shared" si="75"/>
        <v>904_在线教育</v>
      </c>
    </row>
    <row r="1282" spans="1:1" x14ac:dyDescent="0.2">
      <c r="A1282" t="str">
        <f t="shared" si="75"/>
        <v>904_在线教育</v>
      </c>
    </row>
    <row r="1283" spans="1:1" x14ac:dyDescent="0.2">
      <c r="A1283" t="str">
        <f t="shared" si="75"/>
        <v>904_在线教育</v>
      </c>
    </row>
    <row r="1284" spans="1:1" x14ac:dyDescent="0.2">
      <c r="A1284" t="str">
        <f t="shared" ref="A1284:A1300" si="77">A1283</f>
        <v>904_在线教育</v>
      </c>
    </row>
    <row r="1285" spans="1:1" x14ac:dyDescent="0.2">
      <c r="A1285" t="str">
        <f t="shared" si="77"/>
        <v>904_在线教育</v>
      </c>
    </row>
    <row r="1286" spans="1:1" x14ac:dyDescent="0.2">
      <c r="A1286" t="str">
        <f t="shared" si="77"/>
        <v>904_在线教育</v>
      </c>
    </row>
    <row r="1287" spans="1:1" x14ac:dyDescent="0.2">
      <c r="A1287" t="str">
        <f t="shared" si="77"/>
        <v>904_在线教育</v>
      </c>
    </row>
    <row r="1288" spans="1:1" x14ac:dyDescent="0.2">
      <c r="A1288" t="str">
        <f t="shared" si="77"/>
        <v>904_在线教育</v>
      </c>
    </row>
    <row r="1289" spans="1:1" x14ac:dyDescent="0.2">
      <c r="A1289" t="str">
        <f t="shared" si="77"/>
        <v>904_在线教育</v>
      </c>
    </row>
    <row r="1290" spans="1:1" x14ac:dyDescent="0.2">
      <c r="A1290" t="str">
        <f t="shared" si="77"/>
        <v>904_在线教育</v>
      </c>
    </row>
    <row r="1291" spans="1:1" x14ac:dyDescent="0.2">
      <c r="A1291" t="str">
        <f t="shared" si="77"/>
        <v>904_在线教育</v>
      </c>
    </row>
    <row r="1292" spans="1:1" x14ac:dyDescent="0.2">
      <c r="A1292" t="str">
        <f t="shared" si="77"/>
        <v>904_在线教育</v>
      </c>
    </row>
    <row r="1293" spans="1:1" x14ac:dyDescent="0.2">
      <c r="A1293" t="str">
        <f t="shared" si="77"/>
        <v>904_在线教育</v>
      </c>
    </row>
    <row r="1294" spans="1:1" x14ac:dyDescent="0.2">
      <c r="A1294" t="str">
        <f t="shared" si="77"/>
        <v>904_在线教育</v>
      </c>
    </row>
    <row r="1295" spans="1:1" x14ac:dyDescent="0.2">
      <c r="A1295" t="str">
        <f t="shared" si="77"/>
        <v>904_在线教育</v>
      </c>
    </row>
    <row r="1296" spans="1:1" x14ac:dyDescent="0.2">
      <c r="A1296" t="str">
        <f t="shared" si="77"/>
        <v>904_在线教育</v>
      </c>
    </row>
    <row r="1297" spans="1:37" x14ac:dyDescent="0.2">
      <c r="A1297" t="str">
        <f t="shared" si="77"/>
        <v>904_在线教育</v>
      </c>
    </row>
    <row r="1298" spans="1:37" x14ac:dyDescent="0.2">
      <c r="A1298" t="str">
        <f t="shared" si="77"/>
        <v>904_在线教育</v>
      </c>
    </row>
    <row r="1299" spans="1:37" x14ac:dyDescent="0.2">
      <c r="A1299" t="str">
        <f t="shared" si="77"/>
        <v>904_在线教育</v>
      </c>
    </row>
    <row r="1300" spans="1:37" x14ac:dyDescent="0.2">
      <c r="A1300" t="str">
        <f t="shared" si="77"/>
        <v>904_在线教育</v>
      </c>
    </row>
    <row r="1301" spans="1:37" x14ac:dyDescent="0.2">
      <c r="A1301" t="str">
        <f>VLOOKUP("社区",表_首次要关键词[[#All],[首要关键词]:[排序]],2,0)&amp;"_社区"</f>
        <v>905_社区</v>
      </c>
    </row>
    <row r="1302" spans="1:37" x14ac:dyDescent="0.2">
      <c r="A1302" t="str">
        <f t="shared" ref="A1302:A1333" si="78">A1301</f>
        <v>905_社区</v>
      </c>
      <c r="B1302">
        <f t="shared" ref="B1302:AK1302" si="79">COUNTIFS(B1303:B1349,"&lt;&gt;")</f>
        <v>0</v>
      </c>
      <c r="C1302">
        <f t="shared" si="79"/>
        <v>0</v>
      </c>
      <c r="D1302">
        <f t="shared" si="79"/>
        <v>0</v>
      </c>
      <c r="E1302">
        <f t="shared" si="79"/>
        <v>0</v>
      </c>
      <c r="F1302">
        <f t="shared" si="79"/>
        <v>0</v>
      </c>
      <c r="G1302">
        <f t="shared" si="79"/>
        <v>0</v>
      </c>
      <c r="H1302">
        <f t="shared" si="79"/>
        <v>0</v>
      </c>
      <c r="I1302">
        <f t="shared" si="79"/>
        <v>0</v>
      </c>
      <c r="J1302">
        <f t="shared" si="79"/>
        <v>0</v>
      </c>
      <c r="K1302">
        <f t="shared" si="79"/>
        <v>0</v>
      </c>
      <c r="L1302">
        <f t="shared" si="79"/>
        <v>0</v>
      </c>
      <c r="M1302">
        <f t="shared" si="79"/>
        <v>0</v>
      </c>
      <c r="N1302">
        <f t="shared" si="79"/>
        <v>0</v>
      </c>
      <c r="O1302">
        <f t="shared" si="79"/>
        <v>0</v>
      </c>
      <c r="P1302">
        <f t="shared" si="79"/>
        <v>0</v>
      </c>
      <c r="Q1302">
        <f t="shared" si="79"/>
        <v>0</v>
      </c>
      <c r="R1302">
        <f t="shared" si="79"/>
        <v>0</v>
      </c>
      <c r="S1302">
        <f t="shared" si="79"/>
        <v>0</v>
      </c>
      <c r="T1302">
        <f t="shared" si="79"/>
        <v>0</v>
      </c>
      <c r="U1302">
        <f t="shared" si="79"/>
        <v>0</v>
      </c>
      <c r="V1302">
        <f t="shared" si="79"/>
        <v>0</v>
      </c>
      <c r="W1302">
        <f t="shared" si="79"/>
        <v>0</v>
      </c>
      <c r="X1302">
        <f t="shared" si="79"/>
        <v>0</v>
      </c>
      <c r="Y1302">
        <f t="shared" si="79"/>
        <v>0</v>
      </c>
      <c r="Z1302">
        <f t="shared" si="79"/>
        <v>0</v>
      </c>
      <c r="AA1302">
        <f t="shared" si="79"/>
        <v>0</v>
      </c>
      <c r="AB1302">
        <f t="shared" si="79"/>
        <v>0</v>
      </c>
      <c r="AC1302">
        <f t="shared" si="79"/>
        <v>0</v>
      </c>
      <c r="AD1302">
        <f t="shared" si="79"/>
        <v>0</v>
      </c>
      <c r="AE1302">
        <f t="shared" si="79"/>
        <v>0</v>
      </c>
      <c r="AF1302">
        <f t="shared" si="79"/>
        <v>0</v>
      </c>
      <c r="AG1302">
        <f t="shared" si="79"/>
        <v>0</v>
      </c>
      <c r="AH1302">
        <f t="shared" si="79"/>
        <v>0</v>
      </c>
      <c r="AI1302">
        <f t="shared" si="79"/>
        <v>0</v>
      </c>
      <c r="AJ1302">
        <f t="shared" si="79"/>
        <v>0</v>
      </c>
      <c r="AK1302">
        <f t="shared" si="79"/>
        <v>0</v>
      </c>
    </row>
    <row r="1303" spans="1:37" x14ac:dyDescent="0.2">
      <c r="A1303" t="str">
        <f t="shared" si="78"/>
        <v>905_社区</v>
      </c>
    </row>
    <row r="1304" spans="1:37" x14ac:dyDescent="0.2">
      <c r="A1304" t="str">
        <f t="shared" si="78"/>
        <v>905_社区</v>
      </c>
    </row>
    <row r="1305" spans="1:37" x14ac:dyDescent="0.2">
      <c r="A1305" t="str">
        <f t="shared" si="78"/>
        <v>905_社区</v>
      </c>
    </row>
    <row r="1306" spans="1:37" x14ac:dyDescent="0.2">
      <c r="A1306" t="str">
        <f t="shared" si="78"/>
        <v>905_社区</v>
      </c>
    </row>
    <row r="1307" spans="1:37" x14ac:dyDescent="0.2">
      <c r="A1307" t="str">
        <f t="shared" si="78"/>
        <v>905_社区</v>
      </c>
    </row>
    <row r="1308" spans="1:37" x14ac:dyDescent="0.2">
      <c r="A1308" t="str">
        <f t="shared" si="78"/>
        <v>905_社区</v>
      </c>
    </row>
    <row r="1309" spans="1:37" x14ac:dyDescent="0.2">
      <c r="A1309" t="str">
        <f t="shared" si="78"/>
        <v>905_社区</v>
      </c>
    </row>
    <row r="1310" spans="1:37" x14ac:dyDescent="0.2">
      <c r="A1310" t="str">
        <f t="shared" si="78"/>
        <v>905_社区</v>
      </c>
    </row>
    <row r="1311" spans="1:37" x14ac:dyDescent="0.2">
      <c r="A1311" t="str">
        <f t="shared" si="78"/>
        <v>905_社区</v>
      </c>
    </row>
    <row r="1312" spans="1:37" x14ac:dyDescent="0.2">
      <c r="A1312" t="str">
        <f t="shared" si="78"/>
        <v>905_社区</v>
      </c>
    </row>
    <row r="1313" spans="1:1" x14ac:dyDescent="0.2">
      <c r="A1313" t="str">
        <f t="shared" si="78"/>
        <v>905_社区</v>
      </c>
    </row>
    <row r="1314" spans="1:1" x14ac:dyDescent="0.2">
      <c r="A1314" t="str">
        <f t="shared" si="78"/>
        <v>905_社区</v>
      </c>
    </row>
    <row r="1315" spans="1:1" x14ac:dyDescent="0.2">
      <c r="A1315" t="str">
        <f t="shared" si="78"/>
        <v>905_社区</v>
      </c>
    </row>
    <row r="1316" spans="1:1" x14ac:dyDescent="0.2">
      <c r="A1316" t="str">
        <f t="shared" si="78"/>
        <v>905_社区</v>
      </c>
    </row>
    <row r="1317" spans="1:1" x14ac:dyDescent="0.2">
      <c r="A1317" t="str">
        <f t="shared" si="78"/>
        <v>905_社区</v>
      </c>
    </row>
    <row r="1318" spans="1:1" x14ac:dyDescent="0.2">
      <c r="A1318" t="str">
        <f t="shared" si="78"/>
        <v>905_社区</v>
      </c>
    </row>
    <row r="1319" spans="1:1" x14ac:dyDescent="0.2">
      <c r="A1319" t="str">
        <f t="shared" si="78"/>
        <v>905_社区</v>
      </c>
    </row>
    <row r="1320" spans="1:1" x14ac:dyDescent="0.2">
      <c r="A1320" t="str">
        <f t="shared" si="78"/>
        <v>905_社区</v>
      </c>
    </row>
    <row r="1321" spans="1:1" x14ac:dyDescent="0.2">
      <c r="A1321" t="str">
        <f t="shared" si="78"/>
        <v>905_社区</v>
      </c>
    </row>
    <row r="1322" spans="1:1" x14ac:dyDescent="0.2">
      <c r="A1322" t="str">
        <f t="shared" si="78"/>
        <v>905_社区</v>
      </c>
    </row>
    <row r="1323" spans="1:1" x14ac:dyDescent="0.2">
      <c r="A1323" t="str">
        <f t="shared" si="78"/>
        <v>905_社区</v>
      </c>
    </row>
    <row r="1324" spans="1:1" x14ac:dyDescent="0.2">
      <c r="A1324" t="str">
        <f t="shared" si="78"/>
        <v>905_社区</v>
      </c>
    </row>
    <row r="1325" spans="1:1" x14ac:dyDescent="0.2">
      <c r="A1325" t="str">
        <f t="shared" si="78"/>
        <v>905_社区</v>
      </c>
    </row>
    <row r="1326" spans="1:1" x14ac:dyDescent="0.2">
      <c r="A1326" t="str">
        <f t="shared" si="78"/>
        <v>905_社区</v>
      </c>
    </row>
    <row r="1327" spans="1:1" x14ac:dyDescent="0.2">
      <c r="A1327" t="str">
        <f t="shared" si="78"/>
        <v>905_社区</v>
      </c>
    </row>
    <row r="1328" spans="1:1" x14ac:dyDescent="0.2">
      <c r="A1328" t="str">
        <f t="shared" si="78"/>
        <v>905_社区</v>
      </c>
    </row>
    <row r="1329" spans="1:1" x14ac:dyDescent="0.2">
      <c r="A1329" t="str">
        <f t="shared" si="78"/>
        <v>905_社区</v>
      </c>
    </row>
    <row r="1330" spans="1:1" x14ac:dyDescent="0.2">
      <c r="A1330" t="str">
        <f t="shared" si="78"/>
        <v>905_社区</v>
      </c>
    </row>
    <row r="1331" spans="1:1" x14ac:dyDescent="0.2">
      <c r="A1331" t="str">
        <f t="shared" si="78"/>
        <v>905_社区</v>
      </c>
    </row>
    <row r="1332" spans="1:1" x14ac:dyDescent="0.2">
      <c r="A1332" t="str">
        <f t="shared" si="78"/>
        <v>905_社区</v>
      </c>
    </row>
    <row r="1333" spans="1:1" x14ac:dyDescent="0.2">
      <c r="A1333" t="str">
        <f t="shared" si="78"/>
        <v>905_社区</v>
      </c>
    </row>
    <row r="1334" spans="1:1" x14ac:dyDescent="0.2">
      <c r="A1334" t="str">
        <f t="shared" ref="A1334:A1350" si="80">A1333</f>
        <v>905_社区</v>
      </c>
    </row>
    <row r="1335" spans="1:1" x14ac:dyDescent="0.2">
      <c r="A1335" t="str">
        <f t="shared" si="80"/>
        <v>905_社区</v>
      </c>
    </row>
    <row r="1336" spans="1:1" x14ac:dyDescent="0.2">
      <c r="A1336" t="str">
        <f t="shared" si="80"/>
        <v>905_社区</v>
      </c>
    </row>
    <row r="1337" spans="1:1" x14ac:dyDescent="0.2">
      <c r="A1337" t="str">
        <f t="shared" si="80"/>
        <v>905_社区</v>
      </c>
    </row>
    <row r="1338" spans="1:1" x14ac:dyDescent="0.2">
      <c r="A1338" t="str">
        <f t="shared" si="80"/>
        <v>905_社区</v>
      </c>
    </row>
    <row r="1339" spans="1:1" x14ac:dyDescent="0.2">
      <c r="A1339" t="str">
        <f t="shared" si="80"/>
        <v>905_社区</v>
      </c>
    </row>
    <row r="1340" spans="1:1" x14ac:dyDescent="0.2">
      <c r="A1340" t="str">
        <f t="shared" si="80"/>
        <v>905_社区</v>
      </c>
    </row>
    <row r="1341" spans="1:1" x14ac:dyDescent="0.2">
      <c r="A1341" t="str">
        <f t="shared" si="80"/>
        <v>905_社区</v>
      </c>
    </row>
    <row r="1342" spans="1:1" x14ac:dyDescent="0.2">
      <c r="A1342" t="str">
        <f t="shared" si="80"/>
        <v>905_社区</v>
      </c>
    </row>
    <row r="1343" spans="1:1" x14ac:dyDescent="0.2">
      <c r="A1343" t="str">
        <f t="shared" si="80"/>
        <v>905_社区</v>
      </c>
    </row>
    <row r="1344" spans="1:1" x14ac:dyDescent="0.2">
      <c r="A1344" t="str">
        <f t="shared" si="80"/>
        <v>905_社区</v>
      </c>
    </row>
    <row r="1345" spans="1:37" x14ac:dyDescent="0.2">
      <c r="A1345" t="str">
        <f t="shared" si="80"/>
        <v>905_社区</v>
      </c>
    </row>
    <row r="1346" spans="1:37" x14ac:dyDescent="0.2">
      <c r="A1346" t="str">
        <f t="shared" si="80"/>
        <v>905_社区</v>
      </c>
    </row>
    <row r="1347" spans="1:37" x14ac:dyDescent="0.2">
      <c r="A1347" t="str">
        <f t="shared" si="80"/>
        <v>905_社区</v>
      </c>
    </row>
    <row r="1348" spans="1:37" x14ac:dyDescent="0.2">
      <c r="A1348" t="str">
        <f t="shared" si="80"/>
        <v>905_社区</v>
      </c>
    </row>
    <row r="1349" spans="1:37" x14ac:dyDescent="0.2">
      <c r="A1349" t="str">
        <f t="shared" si="80"/>
        <v>905_社区</v>
      </c>
    </row>
    <row r="1350" spans="1:37" x14ac:dyDescent="0.2">
      <c r="A1350" t="str">
        <f t="shared" si="80"/>
        <v>905_社区</v>
      </c>
    </row>
    <row r="1351" spans="1:37" x14ac:dyDescent="0.2">
      <c r="A1351" t="str">
        <f>VLOOKUP("评测",表_首次要关键词[[#All],[首要关键词]:[排序]],2,0)&amp;"_评测"</f>
        <v>906_评测</v>
      </c>
    </row>
    <row r="1352" spans="1:37" x14ac:dyDescent="0.2">
      <c r="A1352" t="str">
        <f t="shared" ref="A1352:A1383" si="81">A1351</f>
        <v>906_评测</v>
      </c>
      <c r="B1352">
        <f t="shared" ref="B1352:AK1352" si="82">COUNTIFS(B1353:B1399,"&lt;&gt;")</f>
        <v>0</v>
      </c>
      <c r="C1352">
        <f t="shared" si="82"/>
        <v>0</v>
      </c>
      <c r="D1352">
        <f t="shared" si="82"/>
        <v>0</v>
      </c>
      <c r="E1352">
        <f t="shared" si="82"/>
        <v>0</v>
      </c>
      <c r="F1352">
        <f t="shared" si="82"/>
        <v>0</v>
      </c>
      <c r="G1352">
        <f t="shared" si="82"/>
        <v>0</v>
      </c>
      <c r="H1352">
        <f t="shared" si="82"/>
        <v>0</v>
      </c>
      <c r="I1352">
        <f t="shared" si="82"/>
        <v>0</v>
      </c>
      <c r="J1352">
        <f t="shared" si="82"/>
        <v>0</v>
      </c>
      <c r="K1352">
        <f t="shared" si="82"/>
        <v>0</v>
      </c>
      <c r="L1352">
        <f t="shared" si="82"/>
        <v>0</v>
      </c>
      <c r="M1352">
        <f t="shared" si="82"/>
        <v>0</v>
      </c>
      <c r="N1352">
        <f t="shared" si="82"/>
        <v>0</v>
      </c>
      <c r="O1352">
        <f t="shared" si="82"/>
        <v>0</v>
      </c>
      <c r="P1352">
        <f t="shared" si="82"/>
        <v>0</v>
      </c>
      <c r="Q1352">
        <f t="shared" si="82"/>
        <v>0</v>
      </c>
      <c r="R1352">
        <f t="shared" si="82"/>
        <v>0</v>
      </c>
      <c r="S1352">
        <f t="shared" si="82"/>
        <v>0</v>
      </c>
      <c r="T1352">
        <f t="shared" si="82"/>
        <v>0</v>
      </c>
      <c r="U1352">
        <f t="shared" si="82"/>
        <v>0</v>
      </c>
      <c r="V1352">
        <f t="shared" si="82"/>
        <v>0</v>
      </c>
      <c r="W1352">
        <f t="shared" si="82"/>
        <v>0</v>
      </c>
      <c r="X1352">
        <f t="shared" si="82"/>
        <v>0</v>
      </c>
      <c r="Y1352">
        <f t="shared" si="82"/>
        <v>0</v>
      </c>
      <c r="Z1352">
        <f t="shared" si="82"/>
        <v>0</v>
      </c>
      <c r="AA1352">
        <f t="shared" si="82"/>
        <v>0</v>
      </c>
      <c r="AB1352">
        <f t="shared" si="82"/>
        <v>0</v>
      </c>
      <c r="AC1352">
        <f t="shared" si="82"/>
        <v>0</v>
      </c>
      <c r="AD1352">
        <f t="shared" si="82"/>
        <v>0</v>
      </c>
      <c r="AE1352">
        <f t="shared" si="82"/>
        <v>0</v>
      </c>
      <c r="AF1352">
        <f t="shared" si="82"/>
        <v>0</v>
      </c>
      <c r="AG1352">
        <f t="shared" si="82"/>
        <v>0</v>
      </c>
      <c r="AH1352">
        <f t="shared" si="82"/>
        <v>0</v>
      </c>
      <c r="AI1352">
        <f t="shared" si="82"/>
        <v>0</v>
      </c>
      <c r="AJ1352">
        <f t="shared" si="82"/>
        <v>0</v>
      </c>
      <c r="AK1352">
        <f t="shared" si="82"/>
        <v>0</v>
      </c>
    </row>
    <row r="1353" spans="1:37" x14ac:dyDescent="0.2">
      <c r="A1353" t="str">
        <f t="shared" si="81"/>
        <v>906_评测</v>
      </c>
    </row>
    <row r="1354" spans="1:37" x14ac:dyDescent="0.2">
      <c r="A1354" t="str">
        <f t="shared" si="81"/>
        <v>906_评测</v>
      </c>
    </row>
    <row r="1355" spans="1:37" x14ac:dyDescent="0.2">
      <c r="A1355" t="str">
        <f t="shared" si="81"/>
        <v>906_评测</v>
      </c>
    </row>
    <row r="1356" spans="1:37" x14ac:dyDescent="0.2">
      <c r="A1356" t="str">
        <f t="shared" si="81"/>
        <v>906_评测</v>
      </c>
    </row>
    <row r="1357" spans="1:37" x14ac:dyDescent="0.2">
      <c r="A1357" t="str">
        <f t="shared" si="81"/>
        <v>906_评测</v>
      </c>
    </row>
    <row r="1358" spans="1:37" x14ac:dyDescent="0.2">
      <c r="A1358" t="str">
        <f t="shared" si="81"/>
        <v>906_评测</v>
      </c>
    </row>
    <row r="1359" spans="1:37" x14ac:dyDescent="0.2">
      <c r="A1359" t="str">
        <f t="shared" si="81"/>
        <v>906_评测</v>
      </c>
    </row>
    <row r="1360" spans="1:37" x14ac:dyDescent="0.2">
      <c r="A1360" t="str">
        <f t="shared" si="81"/>
        <v>906_评测</v>
      </c>
    </row>
    <row r="1361" spans="1:1" x14ac:dyDescent="0.2">
      <c r="A1361" t="str">
        <f t="shared" si="81"/>
        <v>906_评测</v>
      </c>
    </row>
    <row r="1362" spans="1:1" x14ac:dyDescent="0.2">
      <c r="A1362" t="str">
        <f t="shared" si="81"/>
        <v>906_评测</v>
      </c>
    </row>
    <row r="1363" spans="1:1" x14ac:dyDescent="0.2">
      <c r="A1363" t="str">
        <f t="shared" si="81"/>
        <v>906_评测</v>
      </c>
    </row>
    <row r="1364" spans="1:1" x14ac:dyDescent="0.2">
      <c r="A1364" t="str">
        <f t="shared" si="81"/>
        <v>906_评测</v>
      </c>
    </row>
    <row r="1365" spans="1:1" x14ac:dyDescent="0.2">
      <c r="A1365" t="str">
        <f t="shared" si="81"/>
        <v>906_评测</v>
      </c>
    </row>
    <row r="1366" spans="1:1" x14ac:dyDescent="0.2">
      <c r="A1366" t="str">
        <f t="shared" si="81"/>
        <v>906_评测</v>
      </c>
    </row>
    <row r="1367" spans="1:1" x14ac:dyDescent="0.2">
      <c r="A1367" t="str">
        <f t="shared" si="81"/>
        <v>906_评测</v>
      </c>
    </row>
    <row r="1368" spans="1:1" x14ac:dyDescent="0.2">
      <c r="A1368" t="str">
        <f t="shared" si="81"/>
        <v>906_评测</v>
      </c>
    </row>
    <row r="1369" spans="1:1" x14ac:dyDescent="0.2">
      <c r="A1369" t="str">
        <f t="shared" si="81"/>
        <v>906_评测</v>
      </c>
    </row>
    <row r="1370" spans="1:1" x14ac:dyDescent="0.2">
      <c r="A1370" t="str">
        <f t="shared" si="81"/>
        <v>906_评测</v>
      </c>
    </row>
    <row r="1371" spans="1:1" x14ac:dyDescent="0.2">
      <c r="A1371" t="str">
        <f t="shared" si="81"/>
        <v>906_评测</v>
      </c>
    </row>
    <row r="1372" spans="1:1" x14ac:dyDescent="0.2">
      <c r="A1372" t="str">
        <f t="shared" si="81"/>
        <v>906_评测</v>
      </c>
    </row>
    <row r="1373" spans="1:1" x14ac:dyDescent="0.2">
      <c r="A1373" t="str">
        <f t="shared" si="81"/>
        <v>906_评测</v>
      </c>
    </row>
    <row r="1374" spans="1:1" x14ac:dyDescent="0.2">
      <c r="A1374" t="str">
        <f t="shared" si="81"/>
        <v>906_评测</v>
      </c>
    </row>
    <row r="1375" spans="1:1" x14ac:dyDescent="0.2">
      <c r="A1375" t="str">
        <f t="shared" si="81"/>
        <v>906_评测</v>
      </c>
    </row>
    <row r="1376" spans="1:1" x14ac:dyDescent="0.2">
      <c r="A1376" t="str">
        <f t="shared" si="81"/>
        <v>906_评测</v>
      </c>
    </row>
    <row r="1377" spans="1:1" x14ac:dyDescent="0.2">
      <c r="A1377" t="str">
        <f t="shared" si="81"/>
        <v>906_评测</v>
      </c>
    </row>
    <row r="1378" spans="1:1" x14ac:dyDescent="0.2">
      <c r="A1378" t="str">
        <f t="shared" si="81"/>
        <v>906_评测</v>
      </c>
    </row>
    <row r="1379" spans="1:1" x14ac:dyDescent="0.2">
      <c r="A1379" t="str">
        <f t="shared" si="81"/>
        <v>906_评测</v>
      </c>
    </row>
    <row r="1380" spans="1:1" x14ac:dyDescent="0.2">
      <c r="A1380" t="str">
        <f t="shared" si="81"/>
        <v>906_评测</v>
      </c>
    </row>
    <row r="1381" spans="1:1" x14ac:dyDescent="0.2">
      <c r="A1381" t="str">
        <f t="shared" si="81"/>
        <v>906_评测</v>
      </c>
    </row>
    <row r="1382" spans="1:1" x14ac:dyDescent="0.2">
      <c r="A1382" t="str">
        <f t="shared" si="81"/>
        <v>906_评测</v>
      </c>
    </row>
    <row r="1383" spans="1:1" x14ac:dyDescent="0.2">
      <c r="A1383" t="str">
        <f t="shared" si="81"/>
        <v>906_评测</v>
      </c>
    </row>
    <row r="1384" spans="1:1" x14ac:dyDescent="0.2">
      <c r="A1384" t="str">
        <f t="shared" ref="A1384:A1400" si="83">A1383</f>
        <v>906_评测</v>
      </c>
    </row>
    <row r="1385" spans="1:1" x14ac:dyDescent="0.2">
      <c r="A1385" t="str">
        <f t="shared" si="83"/>
        <v>906_评测</v>
      </c>
    </row>
    <row r="1386" spans="1:1" x14ac:dyDescent="0.2">
      <c r="A1386" t="str">
        <f t="shared" si="83"/>
        <v>906_评测</v>
      </c>
    </row>
    <row r="1387" spans="1:1" x14ac:dyDescent="0.2">
      <c r="A1387" t="str">
        <f t="shared" si="83"/>
        <v>906_评测</v>
      </c>
    </row>
    <row r="1388" spans="1:1" x14ac:dyDescent="0.2">
      <c r="A1388" t="str">
        <f t="shared" si="83"/>
        <v>906_评测</v>
      </c>
    </row>
    <row r="1389" spans="1:1" x14ac:dyDescent="0.2">
      <c r="A1389" t="str">
        <f t="shared" si="83"/>
        <v>906_评测</v>
      </c>
    </row>
    <row r="1390" spans="1:1" x14ac:dyDescent="0.2">
      <c r="A1390" t="str">
        <f t="shared" si="83"/>
        <v>906_评测</v>
      </c>
    </row>
    <row r="1391" spans="1:1" x14ac:dyDescent="0.2">
      <c r="A1391" t="str">
        <f t="shared" si="83"/>
        <v>906_评测</v>
      </c>
    </row>
    <row r="1392" spans="1:1" x14ac:dyDescent="0.2">
      <c r="A1392" t="str">
        <f t="shared" si="83"/>
        <v>906_评测</v>
      </c>
    </row>
    <row r="1393" spans="1:37" x14ac:dyDescent="0.2">
      <c r="A1393" t="str">
        <f t="shared" si="83"/>
        <v>906_评测</v>
      </c>
    </row>
    <row r="1394" spans="1:37" x14ac:dyDescent="0.2">
      <c r="A1394" t="str">
        <f t="shared" si="83"/>
        <v>906_评测</v>
      </c>
    </row>
    <row r="1395" spans="1:37" x14ac:dyDescent="0.2">
      <c r="A1395" t="str">
        <f t="shared" si="83"/>
        <v>906_评测</v>
      </c>
    </row>
    <row r="1396" spans="1:37" x14ac:dyDescent="0.2">
      <c r="A1396" t="str">
        <f t="shared" si="83"/>
        <v>906_评测</v>
      </c>
    </row>
    <row r="1397" spans="1:37" x14ac:dyDescent="0.2">
      <c r="A1397" t="str">
        <f t="shared" si="83"/>
        <v>906_评测</v>
      </c>
    </row>
    <row r="1398" spans="1:37" x14ac:dyDescent="0.2">
      <c r="A1398" t="str">
        <f t="shared" si="83"/>
        <v>906_评测</v>
      </c>
    </row>
    <row r="1399" spans="1:37" x14ac:dyDescent="0.2">
      <c r="A1399" t="str">
        <f t="shared" si="83"/>
        <v>906_评测</v>
      </c>
    </row>
    <row r="1400" spans="1:37" x14ac:dyDescent="0.2">
      <c r="A1400" t="str">
        <f t="shared" si="83"/>
        <v>906_评测</v>
      </c>
    </row>
    <row r="1401" spans="1:37" x14ac:dyDescent="0.2">
      <c r="A1401" t="str">
        <f>VLOOKUP("人力资源",表_首次要关键词[[#All],[首要关键词]:[排序]],2,0)&amp;"_人力资源"</f>
        <v>907_人力资源</v>
      </c>
    </row>
    <row r="1402" spans="1:37" x14ac:dyDescent="0.2">
      <c r="A1402" t="str">
        <f t="shared" ref="A1402:A1433" si="84">A1401</f>
        <v>907_人力资源</v>
      </c>
      <c r="B1402">
        <f t="shared" ref="B1402:AK1402" si="85">COUNTIFS(B1403:B1449,"&lt;&gt;")</f>
        <v>0</v>
      </c>
      <c r="C1402">
        <f t="shared" si="85"/>
        <v>0</v>
      </c>
      <c r="D1402">
        <f t="shared" si="85"/>
        <v>0</v>
      </c>
      <c r="E1402">
        <f t="shared" si="85"/>
        <v>0</v>
      </c>
      <c r="F1402">
        <f t="shared" si="85"/>
        <v>0</v>
      </c>
      <c r="G1402">
        <f t="shared" si="85"/>
        <v>0</v>
      </c>
      <c r="H1402">
        <f t="shared" si="85"/>
        <v>0</v>
      </c>
      <c r="I1402">
        <f t="shared" si="85"/>
        <v>0</v>
      </c>
      <c r="J1402">
        <f t="shared" si="85"/>
        <v>0</v>
      </c>
      <c r="K1402">
        <f t="shared" si="85"/>
        <v>0</v>
      </c>
      <c r="L1402">
        <f t="shared" si="85"/>
        <v>0</v>
      </c>
      <c r="M1402">
        <f t="shared" si="85"/>
        <v>0</v>
      </c>
      <c r="N1402">
        <f t="shared" si="85"/>
        <v>0</v>
      </c>
      <c r="O1402">
        <f t="shared" si="85"/>
        <v>0</v>
      </c>
      <c r="P1402">
        <f t="shared" si="85"/>
        <v>0</v>
      </c>
      <c r="Q1402">
        <f t="shared" si="85"/>
        <v>0</v>
      </c>
      <c r="R1402">
        <f t="shared" si="85"/>
        <v>0</v>
      </c>
      <c r="S1402">
        <f t="shared" si="85"/>
        <v>0</v>
      </c>
      <c r="T1402">
        <f t="shared" si="85"/>
        <v>0</v>
      </c>
      <c r="U1402">
        <f t="shared" si="85"/>
        <v>0</v>
      </c>
      <c r="V1402">
        <f t="shared" si="85"/>
        <v>0</v>
      </c>
      <c r="W1402">
        <f t="shared" si="85"/>
        <v>0</v>
      </c>
      <c r="X1402">
        <f t="shared" si="85"/>
        <v>0</v>
      </c>
      <c r="Y1402">
        <f t="shared" si="85"/>
        <v>0</v>
      </c>
      <c r="Z1402">
        <f t="shared" si="85"/>
        <v>0</v>
      </c>
      <c r="AA1402">
        <f t="shared" si="85"/>
        <v>0</v>
      </c>
      <c r="AB1402">
        <f t="shared" si="85"/>
        <v>0</v>
      </c>
      <c r="AC1402">
        <f t="shared" si="85"/>
        <v>0</v>
      </c>
      <c r="AD1402">
        <f t="shared" si="85"/>
        <v>0</v>
      </c>
      <c r="AE1402">
        <f t="shared" si="85"/>
        <v>0</v>
      </c>
      <c r="AF1402">
        <f t="shared" si="85"/>
        <v>0</v>
      </c>
      <c r="AG1402">
        <f t="shared" si="85"/>
        <v>0</v>
      </c>
      <c r="AH1402">
        <f t="shared" si="85"/>
        <v>0</v>
      </c>
      <c r="AI1402">
        <f t="shared" si="85"/>
        <v>0</v>
      </c>
      <c r="AJ1402">
        <f t="shared" si="85"/>
        <v>0</v>
      </c>
      <c r="AK1402">
        <f t="shared" si="85"/>
        <v>0</v>
      </c>
    </row>
    <row r="1403" spans="1:37" x14ac:dyDescent="0.2">
      <c r="A1403" t="str">
        <f t="shared" si="84"/>
        <v>907_人力资源</v>
      </c>
    </row>
    <row r="1404" spans="1:37" x14ac:dyDescent="0.2">
      <c r="A1404" t="str">
        <f t="shared" si="84"/>
        <v>907_人力资源</v>
      </c>
    </row>
    <row r="1405" spans="1:37" x14ac:dyDescent="0.2">
      <c r="A1405" t="str">
        <f t="shared" si="84"/>
        <v>907_人力资源</v>
      </c>
    </row>
    <row r="1406" spans="1:37" x14ac:dyDescent="0.2">
      <c r="A1406" t="str">
        <f t="shared" si="84"/>
        <v>907_人力资源</v>
      </c>
    </row>
    <row r="1407" spans="1:37" x14ac:dyDescent="0.2">
      <c r="A1407" t="str">
        <f t="shared" si="84"/>
        <v>907_人力资源</v>
      </c>
    </row>
    <row r="1408" spans="1:37" x14ac:dyDescent="0.2">
      <c r="A1408" t="str">
        <f t="shared" si="84"/>
        <v>907_人力资源</v>
      </c>
    </row>
    <row r="1409" spans="1:1" x14ac:dyDescent="0.2">
      <c r="A1409" t="str">
        <f t="shared" si="84"/>
        <v>907_人力资源</v>
      </c>
    </row>
    <row r="1410" spans="1:1" x14ac:dyDescent="0.2">
      <c r="A1410" t="str">
        <f t="shared" si="84"/>
        <v>907_人力资源</v>
      </c>
    </row>
    <row r="1411" spans="1:1" x14ac:dyDescent="0.2">
      <c r="A1411" t="str">
        <f t="shared" si="84"/>
        <v>907_人力资源</v>
      </c>
    </row>
    <row r="1412" spans="1:1" x14ac:dyDescent="0.2">
      <c r="A1412" t="str">
        <f t="shared" si="84"/>
        <v>907_人力资源</v>
      </c>
    </row>
    <row r="1413" spans="1:1" x14ac:dyDescent="0.2">
      <c r="A1413" t="str">
        <f t="shared" si="84"/>
        <v>907_人力资源</v>
      </c>
    </row>
    <row r="1414" spans="1:1" x14ac:dyDescent="0.2">
      <c r="A1414" t="str">
        <f t="shared" si="84"/>
        <v>907_人力资源</v>
      </c>
    </row>
    <row r="1415" spans="1:1" x14ac:dyDescent="0.2">
      <c r="A1415" t="str">
        <f t="shared" si="84"/>
        <v>907_人力资源</v>
      </c>
    </row>
    <row r="1416" spans="1:1" x14ac:dyDescent="0.2">
      <c r="A1416" t="str">
        <f t="shared" si="84"/>
        <v>907_人力资源</v>
      </c>
    </row>
    <row r="1417" spans="1:1" x14ac:dyDescent="0.2">
      <c r="A1417" t="str">
        <f t="shared" si="84"/>
        <v>907_人力资源</v>
      </c>
    </row>
    <row r="1418" spans="1:1" x14ac:dyDescent="0.2">
      <c r="A1418" t="str">
        <f t="shared" si="84"/>
        <v>907_人力资源</v>
      </c>
    </row>
    <row r="1419" spans="1:1" x14ac:dyDescent="0.2">
      <c r="A1419" t="str">
        <f t="shared" si="84"/>
        <v>907_人力资源</v>
      </c>
    </row>
    <row r="1420" spans="1:1" x14ac:dyDescent="0.2">
      <c r="A1420" t="str">
        <f t="shared" si="84"/>
        <v>907_人力资源</v>
      </c>
    </row>
    <row r="1421" spans="1:1" x14ac:dyDescent="0.2">
      <c r="A1421" t="str">
        <f t="shared" si="84"/>
        <v>907_人力资源</v>
      </c>
    </row>
    <row r="1422" spans="1:1" x14ac:dyDescent="0.2">
      <c r="A1422" t="str">
        <f t="shared" si="84"/>
        <v>907_人力资源</v>
      </c>
    </row>
    <row r="1423" spans="1:1" x14ac:dyDescent="0.2">
      <c r="A1423" t="str">
        <f t="shared" si="84"/>
        <v>907_人力资源</v>
      </c>
    </row>
    <row r="1424" spans="1:1" x14ac:dyDescent="0.2">
      <c r="A1424" t="str">
        <f t="shared" si="84"/>
        <v>907_人力资源</v>
      </c>
    </row>
    <row r="1425" spans="1:1" x14ac:dyDescent="0.2">
      <c r="A1425" t="str">
        <f t="shared" si="84"/>
        <v>907_人力资源</v>
      </c>
    </row>
    <row r="1426" spans="1:1" x14ac:dyDescent="0.2">
      <c r="A1426" t="str">
        <f t="shared" si="84"/>
        <v>907_人力资源</v>
      </c>
    </row>
    <row r="1427" spans="1:1" x14ac:dyDescent="0.2">
      <c r="A1427" t="str">
        <f t="shared" si="84"/>
        <v>907_人力资源</v>
      </c>
    </row>
    <row r="1428" spans="1:1" x14ac:dyDescent="0.2">
      <c r="A1428" t="str">
        <f t="shared" si="84"/>
        <v>907_人力资源</v>
      </c>
    </row>
    <row r="1429" spans="1:1" x14ac:dyDescent="0.2">
      <c r="A1429" t="str">
        <f t="shared" si="84"/>
        <v>907_人力资源</v>
      </c>
    </row>
    <row r="1430" spans="1:1" x14ac:dyDescent="0.2">
      <c r="A1430" t="str">
        <f t="shared" si="84"/>
        <v>907_人力资源</v>
      </c>
    </row>
    <row r="1431" spans="1:1" x14ac:dyDescent="0.2">
      <c r="A1431" t="str">
        <f t="shared" si="84"/>
        <v>907_人力资源</v>
      </c>
    </row>
    <row r="1432" spans="1:1" x14ac:dyDescent="0.2">
      <c r="A1432" t="str">
        <f t="shared" si="84"/>
        <v>907_人力资源</v>
      </c>
    </row>
    <row r="1433" spans="1:1" x14ac:dyDescent="0.2">
      <c r="A1433" t="str">
        <f t="shared" si="84"/>
        <v>907_人力资源</v>
      </c>
    </row>
    <row r="1434" spans="1:1" x14ac:dyDescent="0.2">
      <c r="A1434" t="str">
        <f t="shared" ref="A1434:A1450" si="86">A1433</f>
        <v>907_人力资源</v>
      </c>
    </row>
    <row r="1435" spans="1:1" x14ac:dyDescent="0.2">
      <c r="A1435" t="str">
        <f t="shared" si="86"/>
        <v>907_人力资源</v>
      </c>
    </row>
    <row r="1436" spans="1:1" x14ac:dyDescent="0.2">
      <c r="A1436" t="str">
        <f t="shared" si="86"/>
        <v>907_人力资源</v>
      </c>
    </row>
    <row r="1437" spans="1:1" x14ac:dyDescent="0.2">
      <c r="A1437" t="str">
        <f t="shared" si="86"/>
        <v>907_人力资源</v>
      </c>
    </row>
    <row r="1438" spans="1:1" x14ac:dyDescent="0.2">
      <c r="A1438" t="str">
        <f t="shared" si="86"/>
        <v>907_人力资源</v>
      </c>
    </row>
    <row r="1439" spans="1:1" x14ac:dyDescent="0.2">
      <c r="A1439" t="str">
        <f t="shared" si="86"/>
        <v>907_人力资源</v>
      </c>
    </row>
    <row r="1440" spans="1:1" x14ac:dyDescent="0.2">
      <c r="A1440" t="str">
        <f t="shared" si="86"/>
        <v>907_人力资源</v>
      </c>
    </row>
    <row r="1441" spans="1:37" x14ac:dyDescent="0.2">
      <c r="A1441" t="str">
        <f t="shared" si="86"/>
        <v>907_人力资源</v>
      </c>
    </row>
    <row r="1442" spans="1:37" x14ac:dyDescent="0.2">
      <c r="A1442" t="str">
        <f t="shared" si="86"/>
        <v>907_人力资源</v>
      </c>
    </row>
    <row r="1443" spans="1:37" x14ac:dyDescent="0.2">
      <c r="A1443" t="str">
        <f t="shared" si="86"/>
        <v>907_人力资源</v>
      </c>
    </row>
    <row r="1444" spans="1:37" x14ac:dyDescent="0.2">
      <c r="A1444" t="str">
        <f t="shared" si="86"/>
        <v>907_人力资源</v>
      </c>
    </row>
    <row r="1445" spans="1:37" x14ac:dyDescent="0.2">
      <c r="A1445" t="str">
        <f t="shared" si="86"/>
        <v>907_人力资源</v>
      </c>
    </row>
    <row r="1446" spans="1:37" x14ac:dyDescent="0.2">
      <c r="A1446" t="str">
        <f t="shared" si="86"/>
        <v>907_人力资源</v>
      </c>
    </row>
    <row r="1447" spans="1:37" x14ac:dyDescent="0.2">
      <c r="A1447" t="str">
        <f t="shared" si="86"/>
        <v>907_人力资源</v>
      </c>
    </row>
    <row r="1448" spans="1:37" x14ac:dyDescent="0.2">
      <c r="A1448" t="str">
        <f t="shared" si="86"/>
        <v>907_人力资源</v>
      </c>
    </row>
    <row r="1449" spans="1:37" x14ac:dyDescent="0.2">
      <c r="A1449" t="str">
        <f t="shared" si="86"/>
        <v>907_人力资源</v>
      </c>
    </row>
    <row r="1450" spans="1:37" x14ac:dyDescent="0.2">
      <c r="A1450" t="str">
        <f t="shared" si="86"/>
        <v>907_人力资源</v>
      </c>
    </row>
    <row r="1451" spans="1:37" x14ac:dyDescent="0.2">
      <c r="A1451" t="str">
        <f>VLOOKUP("游戏",表_首次要关键词[[#All],[首要关键词]:[排序]],2,0)&amp;"_游戏"</f>
        <v>908_游戏</v>
      </c>
    </row>
    <row r="1452" spans="1:37" x14ac:dyDescent="0.2">
      <c r="A1452" t="str">
        <f t="shared" ref="A1452:A1483" si="87">A1451</f>
        <v>908_游戏</v>
      </c>
      <c r="B1452">
        <f t="shared" ref="B1452:AK1452" si="88">COUNTIFS(B1453:B1499,"&lt;&gt;")</f>
        <v>0</v>
      </c>
      <c r="C1452">
        <f t="shared" si="88"/>
        <v>0</v>
      </c>
      <c r="D1452">
        <f t="shared" si="88"/>
        <v>0</v>
      </c>
      <c r="E1452">
        <f t="shared" si="88"/>
        <v>0</v>
      </c>
      <c r="F1452">
        <f t="shared" si="88"/>
        <v>0</v>
      </c>
      <c r="G1452">
        <f t="shared" si="88"/>
        <v>0</v>
      </c>
      <c r="H1452">
        <f t="shared" si="88"/>
        <v>0</v>
      </c>
      <c r="I1452">
        <f t="shared" si="88"/>
        <v>0</v>
      </c>
      <c r="J1452">
        <f t="shared" si="88"/>
        <v>0</v>
      </c>
      <c r="K1452">
        <f t="shared" si="88"/>
        <v>0</v>
      </c>
      <c r="L1452">
        <f t="shared" si="88"/>
        <v>0</v>
      </c>
      <c r="M1452">
        <f t="shared" si="88"/>
        <v>0</v>
      </c>
      <c r="N1452">
        <f t="shared" si="88"/>
        <v>0</v>
      </c>
      <c r="O1452">
        <f t="shared" si="88"/>
        <v>0</v>
      </c>
      <c r="P1452">
        <f t="shared" si="88"/>
        <v>0</v>
      </c>
      <c r="Q1452">
        <f t="shared" si="88"/>
        <v>0</v>
      </c>
      <c r="R1452">
        <f t="shared" si="88"/>
        <v>0</v>
      </c>
      <c r="S1452">
        <f t="shared" si="88"/>
        <v>0</v>
      </c>
      <c r="T1452">
        <f t="shared" si="88"/>
        <v>0</v>
      </c>
      <c r="U1452">
        <f t="shared" si="88"/>
        <v>0</v>
      </c>
      <c r="V1452">
        <f t="shared" si="88"/>
        <v>0</v>
      </c>
      <c r="W1452">
        <f t="shared" si="88"/>
        <v>0</v>
      </c>
      <c r="X1452">
        <f t="shared" si="88"/>
        <v>0</v>
      </c>
      <c r="Y1452">
        <f t="shared" si="88"/>
        <v>0</v>
      </c>
      <c r="Z1452">
        <f t="shared" si="88"/>
        <v>0</v>
      </c>
      <c r="AA1452">
        <f t="shared" si="88"/>
        <v>0</v>
      </c>
      <c r="AB1452">
        <f t="shared" si="88"/>
        <v>0</v>
      </c>
      <c r="AC1452">
        <f t="shared" si="88"/>
        <v>0</v>
      </c>
      <c r="AD1452">
        <f t="shared" si="88"/>
        <v>0</v>
      </c>
      <c r="AE1452">
        <f t="shared" si="88"/>
        <v>0</v>
      </c>
      <c r="AF1452">
        <f t="shared" si="88"/>
        <v>0</v>
      </c>
      <c r="AG1452">
        <f t="shared" si="88"/>
        <v>0</v>
      </c>
      <c r="AH1452">
        <f t="shared" si="88"/>
        <v>0</v>
      </c>
      <c r="AI1452">
        <f t="shared" si="88"/>
        <v>0</v>
      </c>
      <c r="AJ1452">
        <f t="shared" si="88"/>
        <v>0</v>
      </c>
      <c r="AK1452">
        <f t="shared" si="88"/>
        <v>0</v>
      </c>
    </row>
    <row r="1453" spans="1:37" x14ac:dyDescent="0.2">
      <c r="A1453" t="str">
        <f t="shared" si="87"/>
        <v>908_游戏</v>
      </c>
    </row>
    <row r="1454" spans="1:37" x14ac:dyDescent="0.2">
      <c r="A1454" t="str">
        <f t="shared" si="87"/>
        <v>908_游戏</v>
      </c>
    </row>
    <row r="1455" spans="1:37" x14ac:dyDescent="0.2">
      <c r="A1455" t="str">
        <f t="shared" si="87"/>
        <v>908_游戏</v>
      </c>
    </row>
    <row r="1456" spans="1:37" x14ac:dyDescent="0.2">
      <c r="A1456" t="str">
        <f t="shared" si="87"/>
        <v>908_游戏</v>
      </c>
    </row>
    <row r="1457" spans="1:1" x14ac:dyDescent="0.2">
      <c r="A1457" t="str">
        <f t="shared" si="87"/>
        <v>908_游戏</v>
      </c>
    </row>
    <row r="1458" spans="1:1" x14ac:dyDescent="0.2">
      <c r="A1458" t="str">
        <f t="shared" si="87"/>
        <v>908_游戏</v>
      </c>
    </row>
    <row r="1459" spans="1:1" x14ac:dyDescent="0.2">
      <c r="A1459" t="str">
        <f t="shared" si="87"/>
        <v>908_游戏</v>
      </c>
    </row>
    <row r="1460" spans="1:1" x14ac:dyDescent="0.2">
      <c r="A1460" t="str">
        <f t="shared" si="87"/>
        <v>908_游戏</v>
      </c>
    </row>
    <row r="1461" spans="1:1" x14ac:dyDescent="0.2">
      <c r="A1461" t="str">
        <f t="shared" si="87"/>
        <v>908_游戏</v>
      </c>
    </row>
    <row r="1462" spans="1:1" x14ac:dyDescent="0.2">
      <c r="A1462" t="str">
        <f t="shared" si="87"/>
        <v>908_游戏</v>
      </c>
    </row>
    <row r="1463" spans="1:1" x14ac:dyDescent="0.2">
      <c r="A1463" t="str">
        <f t="shared" si="87"/>
        <v>908_游戏</v>
      </c>
    </row>
    <row r="1464" spans="1:1" x14ac:dyDescent="0.2">
      <c r="A1464" t="str">
        <f t="shared" si="87"/>
        <v>908_游戏</v>
      </c>
    </row>
    <row r="1465" spans="1:1" x14ac:dyDescent="0.2">
      <c r="A1465" t="str">
        <f t="shared" si="87"/>
        <v>908_游戏</v>
      </c>
    </row>
    <row r="1466" spans="1:1" x14ac:dyDescent="0.2">
      <c r="A1466" t="str">
        <f t="shared" si="87"/>
        <v>908_游戏</v>
      </c>
    </row>
    <row r="1467" spans="1:1" x14ac:dyDescent="0.2">
      <c r="A1467" t="str">
        <f t="shared" si="87"/>
        <v>908_游戏</v>
      </c>
    </row>
    <row r="1468" spans="1:1" x14ac:dyDescent="0.2">
      <c r="A1468" t="str">
        <f t="shared" si="87"/>
        <v>908_游戏</v>
      </c>
    </row>
    <row r="1469" spans="1:1" x14ac:dyDescent="0.2">
      <c r="A1469" t="str">
        <f t="shared" si="87"/>
        <v>908_游戏</v>
      </c>
    </row>
    <row r="1470" spans="1:1" x14ac:dyDescent="0.2">
      <c r="A1470" t="str">
        <f t="shared" si="87"/>
        <v>908_游戏</v>
      </c>
    </row>
    <row r="1471" spans="1:1" x14ac:dyDescent="0.2">
      <c r="A1471" t="str">
        <f t="shared" si="87"/>
        <v>908_游戏</v>
      </c>
    </row>
    <row r="1472" spans="1:1" x14ac:dyDescent="0.2">
      <c r="A1472" t="str">
        <f t="shared" si="87"/>
        <v>908_游戏</v>
      </c>
    </row>
    <row r="1473" spans="1:1" x14ac:dyDescent="0.2">
      <c r="A1473" t="str">
        <f t="shared" si="87"/>
        <v>908_游戏</v>
      </c>
    </row>
    <row r="1474" spans="1:1" x14ac:dyDescent="0.2">
      <c r="A1474" t="str">
        <f t="shared" si="87"/>
        <v>908_游戏</v>
      </c>
    </row>
    <row r="1475" spans="1:1" x14ac:dyDescent="0.2">
      <c r="A1475" t="str">
        <f t="shared" si="87"/>
        <v>908_游戏</v>
      </c>
    </row>
    <row r="1476" spans="1:1" x14ac:dyDescent="0.2">
      <c r="A1476" t="str">
        <f t="shared" si="87"/>
        <v>908_游戏</v>
      </c>
    </row>
    <row r="1477" spans="1:1" x14ac:dyDescent="0.2">
      <c r="A1477" t="str">
        <f t="shared" si="87"/>
        <v>908_游戏</v>
      </c>
    </row>
    <row r="1478" spans="1:1" x14ac:dyDescent="0.2">
      <c r="A1478" t="str">
        <f t="shared" si="87"/>
        <v>908_游戏</v>
      </c>
    </row>
    <row r="1479" spans="1:1" x14ac:dyDescent="0.2">
      <c r="A1479" t="str">
        <f t="shared" si="87"/>
        <v>908_游戏</v>
      </c>
    </row>
    <row r="1480" spans="1:1" x14ac:dyDescent="0.2">
      <c r="A1480" t="str">
        <f t="shared" si="87"/>
        <v>908_游戏</v>
      </c>
    </row>
    <row r="1481" spans="1:1" x14ac:dyDescent="0.2">
      <c r="A1481" t="str">
        <f t="shared" si="87"/>
        <v>908_游戏</v>
      </c>
    </row>
    <row r="1482" spans="1:1" x14ac:dyDescent="0.2">
      <c r="A1482" t="str">
        <f t="shared" si="87"/>
        <v>908_游戏</v>
      </c>
    </row>
    <row r="1483" spans="1:1" x14ac:dyDescent="0.2">
      <c r="A1483" t="str">
        <f t="shared" si="87"/>
        <v>908_游戏</v>
      </c>
    </row>
    <row r="1484" spans="1:1" x14ac:dyDescent="0.2">
      <c r="A1484" t="str">
        <f t="shared" ref="A1484:A1500" si="89">A1483</f>
        <v>908_游戏</v>
      </c>
    </row>
    <row r="1485" spans="1:1" x14ac:dyDescent="0.2">
      <c r="A1485" t="str">
        <f t="shared" si="89"/>
        <v>908_游戏</v>
      </c>
    </row>
    <row r="1486" spans="1:1" x14ac:dyDescent="0.2">
      <c r="A1486" t="str">
        <f t="shared" si="89"/>
        <v>908_游戏</v>
      </c>
    </row>
    <row r="1487" spans="1:1" x14ac:dyDescent="0.2">
      <c r="A1487" t="str">
        <f t="shared" si="89"/>
        <v>908_游戏</v>
      </c>
    </row>
    <row r="1488" spans="1:1" x14ac:dyDescent="0.2">
      <c r="A1488" t="str">
        <f t="shared" si="89"/>
        <v>908_游戏</v>
      </c>
    </row>
    <row r="1489" spans="1:37" x14ac:dyDescent="0.2">
      <c r="A1489" t="str">
        <f t="shared" si="89"/>
        <v>908_游戏</v>
      </c>
    </row>
    <row r="1490" spans="1:37" x14ac:dyDescent="0.2">
      <c r="A1490" t="str">
        <f t="shared" si="89"/>
        <v>908_游戏</v>
      </c>
    </row>
    <row r="1491" spans="1:37" x14ac:dyDescent="0.2">
      <c r="A1491" t="str">
        <f t="shared" si="89"/>
        <v>908_游戏</v>
      </c>
    </row>
    <row r="1492" spans="1:37" x14ac:dyDescent="0.2">
      <c r="A1492" t="str">
        <f t="shared" si="89"/>
        <v>908_游戏</v>
      </c>
    </row>
    <row r="1493" spans="1:37" x14ac:dyDescent="0.2">
      <c r="A1493" t="str">
        <f t="shared" si="89"/>
        <v>908_游戏</v>
      </c>
    </row>
    <row r="1494" spans="1:37" x14ac:dyDescent="0.2">
      <c r="A1494" t="str">
        <f t="shared" si="89"/>
        <v>908_游戏</v>
      </c>
    </row>
    <row r="1495" spans="1:37" x14ac:dyDescent="0.2">
      <c r="A1495" t="str">
        <f t="shared" si="89"/>
        <v>908_游戏</v>
      </c>
    </row>
    <row r="1496" spans="1:37" x14ac:dyDescent="0.2">
      <c r="A1496" t="str">
        <f t="shared" si="89"/>
        <v>908_游戏</v>
      </c>
    </row>
    <row r="1497" spans="1:37" x14ac:dyDescent="0.2">
      <c r="A1497" t="str">
        <f t="shared" si="89"/>
        <v>908_游戏</v>
      </c>
    </row>
    <row r="1498" spans="1:37" x14ac:dyDescent="0.2">
      <c r="A1498" t="str">
        <f t="shared" si="89"/>
        <v>908_游戏</v>
      </c>
    </row>
    <row r="1499" spans="1:37" x14ac:dyDescent="0.2">
      <c r="A1499" t="str">
        <f t="shared" si="89"/>
        <v>908_游戏</v>
      </c>
    </row>
    <row r="1500" spans="1:37" x14ac:dyDescent="0.2">
      <c r="A1500" t="str">
        <f t="shared" si="89"/>
        <v>908_游戏</v>
      </c>
    </row>
    <row r="1501" spans="1:37" x14ac:dyDescent="0.2">
      <c r="A1501" t="str">
        <f>VLOOKUP("初录未归挡",表_首次要关键词[[#All],[首要关键词]:[排序]],2,0)&amp;"_初录未归挡"</f>
        <v>991_初录未归挡</v>
      </c>
      <c r="B1501" t="s">
        <v>1283</v>
      </c>
      <c r="C1501" t="s">
        <v>46</v>
      </c>
      <c r="D1501" t="s">
        <v>1573</v>
      </c>
      <c r="E1501" t="s">
        <v>1679</v>
      </c>
    </row>
    <row r="1502" spans="1:37" x14ac:dyDescent="0.2">
      <c r="A1502" t="str">
        <f t="shared" ref="A1502:A1533" si="90">A1501</f>
        <v>991_初录未归挡</v>
      </c>
      <c r="B1502">
        <f t="shared" ref="B1502:AK1502" si="91">COUNTIFS(B1503:B1549,"&lt;&gt;")</f>
        <v>0</v>
      </c>
      <c r="C1502">
        <f t="shared" si="91"/>
        <v>4</v>
      </c>
      <c r="D1502">
        <f t="shared" si="91"/>
        <v>4</v>
      </c>
      <c r="E1502">
        <f t="shared" si="91"/>
        <v>3</v>
      </c>
      <c r="F1502">
        <f t="shared" si="91"/>
        <v>0</v>
      </c>
      <c r="G1502">
        <f t="shared" si="91"/>
        <v>0</v>
      </c>
      <c r="H1502">
        <f t="shared" si="91"/>
        <v>0</v>
      </c>
      <c r="I1502">
        <f t="shared" si="91"/>
        <v>0</v>
      </c>
      <c r="J1502">
        <f t="shared" si="91"/>
        <v>0</v>
      </c>
      <c r="K1502">
        <f t="shared" si="91"/>
        <v>0</v>
      </c>
      <c r="L1502">
        <f t="shared" si="91"/>
        <v>0</v>
      </c>
      <c r="M1502">
        <f t="shared" si="91"/>
        <v>0</v>
      </c>
      <c r="N1502">
        <f t="shared" si="91"/>
        <v>0</v>
      </c>
      <c r="O1502">
        <f t="shared" si="91"/>
        <v>0</v>
      </c>
      <c r="P1502">
        <f t="shared" si="91"/>
        <v>0</v>
      </c>
      <c r="Q1502">
        <f t="shared" si="91"/>
        <v>0</v>
      </c>
      <c r="R1502">
        <f t="shared" si="91"/>
        <v>0</v>
      </c>
      <c r="S1502">
        <f t="shared" si="91"/>
        <v>0</v>
      </c>
      <c r="T1502">
        <f t="shared" si="91"/>
        <v>0</v>
      </c>
      <c r="U1502">
        <f t="shared" si="91"/>
        <v>0</v>
      </c>
      <c r="V1502">
        <f t="shared" si="91"/>
        <v>0</v>
      </c>
      <c r="W1502">
        <f t="shared" si="91"/>
        <v>0</v>
      </c>
      <c r="X1502">
        <f t="shared" si="91"/>
        <v>0</v>
      </c>
      <c r="Y1502">
        <f t="shared" si="91"/>
        <v>0</v>
      </c>
      <c r="Z1502">
        <f t="shared" si="91"/>
        <v>0</v>
      </c>
      <c r="AA1502">
        <f t="shared" si="91"/>
        <v>0</v>
      </c>
      <c r="AB1502">
        <f t="shared" si="91"/>
        <v>0</v>
      </c>
      <c r="AC1502">
        <f t="shared" si="91"/>
        <v>0</v>
      </c>
      <c r="AD1502">
        <f t="shared" si="91"/>
        <v>0</v>
      </c>
      <c r="AE1502">
        <f t="shared" si="91"/>
        <v>0</v>
      </c>
      <c r="AF1502">
        <f t="shared" si="91"/>
        <v>0</v>
      </c>
      <c r="AG1502">
        <f t="shared" si="91"/>
        <v>0</v>
      </c>
      <c r="AH1502">
        <f t="shared" si="91"/>
        <v>0</v>
      </c>
      <c r="AI1502">
        <f t="shared" si="91"/>
        <v>0</v>
      </c>
      <c r="AJ1502">
        <f t="shared" si="91"/>
        <v>0</v>
      </c>
      <c r="AK1502">
        <f t="shared" si="91"/>
        <v>0</v>
      </c>
    </row>
    <row r="1503" spans="1:37" x14ac:dyDescent="0.2">
      <c r="A1503" t="str">
        <f t="shared" si="90"/>
        <v>991_初录未归挡</v>
      </c>
      <c r="C1503" t="s">
        <v>1346</v>
      </c>
      <c r="D1503" t="s">
        <v>1576</v>
      </c>
      <c r="E1503" t="s">
        <v>1684</v>
      </c>
    </row>
    <row r="1504" spans="1:37" x14ac:dyDescent="0.2">
      <c r="A1504" t="str">
        <f t="shared" si="90"/>
        <v>991_初录未归挡</v>
      </c>
      <c r="C1504" t="s">
        <v>1358</v>
      </c>
      <c r="D1504" t="s">
        <v>1579</v>
      </c>
      <c r="E1504" t="s">
        <v>905</v>
      </c>
    </row>
    <row r="1505" spans="1:5" x14ac:dyDescent="0.2">
      <c r="A1505" t="str">
        <f t="shared" si="90"/>
        <v>991_初录未归挡</v>
      </c>
      <c r="C1505" t="s">
        <v>1370</v>
      </c>
      <c r="D1505" t="s">
        <v>1283</v>
      </c>
      <c r="E1505" t="s">
        <v>1693</v>
      </c>
    </row>
    <row r="1506" spans="1:5" x14ac:dyDescent="0.2">
      <c r="A1506" t="str">
        <f t="shared" si="90"/>
        <v>991_初录未归挡</v>
      </c>
      <c r="C1506" t="s">
        <v>1283</v>
      </c>
      <c r="D1506" t="s">
        <v>1587</v>
      </c>
    </row>
    <row r="1507" spans="1:5" x14ac:dyDescent="0.2">
      <c r="A1507" t="str">
        <f t="shared" si="90"/>
        <v>991_初录未归挡</v>
      </c>
    </row>
    <row r="1508" spans="1:5" x14ac:dyDescent="0.2">
      <c r="A1508" t="str">
        <f t="shared" si="90"/>
        <v>991_初录未归挡</v>
      </c>
    </row>
    <row r="1509" spans="1:5" x14ac:dyDescent="0.2">
      <c r="A1509" t="str">
        <f t="shared" si="90"/>
        <v>991_初录未归挡</v>
      </c>
    </row>
    <row r="1510" spans="1:5" x14ac:dyDescent="0.2">
      <c r="A1510" t="str">
        <f t="shared" si="90"/>
        <v>991_初录未归挡</v>
      </c>
    </row>
    <row r="1511" spans="1:5" x14ac:dyDescent="0.2">
      <c r="A1511" t="str">
        <f t="shared" si="90"/>
        <v>991_初录未归挡</v>
      </c>
    </row>
    <row r="1512" spans="1:5" x14ac:dyDescent="0.2">
      <c r="A1512" t="str">
        <f t="shared" si="90"/>
        <v>991_初录未归挡</v>
      </c>
    </row>
    <row r="1513" spans="1:5" x14ac:dyDescent="0.2">
      <c r="A1513" t="str">
        <f t="shared" si="90"/>
        <v>991_初录未归挡</v>
      </c>
    </row>
    <row r="1514" spans="1:5" x14ac:dyDescent="0.2">
      <c r="A1514" t="str">
        <f t="shared" si="90"/>
        <v>991_初录未归挡</v>
      </c>
    </row>
    <row r="1515" spans="1:5" x14ac:dyDescent="0.2">
      <c r="A1515" t="str">
        <f t="shared" si="90"/>
        <v>991_初录未归挡</v>
      </c>
    </row>
    <row r="1516" spans="1:5" x14ac:dyDescent="0.2">
      <c r="A1516" t="str">
        <f t="shared" si="90"/>
        <v>991_初录未归挡</v>
      </c>
    </row>
    <row r="1517" spans="1:5" x14ac:dyDescent="0.2">
      <c r="A1517" t="str">
        <f t="shared" si="90"/>
        <v>991_初录未归挡</v>
      </c>
    </row>
    <row r="1518" spans="1:5" x14ac:dyDescent="0.2">
      <c r="A1518" t="str">
        <f t="shared" si="90"/>
        <v>991_初录未归挡</v>
      </c>
    </row>
    <row r="1519" spans="1:5" x14ac:dyDescent="0.2">
      <c r="A1519" t="str">
        <f t="shared" si="90"/>
        <v>991_初录未归挡</v>
      </c>
    </row>
    <row r="1520" spans="1:5" x14ac:dyDescent="0.2">
      <c r="A1520" t="str">
        <f t="shared" si="90"/>
        <v>991_初录未归挡</v>
      </c>
    </row>
    <row r="1521" spans="1:1" x14ac:dyDescent="0.2">
      <c r="A1521" t="str">
        <f t="shared" si="90"/>
        <v>991_初录未归挡</v>
      </c>
    </row>
    <row r="1522" spans="1:1" x14ac:dyDescent="0.2">
      <c r="A1522" t="str">
        <f t="shared" si="90"/>
        <v>991_初录未归挡</v>
      </c>
    </row>
    <row r="1523" spans="1:1" x14ac:dyDescent="0.2">
      <c r="A1523" t="str">
        <f t="shared" si="90"/>
        <v>991_初录未归挡</v>
      </c>
    </row>
    <row r="1524" spans="1:1" x14ac:dyDescent="0.2">
      <c r="A1524" t="str">
        <f t="shared" si="90"/>
        <v>991_初录未归挡</v>
      </c>
    </row>
    <row r="1525" spans="1:1" x14ac:dyDescent="0.2">
      <c r="A1525" t="str">
        <f t="shared" si="90"/>
        <v>991_初录未归挡</v>
      </c>
    </row>
    <row r="1526" spans="1:1" x14ac:dyDescent="0.2">
      <c r="A1526" t="str">
        <f t="shared" si="90"/>
        <v>991_初录未归挡</v>
      </c>
    </row>
    <row r="1527" spans="1:1" x14ac:dyDescent="0.2">
      <c r="A1527" t="str">
        <f t="shared" si="90"/>
        <v>991_初录未归挡</v>
      </c>
    </row>
    <row r="1528" spans="1:1" x14ac:dyDescent="0.2">
      <c r="A1528" t="str">
        <f t="shared" si="90"/>
        <v>991_初录未归挡</v>
      </c>
    </row>
    <row r="1529" spans="1:1" x14ac:dyDescent="0.2">
      <c r="A1529" t="str">
        <f t="shared" si="90"/>
        <v>991_初录未归挡</v>
      </c>
    </row>
    <row r="1530" spans="1:1" x14ac:dyDescent="0.2">
      <c r="A1530" t="str">
        <f t="shared" si="90"/>
        <v>991_初录未归挡</v>
      </c>
    </row>
    <row r="1531" spans="1:1" x14ac:dyDescent="0.2">
      <c r="A1531" t="str">
        <f t="shared" si="90"/>
        <v>991_初录未归挡</v>
      </c>
    </row>
    <row r="1532" spans="1:1" x14ac:dyDescent="0.2">
      <c r="A1532" t="str">
        <f t="shared" si="90"/>
        <v>991_初录未归挡</v>
      </c>
    </row>
    <row r="1533" spans="1:1" x14ac:dyDescent="0.2">
      <c r="A1533" t="str">
        <f t="shared" si="90"/>
        <v>991_初录未归挡</v>
      </c>
    </row>
    <row r="1534" spans="1:1" x14ac:dyDescent="0.2">
      <c r="A1534" t="str">
        <f t="shared" ref="A1534:A1550" si="92">A1533</f>
        <v>991_初录未归挡</v>
      </c>
    </row>
    <row r="1535" spans="1:1" x14ac:dyDescent="0.2">
      <c r="A1535" t="str">
        <f t="shared" si="92"/>
        <v>991_初录未归挡</v>
      </c>
    </row>
    <row r="1536" spans="1:1" x14ac:dyDescent="0.2">
      <c r="A1536" t="str">
        <f t="shared" si="92"/>
        <v>991_初录未归挡</v>
      </c>
    </row>
    <row r="1537" spans="1:37" x14ac:dyDescent="0.2">
      <c r="A1537" t="str">
        <f t="shared" si="92"/>
        <v>991_初录未归挡</v>
      </c>
    </row>
    <row r="1538" spans="1:37" x14ac:dyDescent="0.2">
      <c r="A1538" t="str">
        <f t="shared" si="92"/>
        <v>991_初录未归挡</v>
      </c>
    </row>
    <row r="1539" spans="1:37" x14ac:dyDescent="0.2">
      <c r="A1539" t="str">
        <f t="shared" si="92"/>
        <v>991_初录未归挡</v>
      </c>
    </row>
    <row r="1540" spans="1:37" x14ac:dyDescent="0.2">
      <c r="A1540" t="str">
        <f t="shared" si="92"/>
        <v>991_初录未归挡</v>
      </c>
    </row>
    <row r="1541" spans="1:37" x14ac:dyDescent="0.2">
      <c r="A1541" t="str">
        <f t="shared" si="92"/>
        <v>991_初录未归挡</v>
      </c>
    </row>
    <row r="1542" spans="1:37" x14ac:dyDescent="0.2">
      <c r="A1542" t="str">
        <f t="shared" si="92"/>
        <v>991_初录未归挡</v>
      </c>
    </row>
    <row r="1543" spans="1:37" x14ac:dyDescent="0.2">
      <c r="A1543" t="str">
        <f t="shared" si="92"/>
        <v>991_初录未归挡</v>
      </c>
    </row>
    <row r="1544" spans="1:37" x14ac:dyDescent="0.2">
      <c r="A1544" t="str">
        <f t="shared" si="92"/>
        <v>991_初录未归挡</v>
      </c>
    </row>
    <row r="1545" spans="1:37" x14ac:dyDescent="0.2">
      <c r="A1545" t="str">
        <f t="shared" si="92"/>
        <v>991_初录未归挡</v>
      </c>
    </row>
    <row r="1546" spans="1:37" x14ac:dyDescent="0.2">
      <c r="A1546" t="str">
        <f t="shared" si="92"/>
        <v>991_初录未归挡</v>
      </c>
    </row>
    <row r="1547" spans="1:37" x14ac:dyDescent="0.2">
      <c r="A1547" t="str">
        <f t="shared" si="92"/>
        <v>991_初录未归挡</v>
      </c>
    </row>
    <row r="1548" spans="1:37" x14ac:dyDescent="0.2">
      <c r="A1548" t="str">
        <f t="shared" si="92"/>
        <v>991_初录未归挡</v>
      </c>
    </row>
    <row r="1549" spans="1:37" x14ac:dyDescent="0.2">
      <c r="A1549" t="str">
        <f t="shared" si="92"/>
        <v>991_初录未归挡</v>
      </c>
    </row>
    <row r="1550" spans="1:37" x14ac:dyDescent="0.2">
      <c r="A1550" t="str">
        <f t="shared" si="92"/>
        <v>991_初录未归挡</v>
      </c>
    </row>
    <row r="1551" spans="1:37" x14ac:dyDescent="0.2">
      <c r="A1551" t="str">
        <f>VLOOKUP("初录未归挡1",表_首次要关键词[[#All],[首要关键词]:[排序]],2,0)&amp;"_初录未归挡1"</f>
        <v>992_初录未归挡1</v>
      </c>
      <c r="B1551" t="s">
        <v>1308</v>
      </c>
    </row>
    <row r="1552" spans="1:37" x14ac:dyDescent="0.2">
      <c r="A1552" t="str">
        <f t="shared" ref="A1552:A1583" si="93">A1551</f>
        <v>992_初录未归挡1</v>
      </c>
      <c r="B1552">
        <f t="shared" ref="B1552:AK1552" si="94">COUNTIFS(B1553:B1599,"&lt;&gt;")</f>
        <v>8</v>
      </c>
      <c r="C1552">
        <f t="shared" si="94"/>
        <v>0</v>
      </c>
      <c r="D1552">
        <f t="shared" si="94"/>
        <v>0</v>
      </c>
      <c r="E1552">
        <f t="shared" si="94"/>
        <v>0</v>
      </c>
      <c r="F1552">
        <f t="shared" si="94"/>
        <v>0</v>
      </c>
      <c r="G1552">
        <f t="shared" si="94"/>
        <v>0</v>
      </c>
      <c r="H1552">
        <f t="shared" si="94"/>
        <v>0</v>
      </c>
      <c r="I1552">
        <f t="shared" si="94"/>
        <v>0</v>
      </c>
      <c r="J1552">
        <f t="shared" si="94"/>
        <v>0</v>
      </c>
      <c r="K1552">
        <f t="shared" si="94"/>
        <v>0</v>
      </c>
      <c r="L1552">
        <f t="shared" si="94"/>
        <v>0</v>
      </c>
      <c r="M1552">
        <f t="shared" si="94"/>
        <v>0</v>
      </c>
      <c r="N1552">
        <f t="shared" si="94"/>
        <v>0</v>
      </c>
      <c r="O1552">
        <f t="shared" si="94"/>
        <v>0</v>
      </c>
      <c r="P1552">
        <f t="shared" si="94"/>
        <v>0</v>
      </c>
      <c r="Q1552">
        <f t="shared" si="94"/>
        <v>0</v>
      </c>
      <c r="R1552">
        <f t="shared" si="94"/>
        <v>0</v>
      </c>
      <c r="S1552">
        <f t="shared" si="94"/>
        <v>0</v>
      </c>
      <c r="T1552">
        <f t="shared" si="94"/>
        <v>0</v>
      </c>
      <c r="U1552">
        <f t="shared" si="94"/>
        <v>0</v>
      </c>
      <c r="V1552">
        <f t="shared" si="94"/>
        <v>0</v>
      </c>
      <c r="W1552">
        <f t="shared" si="94"/>
        <v>0</v>
      </c>
      <c r="X1552">
        <f t="shared" si="94"/>
        <v>0</v>
      </c>
      <c r="Y1552">
        <f t="shared" si="94"/>
        <v>0</v>
      </c>
      <c r="Z1552">
        <f t="shared" si="94"/>
        <v>0</v>
      </c>
      <c r="AA1552">
        <f t="shared" si="94"/>
        <v>0</v>
      </c>
      <c r="AB1552">
        <f t="shared" si="94"/>
        <v>0</v>
      </c>
      <c r="AC1552">
        <f t="shared" si="94"/>
        <v>0</v>
      </c>
      <c r="AD1552">
        <f t="shared" si="94"/>
        <v>0</v>
      </c>
      <c r="AE1552">
        <f t="shared" si="94"/>
        <v>0</v>
      </c>
      <c r="AF1552">
        <f t="shared" si="94"/>
        <v>0</v>
      </c>
      <c r="AG1552">
        <f t="shared" si="94"/>
        <v>0</v>
      </c>
      <c r="AH1552">
        <f t="shared" si="94"/>
        <v>0</v>
      </c>
      <c r="AI1552">
        <f t="shared" si="94"/>
        <v>0</v>
      </c>
      <c r="AJ1552">
        <f t="shared" si="94"/>
        <v>0</v>
      </c>
      <c r="AK1552">
        <f t="shared" si="94"/>
        <v>0</v>
      </c>
    </row>
    <row r="1553" spans="1:2" x14ac:dyDescent="0.2">
      <c r="A1553" t="str">
        <f t="shared" si="93"/>
        <v>992_初录未归挡1</v>
      </c>
      <c r="B1553" t="s">
        <v>1311</v>
      </c>
    </row>
    <row r="1554" spans="1:2" x14ac:dyDescent="0.2">
      <c r="A1554" t="str">
        <f t="shared" si="93"/>
        <v>992_初录未归挡1</v>
      </c>
      <c r="B1554" t="s">
        <v>1314</v>
      </c>
    </row>
    <row r="1555" spans="1:2" x14ac:dyDescent="0.2">
      <c r="A1555" t="str">
        <f t="shared" si="93"/>
        <v>992_初录未归挡1</v>
      </c>
      <c r="B1555" t="s">
        <v>1317</v>
      </c>
    </row>
    <row r="1556" spans="1:2" x14ac:dyDescent="0.2">
      <c r="A1556" t="str">
        <f t="shared" si="93"/>
        <v>992_初录未归挡1</v>
      </c>
      <c r="B1556" t="s">
        <v>1320</v>
      </c>
    </row>
    <row r="1557" spans="1:2" x14ac:dyDescent="0.2">
      <c r="A1557" t="str">
        <f t="shared" si="93"/>
        <v>992_初录未归挡1</v>
      </c>
      <c r="B1557" t="s">
        <v>1323</v>
      </c>
    </row>
    <row r="1558" spans="1:2" x14ac:dyDescent="0.2">
      <c r="A1558" t="str">
        <f t="shared" si="93"/>
        <v>992_初录未归挡1</v>
      </c>
      <c r="B1558" t="s">
        <v>1326</v>
      </c>
    </row>
    <row r="1559" spans="1:2" x14ac:dyDescent="0.2">
      <c r="A1559" t="str">
        <f t="shared" si="93"/>
        <v>992_初录未归挡1</v>
      </c>
      <c r="B1559" t="s">
        <v>1329</v>
      </c>
    </row>
    <row r="1560" spans="1:2" x14ac:dyDescent="0.2">
      <c r="A1560" t="str">
        <f t="shared" si="93"/>
        <v>992_初录未归挡1</v>
      </c>
      <c r="B1560" t="s">
        <v>1330</v>
      </c>
    </row>
    <row r="1561" spans="1:2" x14ac:dyDescent="0.2">
      <c r="A1561" t="str">
        <f t="shared" si="93"/>
        <v>992_初录未归挡1</v>
      </c>
    </row>
    <row r="1562" spans="1:2" x14ac:dyDescent="0.2">
      <c r="A1562" t="str">
        <f t="shared" si="93"/>
        <v>992_初录未归挡1</v>
      </c>
    </row>
    <row r="1563" spans="1:2" x14ac:dyDescent="0.2">
      <c r="A1563" t="str">
        <f t="shared" si="93"/>
        <v>992_初录未归挡1</v>
      </c>
    </row>
    <row r="1564" spans="1:2" x14ac:dyDescent="0.2">
      <c r="A1564" t="str">
        <f t="shared" si="93"/>
        <v>992_初录未归挡1</v>
      </c>
    </row>
    <row r="1565" spans="1:2" x14ac:dyDescent="0.2">
      <c r="A1565" t="str">
        <f t="shared" si="93"/>
        <v>992_初录未归挡1</v>
      </c>
    </row>
    <row r="1566" spans="1:2" x14ac:dyDescent="0.2">
      <c r="A1566" t="str">
        <f t="shared" si="93"/>
        <v>992_初录未归挡1</v>
      </c>
    </row>
    <row r="1567" spans="1:2" x14ac:dyDescent="0.2">
      <c r="A1567" t="str">
        <f t="shared" si="93"/>
        <v>992_初录未归挡1</v>
      </c>
    </row>
    <row r="1568" spans="1:2" x14ac:dyDescent="0.2">
      <c r="A1568" t="str">
        <f t="shared" si="93"/>
        <v>992_初录未归挡1</v>
      </c>
    </row>
    <row r="1569" spans="1:1" x14ac:dyDescent="0.2">
      <c r="A1569" t="str">
        <f t="shared" si="93"/>
        <v>992_初录未归挡1</v>
      </c>
    </row>
    <row r="1570" spans="1:1" x14ac:dyDescent="0.2">
      <c r="A1570" t="str">
        <f t="shared" si="93"/>
        <v>992_初录未归挡1</v>
      </c>
    </row>
    <row r="1571" spans="1:1" x14ac:dyDescent="0.2">
      <c r="A1571" t="str">
        <f t="shared" si="93"/>
        <v>992_初录未归挡1</v>
      </c>
    </row>
    <row r="1572" spans="1:1" x14ac:dyDescent="0.2">
      <c r="A1572" t="str">
        <f t="shared" si="93"/>
        <v>992_初录未归挡1</v>
      </c>
    </row>
    <row r="1573" spans="1:1" x14ac:dyDescent="0.2">
      <c r="A1573" t="str">
        <f t="shared" si="93"/>
        <v>992_初录未归挡1</v>
      </c>
    </row>
    <row r="1574" spans="1:1" x14ac:dyDescent="0.2">
      <c r="A1574" t="str">
        <f t="shared" si="93"/>
        <v>992_初录未归挡1</v>
      </c>
    </row>
    <row r="1575" spans="1:1" x14ac:dyDescent="0.2">
      <c r="A1575" t="str">
        <f t="shared" si="93"/>
        <v>992_初录未归挡1</v>
      </c>
    </row>
    <row r="1576" spans="1:1" x14ac:dyDescent="0.2">
      <c r="A1576" t="str">
        <f t="shared" si="93"/>
        <v>992_初录未归挡1</v>
      </c>
    </row>
    <row r="1577" spans="1:1" x14ac:dyDescent="0.2">
      <c r="A1577" t="str">
        <f t="shared" si="93"/>
        <v>992_初录未归挡1</v>
      </c>
    </row>
    <row r="1578" spans="1:1" x14ac:dyDescent="0.2">
      <c r="A1578" t="str">
        <f t="shared" si="93"/>
        <v>992_初录未归挡1</v>
      </c>
    </row>
    <row r="1579" spans="1:1" x14ac:dyDescent="0.2">
      <c r="A1579" t="str">
        <f t="shared" si="93"/>
        <v>992_初录未归挡1</v>
      </c>
    </row>
    <row r="1580" spans="1:1" x14ac:dyDescent="0.2">
      <c r="A1580" t="str">
        <f t="shared" si="93"/>
        <v>992_初录未归挡1</v>
      </c>
    </row>
    <row r="1581" spans="1:1" x14ac:dyDescent="0.2">
      <c r="A1581" t="str">
        <f t="shared" si="93"/>
        <v>992_初录未归挡1</v>
      </c>
    </row>
    <row r="1582" spans="1:1" x14ac:dyDescent="0.2">
      <c r="A1582" t="str">
        <f t="shared" si="93"/>
        <v>992_初录未归挡1</v>
      </c>
    </row>
    <row r="1583" spans="1:1" x14ac:dyDescent="0.2">
      <c r="A1583" t="str">
        <f t="shared" si="93"/>
        <v>992_初录未归挡1</v>
      </c>
    </row>
    <row r="1584" spans="1:1" x14ac:dyDescent="0.2">
      <c r="A1584" t="str">
        <f t="shared" ref="A1584:A1600" si="95">A1583</f>
        <v>992_初录未归挡1</v>
      </c>
    </row>
    <row r="1585" spans="1:1" x14ac:dyDescent="0.2">
      <c r="A1585" t="str">
        <f t="shared" si="95"/>
        <v>992_初录未归挡1</v>
      </c>
    </row>
    <row r="1586" spans="1:1" x14ac:dyDescent="0.2">
      <c r="A1586" t="str">
        <f t="shared" si="95"/>
        <v>992_初录未归挡1</v>
      </c>
    </row>
    <row r="1587" spans="1:1" x14ac:dyDescent="0.2">
      <c r="A1587" t="str">
        <f t="shared" si="95"/>
        <v>992_初录未归挡1</v>
      </c>
    </row>
    <row r="1588" spans="1:1" x14ac:dyDescent="0.2">
      <c r="A1588" t="str">
        <f t="shared" si="95"/>
        <v>992_初录未归挡1</v>
      </c>
    </row>
    <row r="1589" spans="1:1" x14ac:dyDescent="0.2">
      <c r="A1589" t="str">
        <f t="shared" si="95"/>
        <v>992_初录未归挡1</v>
      </c>
    </row>
    <row r="1590" spans="1:1" x14ac:dyDescent="0.2">
      <c r="A1590" t="str">
        <f t="shared" si="95"/>
        <v>992_初录未归挡1</v>
      </c>
    </row>
    <row r="1591" spans="1:1" x14ac:dyDescent="0.2">
      <c r="A1591" t="str">
        <f t="shared" si="95"/>
        <v>992_初录未归挡1</v>
      </c>
    </row>
    <row r="1592" spans="1:1" x14ac:dyDescent="0.2">
      <c r="A1592" t="str">
        <f t="shared" si="95"/>
        <v>992_初录未归挡1</v>
      </c>
    </row>
    <row r="1593" spans="1:1" x14ac:dyDescent="0.2">
      <c r="A1593" t="str">
        <f t="shared" si="95"/>
        <v>992_初录未归挡1</v>
      </c>
    </row>
    <row r="1594" spans="1:1" x14ac:dyDescent="0.2">
      <c r="A1594" t="str">
        <f t="shared" si="95"/>
        <v>992_初录未归挡1</v>
      </c>
    </row>
    <row r="1595" spans="1:1" x14ac:dyDescent="0.2">
      <c r="A1595" t="str">
        <f t="shared" si="95"/>
        <v>992_初录未归挡1</v>
      </c>
    </row>
    <row r="1596" spans="1:1" x14ac:dyDescent="0.2">
      <c r="A1596" t="str">
        <f t="shared" si="95"/>
        <v>992_初录未归挡1</v>
      </c>
    </row>
    <row r="1597" spans="1:1" x14ac:dyDescent="0.2">
      <c r="A1597" t="str">
        <f t="shared" si="95"/>
        <v>992_初录未归挡1</v>
      </c>
    </row>
    <row r="1598" spans="1:1" x14ac:dyDescent="0.2">
      <c r="A1598" t="str">
        <f t="shared" si="95"/>
        <v>992_初录未归挡1</v>
      </c>
    </row>
    <row r="1599" spans="1:1" x14ac:dyDescent="0.2">
      <c r="A1599" t="str">
        <f t="shared" si="95"/>
        <v>992_初录未归挡1</v>
      </c>
    </row>
    <row r="1600" spans="1:1" x14ac:dyDescent="0.2">
      <c r="A1600" t="str">
        <f t="shared" si="95"/>
        <v>992_初录未归挡1</v>
      </c>
    </row>
  </sheetData>
  <autoFilter ref="A1:AK1600" xr:uid="{87C0B9A2-E603-4CE0-8911-2C8F9478DACE}">
    <sortState xmlns:xlrd2="http://schemas.microsoft.com/office/spreadsheetml/2017/richdata2" ref="A2:AK1600">
      <sortCondition ref="A1:A1600"/>
    </sortState>
  </autoFilter>
  <sortState xmlns:xlrd2="http://schemas.microsoft.com/office/spreadsheetml/2017/richdata2" ref="A1:AK1600">
    <sortCondition ref="A1:A1600"/>
  </sortState>
  <phoneticPr fontId="1" type="noConversion"/>
  <conditionalFormatting sqref="A1601:AK1048576 B1553:AK1600 A1:AK1551">
    <cfRule type="expression" dxfId="1" priority="2">
      <formula>MOD(ROW()-1,50)=0</formula>
    </cfRule>
  </conditionalFormatting>
  <conditionalFormatting sqref="A1552:AK1552 A1553:A1600">
    <cfRule type="expression" dxfId="0" priority="1">
      <formula>MOD(ROW()-1,50)=0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网址列表</vt:lpstr>
      <vt:lpstr>Sheet7</vt:lpstr>
      <vt:lpstr>Sheet2</vt:lpstr>
      <vt:lpstr>首次要关键词</vt:lpstr>
      <vt:lpstr>重点关键词</vt:lpstr>
      <vt:lpstr>次要关键词数量</vt:lpstr>
      <vt:lpstr>首要关键词排序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郑協</dc:creator>
  <cp:lastModifiedBy>郑協</cp:lastModifiedBy>
  <dcterms:created xsi:type="dcterms:W3CDTF">2015-06-05T18:19:34Z</dcterms:created>
  <dcterms:modified xsi:type="dcterms:W3CDTF">2021-03-28T13:48:08Z</dcterms:modified>
</cp:coreProperties>
</file>